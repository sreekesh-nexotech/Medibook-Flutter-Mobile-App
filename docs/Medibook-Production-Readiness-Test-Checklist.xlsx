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Business Logic" sheetId="3" state="visible" r:id="rId3"/>
    <sheet name="Checklist" sheetId="4" state="visible" r:id="rId4"/>
    <sheet name="Known Blockers" sheetId="5" state="visible" r:id="rId5"/>
    <sheet name="Screen Coverage" sheetId="6" state="visible" r:id="rId6"/>
    <sheet name="Device Matrix" sheetId="7" state="visible" r:id="rId7"/>
    <sheet name="Defect Log" sheetId="8" state="visible" r:id="rId8"/>
    <sheet name="Sign-off" sheetId="9" state="visible" r:id="rId9"/>
  </sheets>
  <definedNames>
    <definedName name="_xlnm._FilterDatabase" localSheetId="2" hidden="1">'Business Logic'!$A$1:$Q$409</definedName>
    <definedName name="_xlnm.Print_Titles" localSheetId="2">'Business Logic'!$1:$1</definedName>
    <definedName name="_xlnm._FilterDatabase" localSheetId="3" hidden="1">'Checklist'!$A$1:$Q$439</definedName>
    <definedName name="_xlnm.Print_Titles" localSheetId="3">'Checklist'!$1:$1</definedName>
    <definedName name="_xlnm._FilterDatabase" localSheetId="7" hidden="1">'Defect Log'!$A$1:$P$103</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FFFFFF"/>
      <sz val="10"/>
    </font>
    <font>
      <name val="Arial"/>
      <sz val="10"/>
    </font>
    <font>
      <name val="Arial"/>
      <b val="1"/>
      <sz val="10"/>
    </font>
    <font>
      <name val="Arial"/>
      <color rgb="00667085"/>
      <sz val="9"/>
    </font>
    <font>
      <name val="Arial"/>
      <b val="1"/>
      <color rgb="001D3557"/>
      <sz val="16"/>
    </font>
    <font>
      <name val="Arial"/>
      <i val="1"/>
      <color rgb="00667085"/>
      <sz val="9"/>
    </font>
    <font>
      <name val="Arial"/>
      <b val="1"/>
      <color rgb="001D3557"/>
      <sz val="11"/>
    </font>
    <font>
      <name val="Arial"/>
      <b val="1"/>
      <sz val="12"/>
    </font>
    <font>
      <name val="Arial"/>
      <color rgb="00B42318"/>
      <sz val="9"/>
    </font>
    <font>
      <name val="Arial"/>
      <i val="1"/>
      <color rgb="00667085"/>
      <sz val="10"/>
    </font>
    <font>
      <name val="Arial"/>
      <b val="1"/>
      <color rgb="00006100"/>
      <sz val="10"/>
    </font>
    <font>
      <name val="Arial"/>
      <b val="1"/>
      <color rgb="009C0006"/>
      <sz val="10"/>
    </font>
    <font>
      <name val="Arial"/>
      <b val="1"/>
      <color rgb="009C5700"/>
      <sz val="10"/>
    </font>
    <font>
      <name val="Arial"/>
      <b val="1"/>
      <color rgb="00475467"/>
      <sz val="10"/>
    </font>
  </fonts>
  <fills count="9">
    <fill>
      <patternFill/>
    </fill>
    <fill>
      <patternFill patternType="gray125"/>
    </fill>
    <fill>
      <patternFill patternType="solid">
        <fgColor rgb="001D3557"/>
      </patternFill>
    </fill>
    <fill>
      <patternFill patternType="solid">
        <fgColor rgb="00FFF9DB"/>
      </patternFill>
    </fill>
    <fill>
      <patternFill patternType="solid">
        <fgColor rgb="00EEF2F7"/>
      </patternFill>
    </fill>
    <fill>
      <patternFill patternType="solid">
        <fgColor rgb="00C6EFCE"/>
      </patternFill>
    </fill>
    <fill>
      <patternFill patternType="solid">
        <fgColor rgb="00FFC7CE"/>
      </patternFill>
    </fill>
    <fill>
      <patternFill patternType="solid">
        <fgColor rgb="00FFEB9C"/>
      </patternFill>
    </fill>
    <fill>
      <patternFill patternType="solid">
        <fgColor rgb="00E4E7EC"/>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2">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2" fillId="0" borderId="0" pivotButton="0" quotePrefix="0" xfId="0"/>
    <xf numFmtId="0" fontId="2" fillId="3" borderId="1" pivotButton="0" quotePrefix="0" xfId="0"/>
    <xf numFmtId="164" fontId="2" fillId="3" borderId="1" pivotButton="0" quotePrefix="0" xfId="0"/>
    <xf numFmtId="0" fontId="2" fillId="3" borderId="0" pivotButton="0" quotePrefix="0" xfId="0"/>
    <xf numFmtId="0" fontId="3" fillId="0" borderId="1" applyAlignment="1" pivotButton="0" quotePrefix="0" xfId="0">
      <alignment horizontal="center"/>
    </xf>
    <xf numFmtId="0" fontId="11" fillId="5" borderId="1" applyAlignment="1" pivotButton="0" quotePrefix="0" xfId="0">
      <alignment horizontal="center"/>
    </xf>
    <xf numFmtId="0" fontId="12" fillId="6" borderId="1" applyAlignment="1" pivotButton="0" quotePrefix="0" xfId="0">
      <alignment horizontal="center"/>
    </xf>
    <xf numFmtId="0" fontId="13" fillId="7" borderId="1" applyAlignment="1" pivotButton="0" quotePrefix="0" xfId="0">
      <alignment horizontal="center"/>
    </xf>
    <xf numFmtId="0" fontId="14" fillId="8" borderId="1" applyAlignment="1" pivotButton="0" quotePrefix="0" xfId="0">
      <alignment horizontal="center"/>
    </xf>
    <xf numFmtId="0" fontId="3" fillId="0" borderId="0" applyAlignment="1" pivotButton="0" quotePrefix="0" xfId="0">
      <alignment horizontal="center"/>
    </xf>
    <xf numFmtId="0" fontId="3" fillId="0" borderId="0" pivotButton="0" quotePrefix="0" xfId="0"/>
    <xf numFmtId="0" fontId="1" fillId="2" borderId="1" applyAlignment="1" pivotButton="0" quotePrefix="0" xfId="0">
      <alignment horizontal="center" vertical="center" wrapText="1"/>
    </xf>
    <xf numFmtId="0" fontId="10" fillId="0" borderId="1" applyAlignment="1" pivotButton="0" quotePrefix="0" xfId="0">
      <alignment vertical="top" wrapText="1"/>
    </xf>
    <xf numFmtId="0" fontId="10" fillId="5" borderId="1" applyAlignment="1" pivotButton="0" quotePrefix="0" xfId="0">
      <alignment vertical="top" wrapText="1"/>
    </xf>
    <xf numFmtId="0" fontId="2" fillId="0" borderId="1" pivotButton="0" quotePrefix="0" xfId="0"/>
    <xf numFmtId="0" fontId="3" fillId="0" borderId="1" pivotButton="0" quotePrefix="0" xfId="0"/>
    <xf numFmtId="0" fontId="8" fillId="0" borderId="1" applyAlignment="1" pivotButton="0" quotePrefix="0" xfId="0">
      <alignment horizontal="center"/>
    </xf>
    <xf numFmtId="0" fontId="2" fillId="0" borderId="1" applyAlignment="1" pivotButton="0" quotePrefix="0" xfId="0">
      <alignment horizontal="center"/>
    </xf>
    <xf numFmtId="9" fontId="2" fillId="0" borderId="1" applyAlignment="1" pivotButton="0" quotePrefix="0" xfId="0">
      <alignment horizontal="center"/>
    </xf>
    <xf numFmtId="0" fontId="3" fillId="4" borderId="1" pivotButton="0" quotePrefix="0" xfId="0"/>
    <xf numFmtId="0" fontId="3" fillId="4" borderId="1" applyAlignment="1" pivotButton="0" quotePrefix="0" xfId="0">
      <alignment horizontal="center"/>
    </xf>
    <xf numFmtId="9" fontId="3" fillId="4" borderId="1" applyAlignment="1" pivotButton="0" quotePrefix="0" xfId="0">
      <alignment horizontal="center"/>
    </xf>
    <xf numFmtId="0" fontId="9"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4"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3" fillId="0" borderId="0" applyAlignment="1" pivotButton="0" quotePrefix="0" xfId="0">
      <alignment horizontal="right"/>
    </xf>
    <xf numFmtId="0" fontId="2" fillId="3" borderId="1" applyAlignment="1" pivotButton="0" quotePrefix="0" xfId="0">
      <alignment horizontal="center" vertical="top"/>
    </xf>
    <xf numFmtId="164" fontId="0" fillId="3" borderId="1" pivotButton="0" quotePrefix="0" xfId="0"/>
    <xf numFmtId="0" fontId="0" fillId="3" borderId="1" pivotButton="0" quotePrefix="0" xfId="0"/>
    <xf numFmtId="0" fontId="2" fillId="3" borderId="1" applyAlignment="1" pivotButton="0" quotePrefix="0" xfId="0">
      <alignment horizontal="left" vertical="top" wrapText="1"/>
    </xf>
    <xf numFmtId="0" fontId="3" fillId="0" borderId="0" applyAlignment="1" pivotButton="0" quotePrefix="0" xfId="0">
      <alignment horizontal="left"/>
    </xf>
    <xf numFmtId="164" fontId="2" fillId="0" borderId="1" applyAlignment="1" pivotButton="0" quotePrefix="0" xfId="0">
      <alignment vertical="top" wrapText="1"/>
    </xf>
    <xf numFmtId="0" fontId="3" fillId="3" borderId="1" applyAlignment="1" pivotButton="0" quotePrefix="0" xfId="0">
      <alignment horizontal="center"/>
    </xf>
  </cellXfs>
  <cellStyles count="1">
    <cellStyle name="Normal" xfId="0" builtinId="0" hidden="0"/>
  </cellStyles>
  <dxfs count="9">
    <dxf>
      <font>
        <name val="Arial"/>
        <b val="1"/>
        <color rgb="00006100"/>
        <sz val="12"/>
      </font>
      <fill>
        <patternFill patternType="solid">
          <fgColor rgb="00C6EFCE"/>
          <bgColor rgb="00C6EFCE"/>
        </patternFill>
      </fill>
    </dxf>
    <dxf>
      <font>
        <name val="Arial"/>
        <b val="1"/>
        <color rgb="009C0006"/>
        <sz val="12"/>
      </font>
      <fill>
        <patternFill patternType="solid">
          <fgColor rgb="00FFC7CE"/>
          <bgColor rgb="00FFC7CE"/>
        </patternFill>
      </fill>
    </dxf>
    <dxf>
      <font>
        <name val="Arial"/>
        <b val="1"/>
        <color rgb="009C0006"/>
        <sz val="10"/>
      </font>
    </dxf>
    <dxf>
      <font>
        <name val="Arial"/>
        <b val="1"/>
        <color rgb="00006100"/>
        <sz val="10"/>
      </font>
      <fill>
        <patternFill patternType="solid">
          <fgColor rgb="00C6EFCE"/>
          <bgColor rgb="00C6EFCE"/>
        </patternFill>
      </fill>
    </dxf>
    <dxf>
      <font>
        <name val="Arial"/>
        <b val="1"/>
        <color rgb="009C0006"/>
        <sz val="10"/>
      </font>
      <fill>
        <patternFill patternType="solid">
          <fgColor rgb="00FFC7CE"/>
          <bgColor rgb="00FFC7CE"/>
        </patternFill>
      </fill>
    </dxf>
    <dxf>
      <font>
        <name val="Arial"/>
        <b val="1"/>
        <color rgb="009C5700"/>
        <sz val="10"/>
      </font>
      <fill>
        <patternFill patternType="solid">
          <fgColor rgb="00FFEB9C"/>
          <bgColor rgb="00FFEB9C"/>
        </patternFill>
      </fill>
    </dxf>
    <dxf>
      <font>
        <name val="Arial"/>
        <b val="1"/>
        <color rgb="00475467"/>
        <sz val="10"/>
      </font>
      <fill>
        <patternFill patternType="solid">
          <fgColor rgb="00E4E7EC"/>
          <bgColor rgb="00E4E7EC"/>
        </patternFill>
      </fill>
    </dxf>
    <dxf>
      <font>
        <name val="Arial"/>
        <b val="1"/>
        <color rgb="00B42318"/>
        <sz val="10"/>
      </font>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showGridLines="0" tabSelected="1" workbookViewId="0">
      <selection activeCell="A1" sqref="A1"/>
    </sheetView>
  </sheetViews>
  <sheetFormatPr baseColWidth="8" defaultRowHeight="15"/>
  <cols>
    <col width="22" customWidth="1" min="1" max="1"/>
    <col width="30" customWidth="1" min="2" max="2"/>
    <col width="46" customWidth="1" min="3" max="3"/>
    <col width="14" customWidth="1" min="4" max="4"/>
    <col width="14" customWidth="1" min="5" max="5"/>
    <col width="14" customWidth="1" min="6" max="6"/>
    <col width="14" customWidth="1" min="7" max="7"/>
    <col width="30" customWidth="1" min="8" max="8"/>
  </cols>
  <sheetData>
    <row r="1">
      <c r="A1" s="1" t="inlineStr">
        <is>
          <t>Medibook — Production Readiness Test Checklist</t>
        </is>
      </c>
    </row>
    <row r="2">
      <c r="A2" s="2" t="inlineStr">
        <is>
          <t>Patient mobile app (Flutter, Android + iOS) · end-to-end manual test pass before release</t>
        </is>
      </c>
    </row>
    <row r="4">
      <c r="A4" s="3" t="inlineStr">
        <is>
          <t>Run details</t>
        </is>
      </c>
    </row>
    <row r="5">
      <c r="A5" s="4" t="inlineStr">
        <is>
          <t>Build / version under test</t>
        </is>
      </c>
      <c r="B5" s="5" t="n"/>
    </row>
    <row r="6">
      <c r="A6" s="4" t="inlineStr">
        <is>
          <t>Environment (API host)</t>
        </is>
      </c>
      <c r="B6" s="5" t="n"/>
    </row>
    <row r="7">
      <c r="A7" s="4" t="inlineStr">
        <is>
          <t>Test cycle</t>
        </is>
      </c>
      <c r="B7" s="5" t="n"/>
    </row>
    <row r="8">
      <c r="A8" s="4" t="inlineStr">
        <is>
          <t>Start date</t>
        </is>
      </c>
      <c r="B8" s="6" t="n"/>
    </row>
    <row r="9">
      <c r="A9" s="4" t="inlineStr">
        <is>
          <t>End date</t>
        </is>
      </c>
      <c r="B9" s="6" t="n"/>
    </row>
    <row r="10">
      <c r="A10" s="4" t="inlineStr">
        <is>
          <t>QA lead</t>
        </is>
      </c>
      <c r="B10" s="5" t="n"/>
    </row>
    <row r="12">
      <c r="A12" s="3" t="inlineStr">
        <is>
          <t>How to use this workbook</t>
        </is>
      </c>
    </row>
    <row r="13">
      <c r="A13" s="4" t="inlineStr">
        <is>
          <t>1. Known Blockers — re-verify each item first. Many checklist rows cannot run until these are resolved.</t>
        </is>
      </c>
    </row>
    <row r="14">
      <c r="A14" s="4" t="inlineStr">
        <is>
          <t>2. Checklist — start with module 00 (prerequisites) and 01 (end-to-end journeys), then work down. Filter by Module, Priority or Platform.</t>
        </is>
      </c>
    </row>
    <row r="15">
      <c r="A15" s="4" t="inlineStr">
        <is>
          <t>3. Business Logic — one row per rule the app enforces (limits, state changes, calculations, error handling), split by module and sub-module. 'Source in code' says where the rule lives.</t>
        </is>
      </c>
    </row>
    <row r="16">
      <c r="A16" s="4" t="inlineStr">
        <is>
          <t>4. For every row set Status, and fill Tester, Date, Build and Device. Anything that is not Pass needs a note.</t>
        </is>
      </c>
    </row>
    <row r="17">
      <c r="A17" s="4" t="inlineStr">
        <is>
          <t>5. A Fail needs a row in Defect Log; put its id in the checklist's Defect ID column (the cell turns red until you do).</t>
        </is>
      </c>
    </row>
    <row r="18">
      <c r="A18" s="4" t="inlineStr">
        <is>
          <t>6. Screen Coverage and Device Matrix track breadth: every screen's states, and every device class.</t>
        </is>
      </c>
    </row>
    <row r="19">
      <c r="A19" s="4" t="inlineStr">
        <is>
          <t>7. Summary and Sign-off calculate themselves. The verdict is GO only when all four gate counts are zero.</t>
        </is>
      </c>
    </row>
    <row r="20">
      <c r="A20" s="7" t="inlineStr">
        <is>
          <t>Yellow cells are yours to fill in. Everything else is reference text or a formula.</t>
        </is>
      </c>
    </row>
    <row r="21">
      <c r="A21" s="4" t="inlineStr">
        <is>
          <t>You can add test cases at the bottom of the Checklist or Business Logic sheet (up to row 1000): reuse an existing Module name exactly so the Summary counts them.</t>
        </is>
      </c>
    </row>
    <row r="23">
      <c r="A23" s="3" t="inlineStr">
        <is>
          <t>Status values</t>
        </is>
      </c>
    </row>
    <row r="24">
      <c r="A24" s="8" t="inlineStr">
        <is>
          <t>Not Run</t>
        </is>
      </c>
      <c r="B24" s="4" t="inlineStr">
        <is>
          <t>Not executed yet (default).</t>
        </is>
      </c>
    </row>
    <row r="25">
      <c r="A25" s="9" t="inlineStr">
        <is>
          <t>Pass</t>
        </is>
      </c>
      <c r="B25" s="4" t="inlineStr">
        <is>
          <t>Behaved exactly as the Expected result says.</t>
        </is>
      </c>
    </row>
    <row r="26">
      <c r="A26" s="10" t="inlineStr">
        <is>
          <t>Fail</t>
        </is>
      </c>
      <c r="B26" s="4" t="inlineStr">
        <is>
          <t>Did not — log a defect.</t>
        </is>
      </c>
    </row>
    <row r="27">
      <c r="A27" s="11" t="inlineStr">
        <is>
          <t>Blocked</t>
        </is>
      </c>
      <c r="B27" s="4" t="inlineStr">
        <is>
          <t>Could not be run (environment, blocker, dependency). Say why in Notes.</t>
        </is>
      </c>
    </row>
    <row r="28">
      <c r="A28" s="12" t="inlineStr">
        <is>
          <t>N/A</t>
        </is>
      </c>
      <c r="B28" s="4" t="inlineStr">
        <is>
          <t>Does not apply to this release. Say why in Notes.</t>
        </is>
      </c>
    </row>
    <row r="30">
      <c r="A30" s="3" t="inlineStr">
        <is>
          <t>Priority</t>
        </is>
      </c>
    </row>
    <row r="31">
      <c r="A31" s="13" t="inlineStr">
        <is>
          <t>P0</t>
        </is>
      </c>
      <c r="B31" s="4" t="inlineStr">
        <is>
          <t>Release blocker: money, sign-in, data loss, security, privacy, store rejection, or a core journey.</t>
        </is>
      </c>
    </row>
    <row r="32">
      <c r="A32" s="13" t="inlineStr">
        <is>
          <t>P1</t>
        </is>
      </c>
      <c r="B32" s="4" t="inlineStr">
        <is>
          <t>Must be fixed before public launch; acceptable only for a limited internal beta.</t>
        </is>
      </c>
    </row>
    <row r="33">
      <c r="A33" s="13" t="inlineStr">
        <is>
          <t>P2</t>
        </is>
      </c>
      <c r="B33" s="4" t="inlineStr">
        <is>
          <t>Should be fixed; a visible flaw with a workaround.</t>
        </is>
      </c>
    </row>
    <row r="34">
      <c r="A34" s="13" t="inlineStr">
        <is>
          <t>P3</t>
        </is>
      </c>
      <c r="B34" s="4" t="inlineStr">
        <is>
          <t>Polish.</t>
        </is>
      </c>
    </row>
    <row r="36">
      <c r="A36" s="3" t="inlineStr">
        <is>
          <t>Check types on the Business Logic sheet</t>
        </is>
      </c>
    </row>
    <row r="37">
      <c r="A37" s="14" t="inlineStr">
        <is>
          <t>Rule</t>
        </is>
      </c>
      <c r="B37" s="4" t="inlineStr">
        <is>
          <t>A decision the app makes (who may do what, and when).</t>
        </is>
      </c>
    </row>
    <row r="38">
      <c r="A38" s="14" t="inlineStr">
        <is>
          <t>Boundary</t>
        </is>
      </c>
      <c r="B38" s="4" t="inlineStr">
        <is>
          <t>A limit: lengths, sizes, ages, time windows, counts. Test just inside and just outside.</t>
        </is>
      </c>
    </row>
    <row r="39">
      <c r="A39" s="14" t="inlineStr">
        <is>
          <t>State</t>
        </is>
      </c>
      <c r="B39" s="4" t="inlineStr">
        <is>
          <t>What changes after an action, and what is kept or cleared.</t>
        </is>
      </c>
    </row>
    <row r="40">
      <c r="A40" s="14" t="inlineStr">
        <is>
          <t>Calculation</t>
        </is>
      </c>
      <c r="B40" s="4" t="inlineStr">
        <is>
          <t>A derived value: amounts, percentages, counts, dates, labels built from data.</t>
        </is>
      </c>
    </row>
    <row r="41">
      <c r="A41" s="14" t="inlineStr">
        <is>
          <t>Data mapping</t>
        </is>
      </c>
      <c r="B41" s="4" t="inlineStr">
        <is>
          <t>A server value shown as the right label or screen.</t>
        </is>
      </c>
    </row>
    <row r="42">
      <c r="A42" s="14" t="inlineStr">
        <is>
          <t>Error handling</t>
        </is>
      </c>
      <c r="B42" s="4" t="inlineStr">
        <is>
          <t>A specific refusal or failure and the message it must produce.</t>
        </is>
      </c>
    </row>
    <row r="43">
      <c r="A43" s="14" t="inlineStr">
        <is>
          <t>Verify gap</t>
        </is>
      </c>
      <c r="B43" s="4" t="inlineStr">
        <is>
          <t>The code appears to behave differently from what a user or the API contract would expect. Found by reading the code, not by running the app — confirm on a device, then log a defect or mark N/A with the owner's decision.</t>
        </is>
      </c>
    </row>
    <row r="45">
      <c r="A45" s="3" t="inlineStr">
        <is>
          <t>Example of a filled-in checklist row</t>
        </is>
      </c>
    </row>
    <row r="46">
      <c r="A46" s="15" t="inlineStr">
        <is>
          <t>ID</t>
        </is>
      </c>
      <c r="B46" s="15" t="inlineStr">
        <is>
          <t>Test case</t>
        </is>
      </c>
      <c r="C46" s="15" t="inlineStr">
        <is>
          <t>Notes / Actual result</t>
        </is>
      </c>
      <c r="D46" s="15" t="inlineStr">
        <is>
          <t>Status</t>
        </is>
      </c>
      <c r="E46" s="15" t="inlineStr">
        <is>
          <t>Tester</t>
        </is>
      </c>
      <c r="F46" s="15" t="inlineStr">
        <is>
          <t>Date tested</t>
        </is>
      </c>
      <c r="G46" s="15" t="inlineStr">
        <is>
          <t>Build</t>
        </is>
      </c>
      <c r="H46" s="15" t="inlineStr">
        <is>
          <t>Device / OS</t>
        </is>
      </c>
    </row>
    <row r="47">
      <c r="A47" s="16" t="inlineStr">
        <is>
          <t>AUTH-019</t>
        </is>
      </c>
      <c r="B47" s="16" t="inlineStr">
        <is>
          <t>Wrong password</t>
        </is>
      </c>
      <c r="C47" s="16" t="inlineStr">
        <is>
          <t>Shows 'attempts remaining: 4'. Fields stay filled.</t>
        </is>
      </c>
      <c r="D47" s="17" t="inlineStr">
        <is>
          <t>Pass</t>
        </is>
      </c>
      <c r="E47" s="16" t="inlineStr">
        <is>
          <t>A. Tester</t>
        </is>
      </c>
      <c r="F47" s="16" t="inlineStr">
        <is>
          <t>06-Oct-2026</t>
        </is>
      </c>
      <c r="G47" s="16" t="inlineStr">
        <is>
          <t>1.0.0+7</t>
        </is>
      </c>
      <c r="H47" s="16" t="inlineStr">
        <is>
          <t>Pixel 8 / Android 15</t>
        </is>
      </c>
    </row>
    <row r="49">
      <c r="A49" s="3" t="inlineStr">
        <is>
          <t>Where the test cases come from</t>
        </is>
      </c>
    </row>
    <row r="50">
      <c r="A50" s="14" t="inlineStr">
        <is>
          <t>Screens and routes</t>
        </is>
      </c>
      <c r="B50" s="4" t="inlineStr">
        <is>
          <t>lib/app/router/app_routes.dart and the screen files under lib/features/*/presentation/screen</t>
        </is>
      </c>
    </row>
    <row r="51">
      <c r="A51" s="14" t="inlineStr">
        <is>
          <t>Expected API behaviour</t>
        </is>
      </c>
      <c r="B51" s="4" t="inlineStr">
        <is>
          <t>docs-flutter/FLUTTER_API_INTEGRATION.md (error codes, limits, timers, idempotency, token lifecycle)</t>
        </is>
      </c>
    </row>
    <row r="52">
      <c r="A52" s="14" t="inlineStr">
        <is>
          <t>Business rules</t>
        </is>
      </c>
      <c r="B52" s="4" t="inlineStr">
        <is>
          <t>Read from the domain, application and controller code of each feature (lib/features/*/domain, */application, */presentation/controllers) and lib/core; each row cites its file.</t>
        </is>
      </c>
    </row>
    <row r="53">
      <c r="A53" s="14" t="inlineStr">
        <is>
          <t>Cache scenarios</t>
        </is>
      </c>
      <c r="B53" s="4" t="inlineStr">
        <is>
          <t>docs-flutter/HIVE implementation.md (the ten scenarios) and lib/core/storage/hive/boxes.dart (CacheConfig)</t>
        </is>
      </c>
    </row>
    <row r="54">
      <c r="A54" s="14" t="inlineStr">
        <is>
          <t>Code quality gates</t>
        </is>
      </c>
      <c r="B54" s="4" t="inlineStr">
        <is>
          <t>docs-flutter/QA.md (audit prompts 1–5 and the architecture audit)</t>
        </is>
      </c>
    </row>
    <row r="55">
      <c r="A55" s="14" t="inlineStr">
        <is>
          <t>Known blockers</t>
        </is>
      </c>
      <c r="B55" s="4" t="inlineStr">
        <is>
          <t>docs/FLUTTER_INTEGRATION_GAPS_ROUND_2.md (dated 2026-10-01) plus the files named on the Known Blockers sheet</t>
        </is>
      </c>
    </row>
    <row r="56">
      <c r="A56" s="14" t="inlineStr">
        <is>
          <t>Not derived from the repo</t>
        </is>
      </c>
      <c r="B56" s="4" t="inlineStr">
        <is>
          <t>Device matrix, performance targets (3 s cold start, 16 ms frames), the 95% execution threshold and store-submission items are common practice — adjust to your team's standards.</t>
        </is>
      </c>
    </row>
    <row r="58">
      <c r="A58" s="3" t="inlineStr">
        <is>
          <t>Sheets</t>
        </is>
      </c>
    </row>
    <row r="59">
      <c r="A59" s="14" t="inlineStr">
        <is>
          <t>Summary</t>
        </is>
      </c>
      <c r="B59" s="4" t="inlineStr">
        <is>
          <t>Release gate, progress by priority and by module for both test sheets (formulas).</t>
        </is>
      </c>
    </row>
    <row r="60">
      <c r="A60" s="14" t="inlineStr">
        <is>
          <t>Business Logic</t>
        </is>
      </c>
      <c r="B60" s="4" t="inlineStr">
        <is>
          <t>408 business-rule checks in 14 modules, each split into sub-modules.</t>
        </is>
      </c>
    </row>
    <row r="61">
      <c r="A61" s="14" t="inlineStr">
        <is>
          <t>Checklist</t>
        </is>
      </c>
      <c r="B61" s="4" t="inlineStr">
        <is>
          <t>438 functional, non-functional and release cases in 26 modules.</t>
        </is>
      </c>
    </row>
    <row r="62">
      <c r="A62" s="14" t="inlineStr">
        <is>
          <t>Known Blockers</t>
        </is>
      </c>
      <c r="B62" s="4" t="inlineStr">
        <is>
          <t>13 items found in the repo that stop or weaken the test pass.</t>
        </is>
      </c>
    </row>
    <row r="63">
      <c r="A63" s="14" t="inlineStr">
        <is>
          <t>Screen Coverage</t>
        </is>
      </c>
      <c r="B63" s="4" t="inlineStr">
        <is>
          <t>51 screens × 8 states/conditions.</t>
        </is>
      </c>
    </row>
    <row r="64">
      <c r="A64" s="14" t="inlineStr">
        <is>
          <t>Device Matrix</t>
        </is>
      </c>
      <c r="B64" s="4" t="inlineStr">
        <is>
          <t>Recommended devices and OS versions.</t>
        </is>
      </c>
    </row>
    <row r="65">
      <c r="A65" s="14" t="inlineStr">
        <is>
          <t>Defect Log</t>
        </is>
      </c>
      <c r="B65" s="4" t="inlineStr">
        <is>
          <t>One row per defect.</t>
        </is>
      </c>
    </row>
    <row r="66">
      <c r="A66" s="14" t="inlineStr">
        <is>
          <t>Sign-off</t>
        </is>
      </c>
      <c r="B66" s="4" t="inlineStr">
        <is>
          <t>Exit criteria and approvals.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showGridLines="0" tabSelected="0" workbookViewId="0">
      <pane ySplit="3" topLeftCell="A4" activePane="bottomLeft" state="frozen"/>
      <selection pane="bottomLeft" activeCell="A1" sqref="A1"/>
    </sheetView>
  </sheetViews>
  <sheetFormatPr baseColWidth="8" defaultRowHeight="15"/>
  <cols>
    <col width="38" customWidth="1" min="1" max="1"/>
    <col width="10" customWidth="1" min="2" max="2"/>
    <col width="10" customWidth="1" min="3" max="3"/>
    <col width="10" customWidth="1" min="4" max="4"/>
    <col width="10" customWidth="1" min="5" max="5"/>
    <col width="10" customWidth="1" min="6" max="6"/>
    <col width="10" customWidth="1" min="7" max="7"/>
    <col width="13" customWidth="1" min="8" max="8"/>
    <col width="13" customWidth="1" min="9" max="9"/>
    <col width="44" customWidth="1" min="10" max="10"/>
  </cols>
  <sheetData>
    <row r="1">
      <c r="A1" s="1" t="inlineStr">
        <is>
          <t>Medibook — Production Readiness Test Summary</t>
        </is>
      </c>
    </row>
    <row r="2">
      <c r="A2" s="2" t="inlineStr">
        <is>
          <t>Every figure on this sheet is a formula over the Checklist sheet. Do not type over them.</t>
        </is>
      </c>
    </row>
    <row r="4">
      <c r="A4" s="3" t="inlineStr">
        <is>
          <t>Release gate</t>
        </is>
      </c>
    </row>
    <row r="5">
      <c r="A5" s="18" t="inlineStr">
        <is>
          <t>P0 cases not yet passed</t>
        </is>
      </c>
      <c r="B5" s="8">
        <f>COUNTIF(Checklist!$G$2:$G$1000,"P0")+COUNTIF('Business Logic'!$G$2:$G$1000,"P0")-(COUNTIFS(Checklist!$G$2:$G$1000,"P0",Checklist!$K$2:$K$1000,"Pass")+COUNTIFS('Business Logic'!$G$2:$G$1000,"P0",'Business Logic'!$K$2:$K$1000,"Pass"))-(COUNTIFS(Checklist!$G$2:$G$1000,"P0",Checklist!$K$2:$K$1000,"N/A")+COUNTIFS('Business Logic'!$G$2:$G$1000,"P0",'Business Logic'!$K$2:$K$1000,"N/A"))</f>
        <v/>
      </c>
      <c r="C5" s="2" t="inlineStr">
        <is>
          <t>Every P0 must be Pass (or N/A with a written reason).</t>
        </is>
      </c>
    </row>
    <row r="6">
      <c r="A6" s="18" t="inlineStr">
        <is>
          <t>P0 / P1 cases failing</t>
        </is>
      </c>
      <c r="B6" s="8">
        <f>COUNTIFS(Checklist!$G$2:$G$1000,"P0",Checklist!$K$2:$K$1000,"Fail")+COUNTIFS('Business Logic'!$G$2:$G$1000,"P0",'Business Logic'!$K$2:$K$1000,"Fail")+COUNTIFS(Checklist!$G$2:$G$1000,"P1",Checklist!$K$2:$K$1000,"Fail")+COUNTIFS('Business Logic'!$G$2:$G$1000,"P1",'Business Logic'!$K$2:$K$1000,"Fail")</f>
        <v/>
      </c>
      <c r="C6" s="2" t="inlineStr">
        <is>
          <t>No open P0 or P1 failures.</t>
        </is>
      </c>
    </row>
    <row r="7">
      <c r="A7" s="18" t="inlineStr">
        <is>
          <t>Cases blocked</t>
        </is>
      </c>
      <c r="B7" s="8">
        <f>COUNTIF(Checklist!$K$2:$K$1000,"Blocked")+COUNTIF('Business Logic'!$K$2:$K$1000,"Blocked")</f>
        <v/>
      </c>
      <c r="C7" s="2" t="inlineStr">
        <is>
          <t>Blocked cases must be unblocked or accepted on the Sign-off sheet.</t>
        </is>
      </c>
    </row>
    <row r="8">
      <c r="A8" s="18" t="inlineStr">
        <is>
          <t>Known blockers still open</t>
        </is>
      </c>
      <c r="B8" s="8">
        <f>'Known Blockers'!$I$1</f>
        <v/>
      </c>
      <c r="C8" s="2" t="inlineStr">
        <is>
          <t>From the Known Blockers sheet.</t>
        </is>
      </c>
    </row>
    <row r="9">
      <c r="A9" s="19" t="inlineStr">
        <is>
          <t>Verdict</t>
        </is>
      </c>
      <c r="B9" s="20">
        <f>IF(AND(B5=0,B6=0,B7=0,B8=0),"GO","NO-GO")</f>
        <v/>
      </c>
      <c r="C9" s="2" t="inlineStr">
        <is>
          <t>GO only when the four counts above are all zero. Counts cover the Checklist and Business Logic sheets together.</t>
        </is>
      </c>
    </row>
    <row r="11">
      <c r="A11" s="3" t="inlineStr">
        <is>
          <t>Progress by priority (both sheets)</t>
        </is>
      </c>
    </row>
    <row r="12" ht="30" customHeight="1">
      <c r="A12" s="15" t="inlineStr">
        <is>
          <t>Priority</t>
        </is>
      </c>
      <c r="B12" s="15" t="inlineStr">
        <is>
          <t>Total</t>
        </is>
      </c>
      <c r="C12" s="15" t="inlineStr">
        <is>
          <t>Pass</t>
        </is>
      </c>
      <c r="D12" s="15" t="inlineStr">
        <is>
          <t>Fail</t>
        </is>
      </c>
      <c r="E12" s="15" t="inlineStr">
        <is>
          <t>Blocked</t>
        </is>
      </c>
      <c r="F12" s="15" t="inlineStr">
        <is>
          <t>N/A</t>
        </is>
      </c>
      <c r="G12" s="15" t="inlineStr">
        <is>
          <t>Not Run</t>
        </is>
      </c>
      <c r="H12" s="15" t="inlineStr">
        <is>
          <t>% executed</t>
        </is>
      </c>
      <c r="I12" s="15" t="inlineStr">
        <is>
          <t>Pass rate</t>
        </is>
      </c>
    </row>
    <row r="13">
      <c r="A13" s="18" t="inlineStr">
        <is>
          <t>P0 — release blocker</t>
        </is>
      </c>
      <c r="B13" s="21">
        <f>COUNTIF(Checklist!$G$2:$G$1000,"P0")+COUNTIF('Business Logic'!$G$2:$G$1000,"P0")</f>
        <v/>
      </c>
      <c r="C13" s="21">
        <f>COUNTIFS(Checklist!$G$2:$G$1000,"P0",Checklist!$K$2:$K$1000,"Pass")+COUNTIFS('Business Logic'!$G$2:$G$1000,"P0",'Business Logic'!$K$2:$K$1000,"Pass")</f>
        <v/>
      </c>
      <c r="D13" s="21">
        <f>COUNTIFS(Checklist!$G$2:$G$1000,"P0",Checklist!$K$2:$K$1000,"Fail")+COUNTIFS('Business Logic'!$G$2:$G$1000,"P0",'Business Logic'!$K$2:$K$1000,"Fail")</f>
        <v/>
      </c>
      <c r="E13" s="21">
        <f>COUNTIFS(Checklist!$G$2:$G$1000,"P0",Checklist!$K$2:$K$1000,"Blocked")+COUNTIFS('Business Logic'!$G$2:$G$1000,"P0",'Business Logic'!$K$2:$K$1000,"Blocked")</f>
        <v/>
      </c>
      <c r="F13" s="21">
        <f>COUNTIFS(Checklist!$G$2:$G$1000,"P0",Checklist!$K$2:$K$1000,"N/A")+COUNTIFS('Business Logic'!$G$2:$G$1000,"P0",'Business Logic'!$K$2:$K$1000,"N/A")</f>
        <v/>
      </c>
      <c r="G13" s="21">
        <f>COUNTIFS(Checklist!$G$2:$G$1000,"P0",Checklist!$K$2:$K$1000,"Not Run")+COUNTIFS('Business Logic'!$G$2:$G$1000,"P0",'Business Logic'!$K$2:$K$1000,"Not Run")</f>
        <v/>
      </c>
      <c r="H13" s="22">
        <f>IF(B13=0,0,(B13-G13)/B13)</f>
        <v/>
      </c>
      <c r="I13" s="22">
        <f>IF(C13+D13=0,0,C13/(C13+D13))</f>
        <v/>
      </c>
    </row>
    <row r="14">
      <c r="A14" s="18" t="inlineStr">
        <is>
          <t>P1 — must fix before launch</t>
        </is>
      </c>
      <c r="B14" s="21">
        <f>COUNTIF(Checklist!$G$2:$G$1000,"P1")+COUNTIF('Business Logic'!$G$2:$G$1000,"P1")</f>
        <v/>
      </c>
      <c r="C14" s="21">
        <f>COUNTIFS(Checklist!$G$2:$G$1000,"P1",Checklist!$K$2:$K$1000,"Pass")+COUNTIFS('Business Logic'!$G$2:$G$1000,"P1",'Business Logic'!$K$2:$K$1000,"Pass")</f>
        <v/>
      </c>
      <c r="D14" s="21">
        <f>COUNTIFS(Checklist!$G$2:$G$1000,"P1",Checklist!$K$2:$K$1000,"Fail")+COUNTIFS('Business Logic'!$G$2:$G$1000,"P1",'Business Logic'!$K$2:$K$1000,"Fail")</f>
        <v/>
      </c>
      <c r="E14" s="21">
        <f>COUNTIFS(Checklist!$G$2:$G$1000,"P1",Checklist!$K$2:$K$1000,"Blocked")+COUNTIFS('Business Logic'!$G$2:$G$1000,"P1",'Business Logic'!$K$2:$K$1000,"Blocked")</f>
        <v/>
      </c>
      <c r="F14" s="21">
        <f>COUNTIFS(Checklist!$G$2:$G$1000,"P1",Checklist!$K$2:$K$1000,"N/A")+COUNTIFS('Business Logic'!$G$2:$G$1000,"P1",'Business Logic'!$K$2:$K$1000,"N/A")</f>
        <v/>
      </c>
      <c r="G14" s="21">
        <f>COUNTIFS(Checklist!$G$2:$G$1000,"P1",Checklist!$K$2:$K$1000,"Not Run")+COUNTIFS('Business Logic'!$G$2:$G$1000,"P1",'Business Logic'!$K$2:$K$1000,"Not Run")</f>
        <v/>
      </c>
      <c r="H14" s="22">
        <f>IF(B14=0,0,(B14-G14)/B14)</f>
        <v/>
      </c>
      <c r="I14" s="22">
        <f>IF(C14+D14=0,0,C14/(C14+D14))</f>
        <v/>
      </c>
    </row>
    <row r="15">
      <c r="A15" s="18" t="inlineStr">
        <is>
          <t>P2 — should fix</t>
        </is>
      </c>
      <c r="B15" s="21">
        <f>COUNTIF(Checklist!$G$2:$G$1000,"P2")+COUNTIF('Business Logic'!$G$2:$G$1000,"P2")</f>
        <v/>
      </c>
      <c r="C15" s="21">
        <f>COUNTIFS(Checklist!$G$2:$G$1000,"P2",Checklist!$K$2:$K$1000,"Pass")+COUNTIFS('Business Logic'!$G$2:$G$1000,"P2",'Business Logic'!$K$2:$K$1000,"Pass")</f>
        <v/>
      </c>
      <c r="D15" s="21">
        <f>COUNTIFS(Checklist!$G$2:$G$1000,"P2",Checklist!$K$2:$K$1000,"Fail")+COUNTIFS('Business Logic'!$G$2:$G$1000,"P2",'Business Logic'!$K$2:$K$1000,"Fail")</f>
        <v/>
      </c>
      <c r="E15" s="21">
        <f>COUNTIFS(Checklist!$G$2:$G$1000,"P2",Checklist!$K$2:$K$1000,"Blocked")+COUNTIFS('Business Logic'!$G$2:$G$1000,"P2",'Business Logic'!$K$2:$K$1000,"Blocked")</f>
        <v/>
      </c>
      <c r="F15" s="21">
        <f>COUNTIFS(Checklist!$G$2:$G$1000,"P2",Checklist!$K$2:$K$1000,"N/A")+COUNTIFS('Business Logic'!$G$2:$G$1000,"P2",'Business Logic'!$K$2:$K$1000,"N/A")</f>
        <v/>
      </c>
      <c r="G15" s="21">
        <f>COUNTIFS(Checklist!$G$2:$G$1000,"P2",Checklist!$K$2:$K$1000,"Not Run")+COUNTIFS('Business Logic'!$G$2:$G$1000,"P2",'Business Logic'!$K$2:$K$1000,"Not Run")</f>
        <v/>
      </c>
      <c r="H15" s="22">
        <f>IF(B15=0,0,(B15-G15)/B15)</f>
        <v/>
      </c>
      <c r="I15" s="22">
        <f>IF(C15+D15=0,0,C15/(C15+D15))</f>
        <v/>
      </c>
    </row>
    <row r="16">
      <c r="A16" s="18" t="inlineStr">
        <is>
          <t>P3 — nice to have</t>
        </is>
      </c>
      <c r="B16" s="21">
        <f>COUNTIF(Checklist!$G$2:$G$1000,"P3")+COUNTIF('Business Logic'!$G$2:$G$1000,"P3")</f>
        <v/>
      </c>
      <c r="C16" s="21">
        <f>COUNTIFS(Checklist!$G$2:$G$1000,"P3",Checklist!$K$2:$K$1000,"Pass")+COUNTIFS('Business Logic'!$G$2:$G$1000,"P3",'Business Logic'!$K$2:$K$1000,"Pass")</f>
        <v/>
      </c>
      <c r="D16" s="21">
        <f>COUNTIFS(Checklist!$G$2:$G$1000,"P3",Checklist!$K$2:$K$1000,"Fail")+COUNTIFS('Business Logic'!$G$2:$G$1000,"P3",'Business Logic'!$K$2:$K$1000,"Fail")</f>
        <v/>
      </c>
      <c r="E16" s="21">
        <f>COUNTIFS(Checklist!$G$2:$G$1000,"P3",Checklist!$K$2:$K$1000,"Blocked")+COUNTIFS('Business Logic'!$G$2:$G$1000,"P3",'Business Logic'!$K$2:$K$1000,"Blocked")</f>
        <v/>
      </c>
      <c r="F16" s="21">
        <f>COUNTIFS(Checklist!$G$2:$G$1000,"P3",Checklist!$K$2:$K$1000,"N/A")+COUNTIFS('Business Logic'!$G$2:$G$1000,"P3",'Business Logic'!$K$2:$K$1000,"N/A")</f>
        <v/>
      </c>
      <c r="G16" s="21">
        <f>COUNTIFS(Checklist!$G$2:$G$1000,"P3",Checklist!$K$2:$K$1000,"Not Run")+COUNTIFS('Business Logic'!$G$2:$G$1000,"P3",'Business Logic'!$K$2:$K$1000,"Not Run")</f>
        <v/>
      </c>
      <c r="H16" s="22">
        <f>IF(B16=0,0,(B16-G16)/B16)</f>
        <v/>
      </c>
      <c r="I16" s="22">
        <f>IF(C16+D16=0,0,C16/(C16+D16))</f>
        <v/>
      </c>
    </row>
    <row r="17">
      <c r="A17" s="23" t="inlineStr">
        <is>
          <t>All cases</t>
        </is>
      </c>
      <c r="B17" s="24">
        <f>COUNTA(Checklist!$A$2:$A$1000)+COUNTA('Business Logic'!$A$2:$A$1000)</f>
        <v/>
      </c>
      <c r="C17" s="24">
        <f>COUNTIF(Checklist!$K$2:$K$1000,"Pass")+COUNTIF('Business Logic'!$K$2:$K$1000,"Pass")</f>
        <v/>
      </c>
      <c r="D17" s="24">
        <f>COUNTIF(Checklist!$K$2:$K$1000,"Fail")+COUNTIF('Business Logic'!$K$2:$K$1000,"Fail")</f>
        <v/>
      </c>
      <c r="E17" s="24">
        <f>COUNTIF(Checklist!$K$2:$K$1000,"Blocked")+COUNTIF('Business Logic'!$K$2:$K$1000,"Blocked")</f>
        <v/>
      </c>
      <c r="F17" s="24">
        <f>COUNTIF(Checklist!$K$2:$K$1000,"N/A")+COUNTIF('Business Logic'!$K$2:$K$1000,"N/A")</f>
        <v/>
      </c>
      <c r="G17" s="24">
        <f>COUNTIF(Checklist!$K$2:$K$1000,"Not Run")+COUNTIF('Business Logic'!$K$2:$K$1000,"Not Run")</f>
        <v/>
      </c>
      <c r="H17" s="25">
        <f>IF(B17=0,0,(B17-G17)/B17)</f>
        <v/>
      </c>
      <c r="I17" s="25">
        <f>IF(C17+D17=0,0,C17/(C17+D17))</f>
        <v/>
      </c>
    </row>
    <row r="18">
      <c r="A18" s="18" t="inlineStr">
        <is>
          <t xml:space="preserve">   of which: Checklist sheet</t>
        </is>
      </c>
      <c r="B18" s="21">
        <f>COUNTA(Checklist!$A$2:$A$1000)</f>
        <v/>
      </c>
      <c r="C18" s="21">
        <f>COUNTIF(Checklist!$K$2:$K$1000,"Pass")</f>
        <v/>
      </c>
      <c r="D18" s="21">
        <f>COUNTIF(Checklist!$K$2:$K$1000,"Fail")</f>
        <v/>
      </c>
      <c r="E18" s="21">
        <f>COUNTIF(Checklist!$K$2:$K$1000,"Blocked")</f>
        <v/>
      </c>
      <c r="F18" s="21">
        <f>COUNTIF(Checklist!$K$2:$K$1000,"N/A")</f>
        <v/>
      </c>
      <c r="G18" s="21">
        <f>COUNTIF(Checklist!$K$2:$K$1000,"Not Run")</f>
        <v/>
      </c>
      <c r="H18" s="22">
        <f>IF(B18=0,0,(B18-G18)/B18)</f>
        <v/>
      </c>
      <c r="I18" s="22">
        <f>IF(C18+D18=0,0,C18/(C18+D18))</f>
        <v/>
      </c>
    </row>
    <row r="19">
      <c r="A19" s="18" t="inlineStr">
        <is>
          <t xml:space="preserve">   of which: Business Logic sheet</t>
        </is>
      </c>
      <c r="B19" s="21">
        <f>COUNTA('Business Logic'!$A$2:$A$1000)</f>
        <v/>
      </c>
      <c r="C19" s="21">
        <f>COUNTIF('Business Logic'!$K$2:$K$1000,"Pass")</f>
        <v/>
      </c>
      <c r="D19" s="21">
        <f>COUNTIF('Business Logic'!$K$2:$K$1000,"Fail")</f>
        <v/>
      </c>
      <c r="E19" s="21">
        <f>COUNTIF('Business Logic'!$K$2:$K$1000,"Blocked")</f>
        <v/>
      </c>
      <c r="F19" s="21">
        <f>COUNTIF('Business Logic'!$K$2:$K$1000,"N/A")</f>
        <v/>
      </c>
      <c r="G19" s="21">
        <f>COUNTIF('Business Logic'!$K$2:$K$1000,"Not Run")</f>
        <v/>
      </c>
      <c r="H19" s="22">
        <f>IF(B19=0,0,(B19-G19)/B19)</f>
        <v/>
      </c>
      <c r="I19" s="22">
        <f>IF(C19+D19=0,0,C19/(C19+D19))</f>
        <v/>
      </c>
    </row>
    <row r="21">
      <c r="A21" s="3" t="inlineStr">
        <is>
          <t>Business logic — progress by module</t>
        </is>
      </c>
    </row>
    <row r="22" ht="30" customHeight="1">
      <c r="A22" s="15" t="inlineStr">
        <is>
          <t>Module</t>
        </is>
      </c>
      <c r="B22" s="15" t="inlineStr">
        <is>
          <t>Total</t>
        </is>
      </c>
      <c r="C22" s="15" t="inlineStr">
        <is>
          <t>Pass</t>
        </is>
      </c>
      <c r="D22" s="15" t="inlineStr">
        <is>
          <t>Fail</t>
        </is>
      </c>
      <c r="E22" s="15" t="inlineStr">
        <is>
          <t>Blocked</t>
        </is>
      </c>
      <c r="F22" s="15" t="inlineStr">
        <is>
          <t>N/A</t>
        </is>
      </c>
      <c r="G22" s="15" t="inlineStr">
        <is>
          <t>Not Run</t>
        </is>
      </c>
      <c r="H22" s="15" t="inlineStr">
        <is>
          <t>% executed</t>
        </is>
      </c>
      <c r="I22" s="15" t="inlineStr">
        <is>
          <t>Pass rate</t>
        </is>
      </c>
    </row>
    <row r="23">
      <c r="A23" s="18" t="inlineStr">
        <is>
          <t>Authentication &amp; session</t>
        </is>
      </c>
      <c r="B23" s="21">
        <f>COUNTIF('Business Logic'!$B$2:$B$1000,$A23)</f>
        <v/>
      </c>
      <c r="C23" s="21">
        <f>COUNTIFS('Business Logic'!$B$2:$B$1000,$A23,'Business Logic'!$K$2:$K$1000,"Pass")</f>
        <v/>
      </c>
      <c r="D23" s="21">
        <f>COUNTIFS('Business Logic'!$B$2:$B$1000,$A23,'Business Logic'!$K$2:$K$1000,"Fail")</f>
        <v/>
      </c>
      <c r="E23" s="21">
        <f>COUNTIFS('Business Logic'!$B$2:$B$1000,$A23,'Business Logic'!$K$2:$K$1000,"Blocked")</f>
        <v/>
      </c>
      <c r="F23" s="21">
        <f>COUNTIFS('Business Logic'!$B$2:$B$1000,$A23,'Business Logic'!$K$2:$K$1000,"N/A")</f>
        <v/>
      </c>
      <c r="G23" s="21">
        <f>COUNTIFS('Business Logic'!$B$2:$B$1000,$A23,'Business Logic'!$K$2:$K$1000,"Not Run")</f>
        <v/>
      </c>
      <c r="H23" s="22">
        <f>IF(B23=0,0,(B23-G23)/B23)</f>
        <v/>
      </c>
      <c r="I23" s="22">
        <f>IF(C23+D23=0,0,C23/(C23+D23))</f>
        <v/>
      </c>
    </row>
    <row r="24">
      <c r="A24" s="18" t="inlineStr">
        <is>
          <t>Booking</t>
        </is>
      </c>
      <c r="B24" s="21">
        <f>COUNTIF('Business Logic'!$B$2:$B$1000,$A24)</f>
        <v/>
      </c>
      <c r="C24" s="21">
        <f>COUNTIFS('Business Logic'!$B$2:$B$1000,$A24,'Business Logic'!$K$2:$K$1000,"Pass")</f>
        <v/>
      </c>
      <c r="D24" s="21">
        <f>COUNTIFS('Business Logic'!$B$2:$B$1000,$A24,'Business Logic'!$K$2:$K$1000,"Fail")</f>
        <v/>
      </c>
      <c r="E24" s="21">
        <f>COUNTIFS('Business Logic'!$B$2:$B$1000,$A24,'Business Logic'!$K$2:$K$1000,"Blocked")</f>
        <v/>
      </c>
      <c r="F24" s="21">
        <f>COUNTIFS('Business Logic'!$B$2:$B$1000,$A24,'Business Logic'!$K$2:$K$1000,"N/A")</f>
        <v/>
      </c>
      <c r="G24" s="21">
        <f>COUNTIFS('Business Logic'!$B$2:$B$1000,$A24,'Business Logic'!$K$2:$K$1000,"Not Run")</f>
        <v/>
      </c>
      <c r="H24" s="22">
        <f>IF(B24=0,0,(B24-G24)/B24)</f>
        <v/>
      </c>
      <c r="I24" s="22">
        <f>IF(C24+D24=0,0,C24/(C24+D24))</f>
        <v/>
      </c>
    </row>
    <row r="25">
      <c r="A25" s="18" t="inlineStr">
        <is>
          <t>Payment</t>
        </is>
      </c>
      <c r="B25" s="21">
        <f>COUNTIF('Business Logic'!$B$2:$B$1000,$A25)</f>
        <v/>
      </c>
      <c r="C25" s="21">
        <f>COUNTIFS('Business Logic'!$B$2:$B$1000,$A25,'Business Logic'!$K$2:$K$1000,"Pass")</f>
        <v/>
      </c>
      <c r="D25" s="21">
        <f>COUNTIFS('Business Logic'!$B$2:$B$1000,$A25,'Business Logic'!$K$2:$K$1000,"Fail")</f>
        <v/>
      </c>
      <c r="E25" s="21">
        <f>COUNTIFS('Business Logic'!$B$2:$B$1000,$A25,'Business Logic'!$K$2:$K$1000,"Blocked")</f>
        <v/>
      </c>
      <c r="F25" s="21">
        <f>COUNTIFS('Business Logic'!$B$2:$B$1000,$A25,'Business Logic'!$K$2:$K$1000,"N/A")</f>
        <v/>
      </c>
      <c r="G25" s="21">
        <f>COUNTIFS('Business Logic'!$B$2:$B$1000,$A25,'Business Logic'!$K$2:$K$1000,"Not Run")</f>
        <v/>
      </c>
      <c r="H25" s="22">
        <f>IF(B25=0,0,(B25-G25)/B25)</f>
        <v/>
      </c>
      <c r="I25" s="22">
        <f>IF(C25+D25=0,0,C25/(C25+D25))</f>
        <v/>
      </c>
    </row>
    <row r="26">
      <c r="A26" s="18" t="inlineStr">
        <is>
          <t>Appointments</t>
        </is>
      </c>
      <c r="B26" s="21">
        <f>COUNTIF('Business Logic'!$B$2:$B$1000,$A26)</f>
        <v/>
      </c>
      <c r="C26" s="21">
        <f>COUNTIFS('Business Logic'!$B$2:$B$1000,$A26,'Business Logic'!$K$2:$K$1000,"Pass")</f>
        <v/>
      </c>
      <c r="D26" s="21">
        <f>COUNTIFS('Business Logic'!$B$2:$B$1000,$A26,'Business Logic'!$K$2:$K$1000,"Fail")</f>
        <v/>
      </c>
      <c r="E26" s="21">
        <f>COUNTIFS('Business Logic'!$B$2:$B$1000,$A26,'Business Logic'!$K$2:$K$1000,"Blocked")</f>
        <v/>
      </c>
      <c r="F26" s="21">
        <f>COUNTIFS('Business Logic'!$B$2:$B$1000,$A26,'Business Logic'!$K$2:$K$1000,"N/A")</f>
        <v/>
      </c>
      <c r="G26" s="21">
        <f>COUNTIFS('Business Logic'!$B$2:$B$1000,$A26,'Business Logic'!$K$2:$K$1000,"Not Run")</f>
        <v/>
      </c>
      <c r="H26" s="22">
        <f>IF(B26=0,0,(B26-G26)/B26)</f>
        <v/>
      </c>
      <c r="I26" s="22">
        <f>IF(C26+D26=0,0,C26/(C26+D26))</f>
        <v/>
      </c>
    </row>
    <row r="27">
      <c r="A27" s="18" t="inlineStr">
        <is>
          <t>Live queue</t>
        </is>
      </c>
      <c r="B27" s="21">
        <f>COUNTIF('Business Logic'!$B$2:$B$1000,$A27)</f>
        <v/>
      </c>
      <c r="C27" s="21">
        <f>COUNTIFS('Business Logic'!$B$2:$B$1000,$A27,'Business Logic'!$K$2:$K$1000,"Pass")</f>
        <v/>
      </c>
      <c r="D27" s="21">
        <f>COUNTIFS('Business Logic'!$B$2:$B$1000,$A27,'Business Logic'!$K$2:$K$1000,"Fail")</f>
        <v/>
      </c>
      <c r="E27" s="21">
        <f>COUNTIFS('Business Logic'!$B$2:$B$1000,$A27,'Business Logic'!$K$2:$K$1000,"Blocked")</f>
        <v/>
      </c>
      <c r="F27" s="21">
        <f>COUNTIFS('Business Logic'!$B$2:$B$1000,$A27,'Business Logic'!$K$2:$K$1000,"N/A")</f>
        <v/>
      </c>
      <c r="G27" s="21">
        <f>COUNTIFS('Business Logic'!$B$2:$B$1000,$A27,'Business Logic'!$K$2:$K$1000,"Not Run")</f>
        <v/>
      </c>
      <c r="H27" s="22">
        <f>IF(B27=0,0,(B27-G27)/B27)</f>
        <v/>
      </c>
      <c r="I27" s="22">
        <f>IF(C27+D27=0,0,C27/(C27+D27))</f>
        <v/>
      </c>
    </row>
    <row r="28">
      <c r="A28" s="18" t="inlineStr">
        <is>
          <t>Home &amp; search</t>
        </is>
      </c>
      <c r="B28" s="21">
        <f>COUNTIF('Business Logic'!$B$2:$B$1000,$A28)</f>
        <v/>
      </c>
      <c r="C28" s="21">
        <f>COUNTIFS('Business Logic'!$B$2:$B$1000,$A28,'Business Logic'!$K$2:$K$1000,"Pass")</f>
        <v/>
      </c>
      <c r="D28" s="21">
        <f>COUNTIFS('Business Logic'!$B$2:$B$1000,$A28,'Business Logic'!$K$2:$K$1000,"Fail")</f>
        <v/>
      </c>
      <c r="E28" s="21">
        <f>COUNTIFS('Business Logic'!$B$2:$B$1000,$A28,'Business Logic'!$K$2:$K$1000,"Blocked")</f>
        <v/>
      </c>
      <c r="F28" s="21">
        <f>COUNTIFS('Business Logic'!$B$2:$B$1000,$A28,'Business Logic'!$K$2:$K$1000,"N/A")</f>
        <v/>
      </c>
      <c r="G28" s="21">
        <f>COUNTIFS('Business Logic'!$B$2:$B$1000,$A28,'Business Logic'!$K$2:$K$1000,"Not Run")</f>
        <v/>
      </c>
      <c r="H28" s="22">
        <f>IF(B28=0,0,(B28-G28)/B28)</f>
        <v/>
      </c>
      <c r="I28" s="22">
        <f>IF(C28+D28=0,0,C28/(C28+D28))</f>
        <v/>
      </c>
    </row>
    <row r="29">
      <c r="A29" s="18" t="inlineStr">
        <is>
          <t>Records &amp; uploads</t>
        </is>
      </c>
      <c r="B29" s="21">
        <f>COUNTIF('Business Logic'!$B$2:$B$1000,$A29)</f>
        <v/>
      </c>
      <c r="C29" s="21">
        <f>COUNTIFS('Business Logic'!$B$2:$B$1000,$A29,'Business Logic'!$K$2:$K$1000,"Pass")</f>
        <v/>
      </c>
      <c r="D29" s="21">
        <f>COUNTIFS('Business Logic'!$B$2:$B$1000,$A29,'Business Logic'!$K$2:$K$1000,"Fail")</f>
        <v/>
      </c>
      <c r="E29" s="21">
        <f>COUNTIFS('Business Logic'!$B$2:$B$1000,$A29,'Business Logic'!$K$2:$K$1000,"Blocked")</f>
        <v/>
      </c>
      <c r="F29" s="21">
        <f>COUNTIFS('Business Logic'!$B$2:$B$1000,$A29,'Business Logic'!$K$2:$K$1000,"N/A")</f>
        <v/>
      </c>
      <c r="G29" s="21">
        <f>COUNTIFS('Business Logic'!$B$2:$B$1000,$A29,'Business Logic'!$K$2:$K$1000,"Not Run")</f>
        <v/>
      </c>
      <c r="H29" s="22">
        <f>IF(B29=0,0,(B29-G29)/B29)</f>
        <v/>
      </c>
      <c r="I29" s="22">
        <f>IF(C29+D29=0,0,C29/(C29+D29))</f>
        <v/>
      </c>
    </row>
    <row r="30">
      <c r="A30" s="18" t="inlineStr">
        <is>
          <t>Cache, offline &amp; pagination</t>
        </is>
      </c>
      <c r="B30" s="21">
        <f>COUNTIF('Business Logic'!$B$2:$B$1000,$A30)</f>
        <v/>
      </c>
      <c r="C30" s="21">
        <f>COUNTIFS('Business Logic'!$B$2:$B$1000,$A30,'Business Logic'!$K$2:$K$1000,"Pass")</f>
        <v/>
      </c>
      <c r="D30" s="21">
        <f>COUNTIFS('Business Logic'!$B$2:$B$1000,$A30,'Business Logic'!$K$2:$K$1000,"Fail")</f>
        <v/>
      </c>
      <c r="E30" s="21">
        <f>COUNTIFS('Business Logic'!$B$2:$B$1000,$A30,'Business Logic'!$K$2:$K$1000,"Blocked")</f>
        <v/>
      </c>
      <c r="F30" s="21">
        <f>COUNTIFS('Business Logic'!$B$2:$B$1000,$A30,'Business Logic'!$K$2:$K$1000,"N/A")</f>
        <v/>
      </c>
      <c r="G30" s="21">
        <f>COUNTIFS('Business Logic'!$B$2:$B$1000,$A30,'Business Logic'!$K$2:$K$1000,"Not Run")</f>
        <v/>
      </c>
      <c r="H30" s="22">
        <f>IF(B30=0,0,(B30-G30)/B30)</f>
        <v/>
      </c>
      <c r="I30" s="22">
        <f>IF(C30+D30=0,0,C30/(C30+D30))</f>
        <v/>
      </c>
    </row>
    <row r="31">
      <c r="A31" s="18" t="inlineStr">
        <is>
          <t>Notifications</t>
        </is>
      </c>
      <c r="B31" s="21">
        <f>COUNTIF('Business Logic'!$B$2:$B$1000,$A31)</f>
        <v/>
      </c>
      <c r="C31" s="21">
        <f>COUNTIFS('Business Logic'!$B$2:$B$1000,$A31,'Business Logic'!$K$2:$K$1000,"Pass")</f>
        <v/>
      </c>
      <c r="D31" s="21">
        <f>COUNTIFS('Business Logic'!$B$2:$B$1000,$A31,'Business Logic'!$K$2:$K$1000,"Fail")</f>
        <v/>
      </c>
      <c r="E31" s="21">
        <f>COUNTIFS('Business Logic'!$B$2:$B$1000,$A31,'Business Logic'!$K$2:$K$1000,"Blocked")</f>
        <v/>
      </c>
      <c r="F31" s="21">
        <f>COUNTIFS('Business Logic'!$B$2:$B$1000,$A31,'Business Logic'!$K$2:$K$1000,"N/A")</f>
        <v/>
      </c>
      <c r="G31" s="21">
        <f>COUNTIFS('Business Logic'!$B$2:$B$1000,$A31,'Business Logic'!$K$2:$K$1000,"Not Run")</f>
        <v/>
      </c>
      <c r="H31" s="22">
        <f>IF(B31=0,0,(B31-G31)/B31)</f>
        <v/>
      </c>
      <c r="I31" s="22">
        <f>IF(C31+D31=0,0,C31/(C31+D31))</f>
        <v/>
      </c>
    </row>
    <row r="32">
      <c r="A32" s="18" t="inlineStr">
        <is>
          <t>Profile &amp; account</t>
        </is>
      </c>
      <c r="B32" s="21">
        <f>COUNTIF('Business Logic'!$B$2:$B$1000,$A32)</f>
        <v/>
      </c>
      <c r="C32" s="21">
        <f>COUNTIFS('Business Logic'!$B$2:$B$1000,$A32,'Business Logic'!$K$2:$K$1000,"Pass")</f>
        <v/>
      </c>
      <c r="D32" s="21">
        <f>COUNTIFS('Business Logic'!$B$2:$B$1000,$A32,'Business Logic'!$K$2:$K$1000,"Fail")</f>
        <v/>
      </c>
      <c r="E32" s="21">
        <f>COUNTIFS('Business Logic'!$B$2:$B$1000,$A32,'Business Logic'!$K$2:$K$1000,"Blocked")</f>
        <v/>
      </c>
      <c r="F32" s="21">
        <f>COUNTIFS('Business Logic'!$B$2:$B$1000,$A32,'Business Logic'!$K$2:$K$1000,"N/A")</f>
        <v/>
      </c>
      <c r="G32" s="21">
        <f>COUNTIFS('Business Logic'!$B$2:$B$1000,$A32,'Business Logic'!$K$2:$K$1000,"Not Run")</f>
        <v/>
      </c>
      <c r="H32" s="22">
        <f>IF(B32=0,0,(B32-G32)/B32)</f>
        <v/>
      </c>
      <c r="I32" s="22">
        <f>IF(C32+D32=0,0,C32/(C32+D32))</f>
        <v/>
      </c>
    </row>
    <row r="33">
      <c r="A33" s="18" t="inlineStr">
        <is>
          <t>Family members</t>
        </is>
      </c>
      <c r="B33" s="21">
        <f>COUNTIF('Business Logic'!$B$2:$B$1000,$A33)</f>
        <v/>
      </c>
      <c r="C33" s="21">
        <f>COUNTIFS('Business Logic'!$B$2:$B$1000,$A33,'Business Logic'!$K$2:$K$1000,"Pass")</f>
        <v/>
      </c>
      <c r="D33" s="21">
        <f>COUNTIFS('Business Logic'!$B$2:$B$1000,$A33,'Business Logic'!$K$2:$K$1000,"Fail")</f>
        <v/>
      </c>
      <c r="E33" s="21">
        <f>COUNTIFS('Business Logic'!$B$2:$B$1000,$A33,'Business Logic'!$K$2:$K$1000,"Blocked")</f>
        <v/>
      </c>
      <c r="F33" s="21">
        <f>COUNTIFS('Business Logic'!$B$2:$B$1000,$A33,'Business Logic'!$K$2:$K$1000,"N/A")</f>
        <v/>
      </c>
      <c r="G33" s="21">
        <f>COUNTIFS('Business Logic'!$B$2:$B$1000,$A33,'Business Logic'!$K$2:$K$1000,"Not Run")</f>
        <v/>
      </c>
      <c r="H33" s="22">
        <f>IF(B33=0,0,(B33-G33)/B33)</f>
        <v/>
      </c>
      <c r="I33" s="22">
        <f>IF(C33+D33=0,0,C33/(C33+D33))</f>
        <v/>
      </c>
    </row>
    <row r="34">
      <c r="A34" s="18" t="inlineStr">
        <is>
          <t>Insurance</t>
        </is>
      </c>
      <c r="B34" s="21">
        <f>COUNTIF('Business Logic'!$B$2:$B$1000,$A34)</f>
        <v/>
      </c>
      <c r="C34" s="21">
        <f>COUNTIFS('Business Logic'!$B$2:$B$1000,$A34,'Business Logic'!$K$2:$K$1000,"Pass")</f>
        <v/>
      </c>
      <c r="D34" s="21">
        <f>COUNTIFS('Business Logic'!$B$2:$B$1000,$A34,'Business Logic'!$K$2:$K$1000,"Fail")</f>
        <v/>
      </c>
      <c r="E34" s="21">
        <f>COUNTIFS('Business Logic'!$B$2:$B$1000,$A34,'Business Logic'!$K$2:$K$1000,"Blocked")</f>
        <v/>
      </c>
      <c r="F34" s="21">
        <f>COUNTIFS('Business Logic'!$B$2:$B$1000,$A34,'Business Logic'!$K$2:$K$1000,"N/A")</f>
        <v/>
      </c>
      <c r="G34" s="21">
        <f>COUNTIFS('Business Logic'!$B$2:$B$1000,$A34,'Business Logic'!$K$2:$K$1000,"Not Run")</f>
        <v/>
      </c>
      <c r="H34" s="22">
        <f>IF(B34=0,0,(B34-G34)/B34)</f>
        <v/>
      </c>
      <c r="I34" s="22">
        <f>IF(C34+D34=0,0,C34/(C34+D34))</f>
        <v/>
      </c>
    </row>
    <row r="35">
      <c r="A35" s="18" t="inlineStr">
        <is>
          <t>Support, legal &amp; ambulance</t>
        </is>
      </c>
      <c r="B35" s="21">
        <f>COUNTIF('Business Logic'!$B$2:$B$1000,$A35)</f>
        <v/>
      </c>
      <c r="C35" s="21">
        <f>COUNTIFS('Business Logic'!$B$2:$B$1000,$A35,'Business Logic'!$K$2:$K$1000,"Pass")</f>
        <v/>
      </c>
      <c r="D35" s="21">
        <f>COUNTIFS('Business Logic'!$B$2:$B$1000,$A35,'Business Logic'!$K$2:$K$1000,"Fail")</f>
        <v/>
      </c>
      <c r="E35" s="21">
        <f>COUNTIFS('Business Logic'!$B$2:$B$1000,$A35,'Business Logic'!$K$2:$K$1000,"Blocked")</f>
        <v/>
      </c>
      <c r="F35" s="21">
        <f>COUNTIFS('Business Logic'!$B$2:$B$1000,$A35,'Business Logic'!$K$2:$K$1000,"N/A")</f>
        <v/>
      </c>
      <c r="G35" s="21">
        <f>COUNTIFS('Business Logic'!$B$2:$B$1000,$A35,'Business Logic'!$K$2:$K$1000,"Not Run")</f>
        <v/>
      </c>
      <c r="H35" s="22">
        <f>IF(B35=0,0,(B35-G35)/B35)</f>
        <v/>
      </c>
      <c r="I35" s="22">
        <f>IF(C35+D35=0,0,C35/(C35+D35))</f>
        <v/>
      </c>
    </row>
    <row r="36">
      <c r="A36" s="18" t="inlineStr">
        <is>
          <t>Shared rules: money &amp; time</t>
        </is>
      </c>
      <c r="B36" s="21">
        <f>COUNTIF('Business Logic'!$B$2:$B$1000,$A36)</f>
        <v/>
      </c>
      <c r="C36" s="21">
        <f>COUNTIFS('Business Logic'!$B$2:$B$1000,$A36,'Business Logic'!$K$2:$K$1000,"Pass")</f>
        <v/>
      </c>
      <c r="D36" s="21">
        <f>COUNTIFS('Business Logic'!$B$2:$B$1000,$A36,'Business Logic'!$K$2:$K$1000,"Fail")</f>
        <v/>
      </c>
      <c r="E36" s="21">
        <f>COUNTIFS('Business Logic'!$B$2:$B$1000,$A36,'Business Logic'!$K$2:$K$1000,"Blocked")</f>
        <v/>
      </c>
      <c r="F36" s="21">
        <f>COUNTIFS('Business Logic'!$B$2:$B$1000,$A36,'Business Logic'!$K$2:$K$1000,"N/A")</f>
        <v/>
      </c>
      <c r="G36" s="21">
        <f>COUNTIFS('Business Logic'!$B$2:$B$1000,$A36,'Business Logic'!$K$2:$K$1000,"Not Run")</f>
        <v/>
      </c>
      <c r="H36" s="22">
        <f>IF(B36=0,0,(B36-G36)/B36)</f>
        <v/>
      </c>
      <c r="I36" s="22">
        <f>IF(C36+D36=0,0,C36/(C36+D36))</f>
        <v/>
      </c>
    </row>
    <row r="37">
      <c r="A37" s="23" t="inlineStr">
        <is>
          <t>Total</t>
        </is>
      </c>
      <c r="B37" s="24">
        <f>SUM(B23:B36)</f>
        <v/>
      </c>
      <c r="C37" s="24">
        <f>SUM(C23:C36)</f>
        <v/>
      </c>
      <c r="D37" s="24">
        <f>SUM(D23:D36)</f>
        <v/>
      </c>
      <c r="E37" s="24">
        <f>SUM(E23:E36)</f>
        <v/>
      </c>
      <c r="F37" s="24">
        <f>SUM(F23:F36)</f>
        <v/>
      </c>
      <c r="G37" s="24">
        <f>SUM(G23:G36)</f>
        <v/>
      </c>
      <c r="H37" s="25">
        <f>IF(B37=0,0,(B37-G37)/B37)</f>
        <v/>
      </c>
      <c r="I37" s="25">
        <f>IF(C37+D37=0,0,C37/(C37+D37))</f>
        <v/>
      </c>
      <c r="J37" s="26">
        <f>IF(B37=B19,"","Totals differ: a row on that sheet has a module name not listed here.")</f>
        <v/>
      </c>
    </row>
    <row r="39">
      <c r="A39" s="3" t="inlineStr">
        <is>
          <t>Functional, non-functional &amp; release checklist — progress by module</t>
        </is>
      </c>
    </row>
    <row r="40" ht="30" customHeight="1">
      <c r="A40" s="15" t="inlineStr">
        <is>
          <t>Module</t>
        </is>
      </c>
      <c r="B40" s="15" t="inlineStr">
        <is>
          <t>Total</t>
        </is>
      </c>
      <c r="C40" s="15" t="inlineStr">
        <is>
          <t>Pass</t>
        </is>
      </c>
      <c r="D40" s="15" t="inlineStr">
        <is>
          <t>Fail</t>
        </is>
      </c>
      <c r="E40" s="15" t="inlineStr">
        <is>
          <t>Blocked</t>
        </is>
      </c>
      <c r="F40" s="15" t="inlineStr">
        <is>
          <t>N/A</t>
        </is>
      </c>
      <c r="G40" s="15" t="inlineStr">
        <is>
          <t>Not Run</t>
        </is>
      </c>
      <c r="H40" s="15" t="inlineStr">
        <is>
          <t>% executed</t>
        </is>
      </c>
      <c r="I40" s="15" t="inlineStr">
        <is>
          <t>Pass rate</t>
        </is>
      </c>
    </row>
    <row r="41">
      <c r="A41" s="18" t="inlineStr">
        <is>
          <t>00 Test environment &amp; prerequisites</t>
        </is>
      </c>
      <c r="B41" s="21">
        <f>COUNTIF(Checklist!$B$2:$B$1000,$A41)</f>
        <v/>
      </c>
      <c r="C41" s="21">
        <f>COUNTIFS(Checklist!$B$2:$B$1000,$A41,Checklist!$K$2:$K$1000,"Pass")</f>
        <v/>
      </c>
      <c r="D41" s="21">
        <f>COUNTIFS(Checklist!$B$2:$B$1000,$A41,Checklist!$K$2:$K$1000,"Fail")</f>
        <v/>
      </c>
      <c r="E41" s="21">
        <f>COUNTIFS(Checklist!$B$2:$B$1000,$A41,Checklist!$K$2:$K$1000,"Blocked")</f>
        <v/>
      </c>
      <c r="F41" s="21">
        <f>COUNTIFS(Checklist!$B$2:$B$1000,$A41,Checklist!$K$2:$K$1000,"N/A")</f>
        <v/>
      </c>
      <c r="G41" s="21">
        <f>COUNTIFS(Checklist!$B$2:$B$1000,$A41,Checklist!$K$2:$K$1000,"Not Run")</f>
        <v/>
      </c>
      <c r="H41" s="22">
        <f>IF(B41=0,0,(B41-G41)/B41)</f>
        <v/>
      </c>
      <c r="I41" s="22">
        <f>IF(C41+D41=0,0,C41/(C41+D41))</f>
        <v/>
      </c>
    </row>
    <row r="42">
      <c r="A42" s="18" t="inlineStr">
        <is>
          <t>01 End-to-end journeys (run first)</t>
        </is>
      </c>
      <c r="B42" s="21">
        <f>COUNTIF(Checklist!$B$2:$B$1000,$A42)</f>
        <v/>
      </c>
      <c r="C42" s="21">
        <f>COUNTIFS(Checklist!$B$2:$B$1000,$A42,Checklist!$K$2:$K$1000,"Pass")</f>
        <v/>
      </c>
      <c r="D42" s="21">
        <f>COUNTIFS(Checklist!$B$2:$B$1000,$A42,Checklist!$K$2:$K$1000,"Fail")</f>
        <v/>
      </c>
      <c r="E42" s="21">
        <f>COUNTIFS(Checklist!$B$2:$B$1000,$A42,Checklist!$K$2:$K$1000,"Blocked")</f>
        <v/>
      </c>
      <c r="F42" s="21">
        <f>COUNTIFS(Checklist!$B$2:$B$1000,$A42,Checklist!$K$2:$K$1000,"N/A")</f>
        <v/>
      </c>
      <c r="G42" s="21">
        <f>COUNTIFS(Checklist!$B$2:$B$1000,$A42,Checklist!$K$2:$K$1000,"Not Run")</f>
        <v/>
      </c>
      <c r="H42" s="22">
        <f>IF(B42=0,0,(B42-G42)/B42)</f>
        <v/>
      </c>
      <c r="I42" s="22">
        <f>IF(C42+D42=0,0,C42/(C42+D42))</f>
        <v/>
      </c>
    </row>
    <row r="43">
      <c r="A43" s="18" t="inlineStr">
        <is>
          <t>02 Install, launch &amp; bootstrap</t>
        </is>
      </c>
      <c r="B43" s="21">
        <f>COUNTIF(Checklist!$B$2:$B$1000,$A43)</f>
        <v/>
      </c>
      <c r="C43" s="21">
        <f>COUNTIFS(Checklist!$B$2:$B$1000,$A43,Checklist!$K$2:$K$1000,"Pass")</f>
        <v/>
      </c>
      <c r="D43" s="21">
        <f>COUNTIFS(Checklist!$B$2:$B$1000,$A43,Checklist!$K$2:$K$1000,"Fail")</f>
        <v/>
      </c>
      <c r="E43" s="21">
        <f>COUNTIFS(Checklist!$B$2:$B$1000,$A43,Checklist!$K$2:$K$1000,"Blocked")</f>
        <v/>
      </c>
      <c r="F43" s="21">
        <f>COUNTIFS(Checklist!$B$2:$B$1000,$A43,Checklist!$K$2:$K$1000,"N/A")</f>
        <v/>
      </c>
      <c r="G43" s="21">
        <f>COUNTIFS(Checklist!$B$2:$B$1000,$A43,Checklist!$K$2:$K$1000,"Not Run")</f>
        <v/>
      </c>
      <c r="H43" s="22">
        <f>IF(B43=0,0,(B43-G43)/B43)</f>
        <v/>
      </c>
      <c r="I43" s="22">
        <f>IF(C43+D43=0,0,C43/(C43+D43))</f>
        <v/>
      </c>
    </row>
    <row r="44">
      <c r="A44" s="18" t="inlineStr">
        <is>
          <t>03 Onboarding &amp; consent</t>
        </is>
      </c>
      <c r="B44" s="21">
        <f>COUNTIF(Checklist!$B$2:$B$1000,$A44)</f>
        <v/>
      </c>
      <c r="C44" s="21">
        <f>COUNTIFS(Checklist!$B$2:$B$1000,$A44,Checklist!$K$2:$K$1000,"Pass")</f>
        <v/>
      </c>
      <c r="D44" s="21">
        <f>COUNTIFS(Checklist!$B$2:$B$1000,$A44,Checklist!$K$2:$K$1000,"Fail")</f>
        <v/>
      </c>
      <c r="E44" s="21">
        <f>COUNTIFS(Checklist!$B$2:$B$1000,$A44,Checklist!$K$2:$K$1000,"Blocked")</f>
        <v/>
      </c>
      <c r="F44" s="21">
        <f>COUNTIFS(Checklist!$B$2:$B$1000,$A44,Checklist!$K$2:$K$1000,"N/A")</f>
        <v/>
      </c>
      <c r="G44" s="21">
        <f>COUNTIFS(Checklist!$B$2:$B$1000,$A44,Checklist!$K$2:$K$1000,"Not Run")</f>
        <v/>
      </c>
      <c r="H44" s="22">
        <f>IF(B44=0,0,(B44-G44)/B44)</f>
        <v/>
      </c>
      <c r="I44" s="22">
        <f>IF(C44+D44=0,0,C44/(C44+D44))</f>
        <v/>
      </c>
    </row>
    <row r="45">
      <c r="A45" s="18" t="inlineStr">
        <is>
          <t>04 Authentication &amp; session</t>
        </is>
      </c>
      <c r="B45" s="21">
        <f>COUNTIF(Checklist!$B$2:$B$1000,$A45)</f>
        <v/>
      </c>
      <c r="C45" s="21">
        <f>COUNTIFS(Checklist!$B$2:$B$1000,$A45,Checklist!$K$2:$K$1000,"Pass")</f>
        <v/>
      </c>
      <c r="D45" s="21">
        <f>COUNTIFS(Checklist!$B$2:$B$1000,$A45,Checklist!$K$2:$K$1000,"Fail")</f>
        <v/>
      </c>
      <c r="E45" s="21">
        <f>COUNTIFS(Checklist!$B$2:$B$1000,$A45,Checklist!$K$2:$K$1000,"Blocked")</f>
        <v/>
      </c>
      <c r="F45" s="21">
        <f>COUNTIFS(Checklist!$B$2:$B$1000,$A45,Checklist!$K$2:$K$1000,"N/A")</f>
        <v/>
      </c>
      <c r="G45" s="21">
        <f>COUNTIFS(Checklist!$B$2:$B$1000,$A45,Checklist!$K$2:$K$1000,"Not Run")</f>
        <v/>
      </c>
      <c r="H45" s="22">
        <f>IF(B45=0,0,(B45-G45)/B45)</f>
        <v/>
      </c>
      <c r="I45" s="22">
        <f>IF(C45+D45=0,0,C45/(C45+D45))</f>
        <v/>
      </c>
    </row>
    <row r="46">
      <c r="A46" s="18" t="inlineStr">
        <is>
          <t>05 Home dashboard</t>
        </is>
      </c>
      <c r="B46" s="21">
        <f>COUNTIF(Checklist!$B$2:$B$1000,$A46)</f>
        <v/>
      </c>
      <c r="C46" s="21">
        <f>COUNTIFS(Checklist!$B$2:$B$1000,$A46,Checklist!$K$2:$K$1000,"Pass")</f>
        <v/>
      </c>
      <c r="D46" s="21">
        <f>COUNTIFS(Checklist!$B$2:$B$1000,$A46,Checklist!$K$2:$K$1000,"Fail")</f>
        <v/>
      </c>
      <c r="E46" s="21">
        <f>COUNTIFS(Checklist!$B$2:$B$1000,$A46,Checklist!$K$2:$K$1000,"Blocked")</f>
        <v/>
      </c>
      <c r="F46" s="21">
        <f>COUNTIFS(Checklist!$B$2:$B$1000,$A46,Checklist!$K$2:$K$1000,"N/A")</f>
        <v/>
      </c>
      <c r="G46" s="21">
        <f>COUNTIFS(Checklist!$B$2:$B$1000,$A46,Checklist!$K$2:$K$1000,"Not Run")</f>
        <v/>
      </c>
      <c r="H46" s="22">
        <f>IF(B46=0,0,(B46-G46)/B46)</f>
        <v/>
      </c>
      <c r="I46" s="22">
        <f>IF(C46+D46=0,0,C46/(C46+D46))</f>
        <v/>
      </c>
    </row>
    <row r="47">
      <c r="A47" s="18" t="inlineStr">
        <is>
          <t>06 Discovery: locations, hospitals, doctors, search</t>
        </is>
      </c>
      <c r="B47" s="21">
        <f>COUNTIF(Checklist!$B$2:$B$1000,$A47)</f>
        <v/>
      </c>
      <c r="C47" s="21">
        <f>COUNTIFS(Checklist!$B$2:$B$1000,$A47,Checklist!$K$2:$K$1000,"Pass")</f>
        <v/>
      </c>
      <c r="D47" s="21">
        <f>COUNTIFS(Checklist!$B$2:$B$1000,$A47,Checklist!$K$2:$K$1000,"Fail")</f>
        <v/>
      </c>
      <c r="E47" s="21">
        <f>COUNTIFS(Checklist!$B$2:$B$1000,$A47,Checklist!$K$2:$K$1000,"Blocked")</f>
        <v/>
      </c>
      <c r="F47" s="21">
        <f>COUNTIFS(Checklist!$B$2:$B$1000,$A47,Checklist!$K$2:$K$1000,"N/A")</f>
        <v/>
      </c>
      <c r="G47" s="21">
        <f>COUNTIFS(Checklist!$B$2:$B$1000,$A47,Checklist!$K$2:$K$1000,"Not Run")</f>
        <v/>
      </c>
      <c r="H47" s="22">
        <f>IF(B47=0,0,(B47-G47)/B47)</f>
        <v/>
      </c>
      <c r="I47" s="22">
        <f>IF(C47+D47=0,0,C47/(C47+D47))</f>
        <v/>
      </c>
    </row>
    <row r="48">
      <c r="A48" s="18" t="inlineStr">
        <is>
          <t>07 Booking flow</t>
        </is>
      </c>
      <c r="B48" s="21">
        <f>COUNTIF(Checklist!$B$2:$B$1000,$A48)</f>
        <v/>
      </c>
      <c r="C48" s="21">
        <f>COUNTIFS(Checklist!$B$2:$B$1000,$A48,Checklist!$K$2:$K$1000,"Pass")</f>
        <v/>
      </c>
      <c r="D48" s="21">
        <f>COUNTIFS(Checklist!$B$2:$B$1000,$A48,Checklist!$K$2:$K$1000,"Fail")</f>
        <v/>
      </c>
      <c r="E48" s="21">
        <f>COUNTIFS(Checklist!$B$2:$B$1000,$A48,Checklist!$K$2:$K$1000,"Blocked")</f>
        <v/>
      </c>
      <c r="F48" s="21">
        <f>COUNTIFS(Checklist!$B$2:$B$1000,$A48,Checklist!$K$2:$K$1000,"N/A")</f>
        <v/>
      </c>
      <c r="G48" s="21">
        <f>COUNTIFS(Checklist!$B$2:$B$1000,$A48,Checklist!$K$2:$K$1000,"Not Run")</f>
        <v/>
      </c>
      <c r="H48" s="22">
        <f>IF(B48=0,0,(B48-G48)/B48)</f>
        <v/>
      </c>
      <c r="I48" s="22">
        <f>IF(C48+D48=0,0,C48/(C48+D48))</f>
        <v/>
      </c>
    </row>
    <row r="49">
      <c r="A49" s="18" t="inlineStr">
        <is>
          <t>08 Payment (Razorpay)</t>
        </is>
      </c>
      <c r="B49" s="21">
        <f>COUNTIF(Checklist!$B$2:$B$1000,$A49)</f>
        <v/>
      </c>
      <c r="C49" s="21">
        <f>COUNTIFS(Checklist!$B$2:$B$1000,$A49,Checklist!$K$2:$K$1000,"Pass")</f>
        <v/>
      </c>
      <c r="D49" s="21">
        <f>COUNTIFS(Checklist!$B$2:$B$1000,$A49,Checklist!$K$2:$K$1000,"Fail")</f>
        <v/>
      </c>
      <c r="E49" s="21">
        <f>COUNTIFS(Checklist!$B$2:$B$1000,$A49,Checklist!$K$2:$K$1000,"Blocked")</f>
        <v/>
      </c>
      <c r="F49" s="21">
        <f>COUNTIFS(Checklist!$B$2:$B$1000,$A49,Checklist!$K$2:$K$1000,"N/A")</f>
        <v/>
      </c>
      <c r="G49" s="21">
        <f>COUNTIFS(Checklist!$B$2:$B$1000,$A49,Checklist!$K$2:$K$1000,"Not Run")</f>
        <v/>
      </c>
      <c r="H49" s="22">
        <f>IF(B49=0,0,(B49-G49)/B49)</f>
        <v/>
      </c>
      <c r="I49" s="22">
        <f>IF(C49+D49=0,0,C49/(C49+D49))</f>
        <v/>
      </c>
    </row>
    <row r="50">
      <c r="A50" s="18" t="inlineStr">
        <is>
          <t>09 Appointments</t>
        </is>
      </c>
      <c r="B50" s="21">
        <f>COUNTIF(Checklist!$B$2:$B$1000,$A50)</f>
        <v/>
      </c>
      <c r="C50" s="21">
        <f>COUNTIFS(Checklist!$B$2:$B$1000,$A50,Checklist!$K$2:$K$1000,"Pass")</f>
        <v/>
      </c>
      <c r="D50" s="21">
        <f>COUNTIFS(Checklist!$B$2:$B$1000,$A50,Checklist!$K$2:$K$1000,"Fail")</f>
        <v/>
      </c>
      <c r="E50" s="21">
        <f>COUNTIFS(Checklist!$B$2:$B$1000,$A50,Checklist!$K$2:$K$1000,"Blocked")</f>
        <v/>
      </c>
      <c r="F50" s="21">
        <f>COUNTIFS(Checklist!$B$2:$B$1000,$A50,Checklist!$K$2:$K$1000,"N/A")</f>
        <v/>
      </c>
      <c r="G50" s="21">
        <f>COUNTIFS(Checklist!$B$2:$B$1000,$A50,Checklist!$K$2:$K$1000,"Not Run")</f>
        <v/>
      </c>
      <c r="H50" s="22">
        <f>IF(B50=0,0,(B50-G50)/B50)</f>
        <v/>
      </c>
      <c r="I50" s="22">
        <f>IF(C50+D50=0,0,C50/(C50+D50))</f>
        <v/>
      </c>
    </row>
    <row r="51">
      <c r="A51" s="18" t="inlineStr">
        <is>
          <t>10 Live queue</t>
        </is>
      </c>
      <c r="B51" s="21">
        <f>COUNTIF(Checklist!$B$2:$B$1000,$A51)</f>
        <v/>
      </c>
      <c r="C51" s="21">
        <f>COUNTIFS(Checklist!$B$2:$B$1000,$A51,Checklist!$K$2:$K$1000,"Pass")</f>
        <v/>
      </c>
      <c r="D51" s="21">
        <f>COUNTIFS(Checklist!$B$2:$B$1000,$A51,Checklist!$K$2:$K$1000,"Fail")</f>
        <v/>
      </c>
      <c r="E51" s="21">
        <f>COUNTIFS(Checklist!$B$2:$B$1000,$A51,Checklist!$K$2:$K$1000,"Blocked")</f>
        <v/>
      </c>
      <c r="F51" s="21">
        <f>COUNTIFS(Checklist!$B$2:$B$1000,$A51,Checklist!$K$2:$K$1000,"N/A")</f>
        <v/>
      </c>
      <c r="G51" s="21">
        <f>COUNTIFS(Checklist!$B$2:$B$1000,$A51,Checklist!$K$2:$K$1000,"Not Run")</f>
        <v/>
      </c>
      <c r="H51" s="22">
        <f>IF(B51=0,0,(B51-G51)/B51)</f>
        <v/>
      </c>
      <c r="I51" s="22">
        <f>IF(C51+D51=0,0,C51/(C51+D51))</f>
        <v/>
      </c>
    </row>
    <row r="52">
      <c r="A52" s="18" t="inlineStr">
        <is>
          <t>11 Health records &amp; documents</t>
        </is>
      </c>
      <c r="B52" s="21">
        <f>COUNTIF(Checklist!$B$2:$B$1000,$A52)</f>
        <v/>
      </c>
      <c r="C52" s="21">
        <f>COUNTIFS(Checklist!$B$2:$B$1000,$A52,Checklist!$K$2:$K$1000,"Pass")</f>
        <v/>
      </c>
      <c r="D52" s="21">
        <f>COUNTIFS(Checklist!$B$2:$B$1000,$A52,Checklist!$K$2:$K$1000,"Fail")</f>
        <v/>
      </c>
      <c r="E52" s="21">
        <f>COUNTIFS(Checklist!$B$2:$B$1000,$A52,Checklist!$K$2:$K$1000,"Blocked")</f>
        <v/>
      </c>
      <c r="F52" s="21">
        <f>COUNTIFS(Checklist!$B$2:$B$1000,$A52,Checklist!$K$2:$K$1000,"N/A")</f>
        <v/>
      </c>
      <c r="G52" s="21">
        <f>COUNTIFS(Checklist!$B$2:$B$1000,$A52,Checklist!$K$2:$K$1000,"Not Run")</f>
        <v/>
      </c>
      <c r="H52" s="22">
        <f>IF(B52=0,0,(B52-G52)/B52)</f>
        <v/>
      </c>
      <c r="I52" s="22">
        <f>IF(C52+D52=0,0,C52/(C52+D52))</f>
        <v/>
      </c>
    </row>
    <row r="53">
      <c r="A53" s="18" t="inlineStr">
        <is>
          <t>12 Notifications &amp; push</t>
        </is>
      </c>
      <c r="B53" s="21">
        <f>COUNTIF(Checklist!$B$2:$B$1000,$A53)</f>
        <v/>
      </c>
      <c r="C53" s="21">
        <f>COUNTIFS(Checklist!$B$2:$B$1000,$A53,Checklist!$K$2:$K$1000,"Pass")</f>
        <v/>
      </c>
      <c r="D53" s="21">
        <f>COUNTIFS(Checklist!$B$2:$B$1000,$A53,Checklist!$K$2:$K$1000,"Fail")</f>
        <v/>
      </c>
      <c r="E53" s="21">
        <f>COUNTIFS(Checklist!$B$2:$B$1000,$A53,Checklist!$K$2:$K$1000,"Blocked")</f>
        <v/>
      </c>
      <c r="F53" s="21">
        <f>COUNTIFS(Checklist!$B$2:$B$1000,$A53,Checklist!$K$2:$K$1000,"N/A")</f>
        <v/>
      </c>
      <c r="G53" s="21">
        <f>COUNTIFS(Checklist!$B$2:$B$1000,$A53,Checklist!$K$2:$K$1000,"Not Run")</f>
        <v/>
      </c>
      <c r="H53" s="22">
        <f>IF(B53=0,0,(B53-G53)/B53)</f>
        <v/>
      </c>
      <c r="I53" s="22">
        <f>IF(C53+D53=0,0,C53/(C53+D53))</f>
        <v/>
      </c>
    </row>
    <row r="54">
      <c r="A54" s="18" t="inlineStr">
        <is>
          <t>13 Profile &amp; account</t>
        </is>
      </c>
      <c r="B54" s="21">
        <f>COUNTIF(Checklist!$B$2:$B$1000,$A54)</f>
        <v/>
      </c>
      <c r="C54" s="21">
        <f>COUNTIFS(Checklist!$B$2:$B$1000,$A54,Checklist!$K$2:$K$1000,"Pass")</f>
        <v/>
      </c>
      <c r="D54" s="21">
        <f>COUNTIFS(Checklist!$B$2:$B$1000,$A54,Checklist!$K$2:$K$1000,"Fail")</f>
        <v/>
      </c>
      <c r="E54" s="21">
        <f>COUNTIFS(Checklist!$B$2:$B$1000,$A54,Checklist!$K$2:$K$1000,"Blocked")</f>
        <v/>
      </c>
      <c r="F54" s="21">
        <f>COUNTIFS(Checklist!$B$2:$B$1000,$A54,Checklist!$K$2:$K$1000,"N/A")</f>
        <v/>
      </c>
      <c r="G54" s="21">
        <f>COUNTIFS(Checklist!$B$2:$B$1000,$A54,Checklist!$K$2:$K$1000,"Not Run")</f>
        <v/>
      </c>
      <c r="H54" s="22">
        <f>IF(B54=0,0,(B54-G54)/B54)</f>
        <v/>
      </c>
      <c r="I54" s="22">
        <f>IF(C54+D54=0,0,C54/(C54+D54))</f>
        <v/>
      </c>
    </row>
    <row r="55">
      <c r="A55" s="18" t="inlineStr">
        <is>
          <t>14 Family members (dependants)</t>
        </is>
      </c>
      <c r="B55" s="21">
        <f>COUNTIF(Checklist!$B$2:$B$1000,$A55)</f>
        <v/>
      </c>
      <c r="C55" s="21">
        <f>COUNTIFS(Checklist!$B$2:$B$1000,$A55,Checklist!$K$2:$K$1000,"Pass")</f>
        <v/>
      </c>
      <c r="D55" s="21">
        <f>COUNTIFS(Checklist!$B$2:$B$1000,$A55,Checklist!$K$2:$K$1000,"Fail")</f>
        <v/>
      </c>
      <c r="E55" s="21">
        <f>COUNTIFS(Checklist!$B$2:$B$1000,$A55,Checklist!$K$2:$K$1000,"Blocked")</f>
        <v/>
      </c>
      <c r="F55" s="21">
        <f>COUNTIFS(Checklist!$B$2:$B$1000,$A55,Checklist!$K$2:$K$1000,"N/A")</f>
        <v/>
      </c>
      <c r="G55" s="21">
        <f>COUNTIFS(Checklist!$B$2:$B$1000,$A55,Checklist!$K$2:$K$1000,"Not Run")</f>
        <v/>
      </c>
      <c r="H55" s="22">
        <f>IF(B55=0,0,(B55-G55)/B55)</f>
        <v/>
      </c>
      <c r="I55" s="22">
        <f>IF(C55+D55=0,0,C55/(C55+D55))</f>
        <v/>
      </c>
    </row>
    <row r="56">
      <c r="A56" s="18" t="inlineStr">
        <is>
          <t>15 Insurance</t>
        </is>
      </c>
      <c r="B56" s="21">
        <f>COUNTIF(Checklist!$B$2:$B$1000,$A56)</f>
        <v/>
      </c>
      <c r="C56" s="21">
        <f>COUNTIFS(Checklist!$B$2:$B$1000,$A56,Checklist!$K$2:$K$1000,"Pass")</f>
        <v/>
      </c>
      <c r="D56" s="21">
        <f>COUNTIFS(Checklist!$B$2:$B$1000,$A56,Checklist!$K$2:$K$1000,"Fail")</f>
        <v/>
      </c>
      <c r="E56" s="21">
        <f>COUNTIFS(Checklist!$B$2:$B$1000,$A56,Checklist!$K$2:$K$1000,"Blocked")</f>
        <v/>
      </c>
      <c r="F56" s="21">
        <f>COUNTIFS(Checklist!$B$2:$B$1000,$A56,Checklist!$K$2:$K$1000,"N/A")</f>
        <v/>
      </c>
      <c r="G56" s="21">
        <f>COUNTIFS(Checklist!$B$2:$B$1000,$A56,Checklist!$K$2:$K$1000,"Not Run")</f>
        <v/>
      </c>
      <c r="H56" s="22">
        <f>IF(B56=0,0,(B56-G56)/B56)</f>
        <v/>
      </c>
      <c r="I56" s="22">
        <f>IF(C56+D56=0,0,C56/(C56+D56))</f>
        <v/>
      </c>
    </row>
    <row r="57">
      <c r="A57" s="18" t="inlineStr">
        <is>
          <t>16 Support, FAQ, legal &amp; ambulance</t>
        </is>
      </c>
      <c r="B57" s="21">
        <f>COUNTIF(Checklist!$B$2:$B$1000,$A57)</f>
        <v/>
      </c>
      <c r="C57" s="21">
        <f>COUNTIFS(Checklist!$B$2:$B$1000,$A57,Checklist!$K$2:$K$1000,"Pass")</f>
        <v/>
      </c>
      <c r="D57" s="21">
        <f>COUNTIFS(Checklist!$B$2:$B$1000,$A57,Checklist!$K$2:$K$1000,"Fail")</f>
        <v/>
      </c>
      <c r="E57" s="21">
        <f>COUNTIFS(Checklist!$B$2:$B$1000,$A57,Checklist!$K$2:$K$1000,"Blocked")</f>
        <v/>
      </c>
      <c r="F57" s="21">
        <f>COUNTIFS(Checklist!$B$2:$B$1000,$A57,Checklist!$K$2:$K$1000,"N/A")</f>
        <v/>
      </c>
      <c r="G57" s="21">
        <f>COUNTIFS(Checklist!$B$2:$B$1000,$A57,Checklist!$K$2:$K$1000,"Not Run")</f>
        <v/>
      </c>
      <c r="H57" s="22">
        <f>IF(B57=0,0,(B57-G57)/B57)</f>
        <v/>
      </c>
      <c r="I57" s="22">
        <f>IF(C57+D57=0,0,C57/(C57+D57))</f>
        <v/>
      </c>
    </row>
    <row r="58">
      <c r="A58" s="18" t="inlineStr">
        <is>
          <t>17 Navigation &amp; deep links</t>
        </is>
      </c>
      <c r="B58" s="21">
        <f>COUNTIF(Checklist!$B$2:$B$1000,$A58)</f>
        <v/>
      </c>
      <c r="C58" s="21">
        <f>COUNTIFS(Checklist!$B$2:$B$1000,$A58,Checklist!$K$2:$K$1000,"Pass")</f>
        <v/>
      </c>
      <c r="D58" s="21">
        <f>COUNTIFS(Checklist!$B$2:$B$1000,$A58,Checklist!$K$2:$K$1000,"Fail")</f>
        <v/>
      </c>
      <c r="E58" s="21">
        <f>COUNTIFS(Checklist!$B$2:$B$1000,$A58,Checklist!$K$2:$K$1000,"Blocked")</f>
        <v/>
      </c>
      <c r="F58" s="21">
        <f>COUNTIFS(Checklist!$B$2:$B$1000,$A58,Checklist!$K$2:$K$1000,"N/A")</f>
        <v/>
      </c>
      <c r="G58" s="21">
        <f>COUNTIFS(Checklist!$B$2:$B$1000,$A58,Checklist!$K$2:$K$1000,"Not Run")</f>
        <v/>
      </c>
      <c r="H58" s="22">
        <f>IF(B58=0,0,(B58-G58)/B58)</f>
        <v/>
      </c>
      <c r="I58" s="22">
        <f>IF(C58+D58=0,0,C58/(C58+D58))</f>
        <v/>
      </c>
    </row>
    <row r="59">
      <c r="A59" s="18" t="inlineStr">
        <is>
          <t>18 Network, offline &amp; cache (Hive)</t>
        </is>
      </c>
      <c r="B59" s="21">
        <f>COUNTIF(Checklist!$B$2:$B$1000,$A59)</f>
        <v/>
      </c>
      <c r="C59" s="21">
        <f>COUNTIFS(Checklist!$B$2:$B$1000,$A59,Checklist!$K$2:$K$1000,"Pass")</f>
        <v/>
      </c>
      <c r="D59" s="21">
        <f>COUNTIFS(Checklist!$B$2:$B$1000,$A59,Checklist!$K$2:$K$1000,"Fail")</f>
        <v/>
      </c>
      <c r="E59" s="21">
        <f>COUNTIFS(Checklist!$B$2:$B$1000,$A59,Checklist!$K$2:$K$1000,"Blocked")</f>
        <v/>
      </c>
      <c r="F59" s="21">
        <f>COUNTIFS(Checklist!$B$2:$B$1000,$A59,Checklist!$K$2:$K$1000,"N/A")</f>
        <v/>
      </c>
      <c r="G59" s="21">
        <f>COUNTIFS(Checklist!$B$2:$B$1000,$A59,Checklist!$K$2:$K$1000,"Not Run")</f>
        <v/>
      </c>
      <c r="H59" s="22">
        <f>IF(B59=0,0,(B59-G59)/B59)</f>
        <v/>
      </c>
      <c r="I59" s="22">
        <f>IF(C59+D59=0,0,C59/(C59+D59))</f>
        <v/>
      </c>
    </row>
    <row r="60">
      <c r="A60" s="18" t="inlineStr">
        <is>
          <t>19 Error handling &amp; states</t>
        </is>
      </c>
      <c r="B60" s="21">
        <f>COUNTIF(Checklist!$B$2:$B$1000,$A60)</f>
        <v/>
      </c>
      <c r="C60" s="21">
        <f>COUNTIFS(Checklist!$B$2:$B$1000,$A60,Checklist!$K$2:$K$1000,"Pass")</f>
        <v/>
      </c>
      <c r="D60" s="21">
        <f>COUNTIFS(Checklist!$B$2:$B$1000,$A60,Checklist!$K$2:$K$1000,"Fail")</f>
        <v/>
      </c>
      <c r="E60" s="21">
        <f>COUNTIFS(Checklist!$B$2:$B$1000,$A60,Checklist!$K$2:$K$1000,"Blocked")</f>
        <v/>
      </c>
      <c r="F60" s="21">
        <f>COUNTIFS(Checklist!$B$2:$B$1000,$A60,Checklist!$K$2:$K$1000,"N/A")</f>
        <v/>
      </c>
      <c r="G60" s="21">
        <f>COUNTIFS(Checklist!$B$2:$B$1000,$A60,Checklist!$K$2:$K$1000,"Not Run")</f>
        <v/>
      </c>
      <c r="H60" s="22">
        <f>IF(B60=0,0,(B60-G60)/B60)</f>
        <v/>
      </c>
      <c r="I60" s="22">
        <f>IF(C60+D60=0,0,C60/(C60+D60))</f>
        <v/>
      </c>
    </row>
    <row r="61">
      <c r="A61" s="18" t="inlineStr">
        <is>
          <t>20 Security &amp; privacy</t>
        </is>
      </c>
      <c r="B61" s="21">
        <f>COUNTIF(Checklist!$B$2:$B$1000,$A61)</f>
        <v/>
      </c>
      <c r="C61" s="21">
        <f>COUNTIFS(Checklist!$B$2:$B$1000,$A61,Checklist!$K$2:$K$1000,"Pass")</f>
        <v/>
      </c>
      <c r="D61" s="21">
        <f>COUNTIFS(Checklist!$B$2:$B$1000,$A61,Checklist!$K$2:$K$1000,"Fail")</f>
        <v/>
      </c>
      <c r="E61" s="21">
        <f>COUNTIFS(Checklist!$B$2:$B$1000,$A61,Checklist!$K$2:$K$1000,"Blocked")</f>
        <v/>
      </c>
      <c r="F61" s="21">
        <f>COUNTIFS(Checklist!$B$2:$B$1000,$A61,Checklist!$K$2:$K$1000,"N/A")</f>
        <v/>
      </c>
      <c r="G61" s="21">
        <f>COUNTIFS(Checklist!$B$2:$B$1000,$A61,Checklist!$K$2:$K$1000,"Not Run")</f>
        <v/>
      </c>
      <c r="H61" s="22">
        <f>IF(B61=0,0,(B61-G61)/B61)</f>
        <v/>
      </c>
      <c r="I61" s="22">
        <f>IF(C61+D61=0,0,C61/(C61+D61))</f>
        <v/>
      </c>
    </row>
    <row r="62">
      <c r="A62" s="18" t="inlineStr">
        <is>
          <t>21 Performance &amp; stability</t>
        </is>
      </c>
      <c r="B62" s="21">
        <f>COUNTIF(Checklist!$B$2:$B$1000,$A62)</f>
        <v/>
      </c>
      <c r="C62" s="21">
        <f>COUNTIFS(Checklist!$B$2:$B$1000,$A62,Checklist!$K$2:$K$1000,"Pass")</f>
        <v/>
      </c>
      <c r="D62" s="21">
        <f>COUNTIFS(Checklist!$B$2:$B$1000,$A62,Checklist!$K$2:$K$1000,"Fail")</f>
        <v/>
      </c>
      <c r="E62" s="21">
        <f>COUNTIFS(Checklist!$B$2:$B$1000,$A62,Checklist!$K$2:$K$1000,"Blocked")</f>
        <v/>
      </c>
      <c r="F62" s="21">
        <f>COUNTIFS(Checklist!$B$2:$B$1000,$A62,Checklist!$K$2:$K$1000,"N/A")</f>
        <v/>
      </c>
      <c r="G62" s="21">
        <f>COUNTIFS(Checklist!$B$2:$B$1000,$A62,Checklist!$K$2:$K$1000,"Not Run")</f>
        <v/>
      </c>
      <c r="H62" s="22">
        <f>IF(B62=0,0,(B62-G62)/B62)</f>
        <v/>
      </c>
      <c r="I62" s="22">
        <f>IF(C62+D62=0,0,C62/(C62+D62))</f>
        <v/>
      </c>
    </row>
    <row r="63">
      <c r="A63" s="18" t="inlineStr">
        <is>
          <t>22 UI, responsiveness &amp; accessibility</t>
        </is>
      </c>
      <c r="B63" s="21">
        <f>COUNTIF(Checklist!$B$2:$B$1000,$A63)</f>
        <v/>
      </c>
      <c r="C63" s="21">
        <f>COUNTIFS(Checklist!$B$2:$B$1000,$A63,Checklist!$K$2:$K$1000,"Pass")</f>
        <v/>
      </c>
      <c r="D63" s="21">
        <f>COUNTIFS(Checklist!$B$2:$B$1000,$A63,Checklist!$K$2:$K$1000,"Fail")</f>
        <v/>
      </c>
      <c r="E63" s="21">
        <f>COUNTIFS(Checklist!$B$2:$B$1000,$A63,Checklist!$K$2:$K$1000,"Blocked")</f>
        <v/>
      </c>
      <c r="F63" s="21">
        <f>COUNTIFS(Checklist!$B$2:$B$1000,$A63,Checklist!$K$2:$K$1000,"N/A")</f>
        <v/>
      </c>
      <c r="G63" s="21">
        <f>COUNTIFS(Checklist!$B$2:$B$1000,$A63,Checklist!$K$2:$K$1000,"Not Run")</f>
        <v/>
      </c>
      <c r="H63" s="22">
        <f>IF(B63=0,0,(B63-G63)/B63)</f>
        <v/>
      </c>
      <c r="I63" s="22">
        <f>IF(C63+D63=0,0,C63/(C63+D63))</f>
        <v/>
      </c>
    </row>
    <row r="64">
      <c r="A64" s="18" t="inlineStr">
        <is>
          <t>23 Compatibility &amp; interruptions</t>
        </is>
      </c>
      <c r="B64" s="21">
        <f>COUNTIF(Checklist!$B$2:$B$1000,$A64)</f>
        <v/>
      </c>
      <c r="C64" s="21">
        <f>COUNTIFS(Checklist!$B$2:$B$1000,$A64,Checklist!$K$2:$K$1000,"Pass")</f>
        <v/>
      </c>
      <c r="D64" s="21">
        <f>COUNTIFS(Checklist!$B$2:$B$1000,$A64,Checklist!$K$2:$K$1000,"Fail")</f>
        <v/>
      </c>
      <c r="E64" s="21">
        <f>COUNTIFS(Checklist!$B$2:$B$1000,$A64,Checklist!$K$2:$K$1000,"Blocked")</f>
        <v/>
      </c>
      <c r="F64" s="21">
        <f>COUNTIFS(Checklist!$B$2:$B$1000,$A64,Checklist!$K$2:$K$1000,"N/A")</f>
        <v/>
      </c>
      <c r="G64" s="21">
        <f>COUNTIFS(Checklist!$B$2:$B$1000,$A64,Checklist!$K$2:$K$1000,"Not Run")</f>
        <v/>
      </c>
      <c r="H64" s="22">
        <f>IF(B64=0,0,(B64-G64)/B64)</f>
        <v/>
      </c>
      <c r="I64" s="22">
        <f>IF(C64+D64=0,0,C64/(C64+D64))</f>
        <v/>
      </c>
    </row>
    <row r="65">
      <c r="A65" s="18" t="inlineStr">
        <is>
          <t>24 Release readiness</t>
        </is>
      </c>
      <c r="B65" s="21">
        <f>COUNTIF(Checklist!$B$2:$B$1000,$A65)</f>
        <v/>
      </c>
      <c r="C65" s="21">
        <f>COUNTIFS(Checklist!$B$2:$B$1000,$A65,Checklist!$K$2:$K$1000,"Pass")</f>
        <v/>
      </c>
      <c r="D65" s="21">
        <f>COUNTIFS(Checklist!$B$2:$B$1000,$A65,Checklist!$K$2:$K$1000,"Fail")</f>
        <v/>
      </c>
      <c r="E65" s="21">
        <f>COUNTIFS(Checklist!$B$2:$B$1000,$A65,Checklist!$K$2:$K$1000,"Blocked")</f>
        <v/>
      </c>
      <c r="F65" s="21">
        <f>COUNTIFS(Checklist!$B$2:$B$1000,$A65,Checklist!$K$2:$K$1000,"N/A")</f>
        <v/>
      </c>
      <c r="G65" s="21">
        <f>COUNTIFS(Checklist!$B$2:$B$1000,$A65,Checklist!$K$2:$K$1000,"Not Run")</f>
        <v/>
      </c>
      <c r="H65" s="22">
        <f>IF(B65=0,0,(B65-G65)/B65)</f>
        <v/>
      </c>
      <c r="I65" s="22">
        <f>IF(C65+D65=0,0,C65/(C65+D65))</f>
        <v/>
      </c>
    </row>
    <row r="66">
      <c r="A66" s="18" t="inlineStr">
        <is>
          <t>25 Code quality gates</t>
        </is>
      </c>
      <c r="B66" s="21">
        <f>COUNTIF(Checklist!$B$2:$B$1000,$A66)</f>
        <v/>
      </c>
      <c r="C66" s="21">
        <f>COUNTIFS(Checklist!$B$2:$B$1000,$A66,Checklist!$K$2:$K$1000,"Pass")</f>
        <v/>
      </c>
      <c r="D66" s="21">
        <f>COUNTIFS(Checklist!$B$2:$B$1000,$A66,Checklist!$K$2:$K$1000,"Fail")</f>
        <v/>
      </c>
      <c r="E66" s="21">
        <f>COUNTIFS(Checklist!$B$2:$B$1000,$A66,Checklist!$K$2:$K$1000,"Blocked")</f>
        <v/>
      </c>
      <c r="F66" s="21">
        <f>COUNTIFS(Checklist!$B$2:$B$1000,$A66,Checklist!$K$2:$K$1000,"N/A")</f>
        <v/>
      </c>
      <c r="G66" s="21">
        <f>COUNTIFS(Checklist!$B$2:$B$1000,$A66,Checklist!$K$2:$K$1000,"Not Run")</f>
        <v/>
      </c>
      <c r="H66" s="22">
        <f>IF(B66=0,0,(B66-G66)/B66)</f>
        <v/>
      </c>
      <c r="I66" s="22">
        <f>IF(C66+D66=0,0,C66/(C66+D66))</f>
        <v/>
      </c>
    </row>
    <row r="67">
      <c r="A67" s="23" t="inlineStr">
        <is>
          <t>Total</t>
        </is>
      </c>
      <c r="B67" s="24">
        <f>SUM(B41:B66)</f>
        <v/>
      </c>
      <c r="C67" s="24">
        <f>SUM(C41:C66)</f>
        <v/>
      </c>
      <c r="D67" s="24">
        <f>SUM(D41:D66)</f>
        <v/>
      </c>
      <c r="E67" s="24">
        <f>SUM(E41:E66)</f>
        <v/>
      </c>
      <c r="F67" s="24">
        <f>SUM(F41:F66)</f>
        <v/>
      </c>
      <c r="G67" s="24">
        <f>SUM(G41:G66)</f>
        <v/>
      </c>
      <c r="H67" s="25">
        <f>IF(B67=0,0,(B67-G67)/B67)</f>
        <v/>
      </c>
      <c r="I67" s="25">
        <f>IF(C67+D67=0,0,C67/(C67+D67))</f>
        <v/>
      </c>
      <c r="J67" s="26">
        <f>IF(B67=B18,"","Totals differ: a row on that sheet has a module name not listed here.")</f>
        <v/>
      </c>
    </row>
  </sheetData>
  <conditionalFormatting sqref="B9">
    <cfRule type="cellIs" priority="1" operator="equal" dxfId="0">
      <formula>"GO"</formula>
    </cfRule>
    <cfRule type="cellIs" priority="2" operator="equal" dxfId="1">
      <formula>"NO-GO"</formula>
    </cfRule>
  </conditionalFormatting>
  <conditionalFormatting sqref="D23:D37">
    <cfRule type="cellIs" priority="3" operator="greaterThan" dxfId="2">
      <formula>0</formula>
    </cfRule>
  </conditionalFormatting>
  <conditionalFormatting sqref="D41:D67">
    <cfRule type="cellIs" priority="4" operator="greaterThan" dxfId="2">
      <formula>0</formula>
    </cfRule>
  </conditionalFormatting>
  <conditionalFormatting sqref="D13:D19">
    <cfRule type="cellIs" priority="5" operator="greaterThan" dxfId="2">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Q409"/>
  <sheetViews>
    <sheetView tabSelected="0"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2" customWidth="1" min="3" max="3"/>
    <col width="44" customWidth="1" min="4" max="4"/>
    <col width="48" customWidth="1" min="5" max="5"/>
    <col width="48" customWidth="1" min="6" max="6"/>
    <col width="9" customWidth="1" min="7" max="7"/>
    <col width="14" customWidth="1" min="8" max="8"/>
    <col width="30" customWidth="1" min="9" max="9"/>
    <col width="13" customWidth="1" min="10" max="10"/>
    <col width="11" customWidth="1" min="11" max="11"/>
    <col width="12" customWidth="1" min="12" max="12"/>
    <col width="12" customWidth="1" min="13" max="13"/>
    <col width="10" customWidth="1" min="14" max="14"/>
    <col width="16" customWidth="1" min="15" max="15"/>
    <col width="11" customWidth="1" min="16" max="16"/>
    <col width="34" customWidth="1" min="17" max="17"/>
  </cols>
  <sheetData>
    <row r="1" ht="30" customHeight="1">
      <c r="A1" s="15" t="inlineStr">
        <is>
          <t>ID</t>
        </is>
      </c>
      <c r="B1" s="15" t="inlineStr">
        <is>
          <t>Module</t>
        </is>
      </c>
      <c r="C1" s="15" t="inlineStr">
        <is>
          <t>Sub-module</t>
        </is>
      </c>
      <c r="D1" s="15" t="inlineStr">
        <is>
          <t>Business rule under test</t>
        </is>
      </c>
      <c r="E1" s="15" t="inlineStr">
        <is>
          <t>Steps</t>
        </is>
      </c>
      <c r="F1" s="15" t="inlineStr">
        <is>
          <t>Expected result</t>
        </is>
      </c>
      <c r="G1" s="15" t="inlineStr">
        <is>
          <t>Priority</t>
        </is>
      </c>
      <c r="H1" s="15" t="inlineStr">
        <is>
          <t>Check type</t>
        </is>
      </c>
      <c r="I1" s="15" t="inlineStr">
        <is>
          <t>Source in code</t>
        </is>
      </c>
      <c r="J1" s="15" t="inlineStr">
        <is>
          <t>Needs / Blocker</t>
        </is>
      </c>
      <c r="K1" s="15" t="inlineStr">
        <is>
          <t>Status</t>
        </is>
      </c>
      <c r="L1" s="15" t="inlineStr">
        <is>
          <t>Tester</t>
        </is>
      </c>
      <c r="M1" s="15" t="inlineStr">
        <is>
          <t>Date tested</t>
        </is>
      </c>
      <c r="N1" s="15" t="inlineStr">
        <is>
          <t>Build</t>
        </is>
      </c>
      <c r="O1" s="15" t="inlineStr">
        <is>
          <t>Device / OS</t>
        </is>
      </c>
      <c r="P1" s="15" t="inlineStr">
        <is>
          <t>Defect ID</t>
        </is>
      </c>
      <c r="Q1" s="15" t="inlineStr">
        <is>
          <t>Notes / Actual result</t>
        </is>
      </c>
    </row>
    <row r="2" ht="43" customHeight="1">
      <c r="A2" s="27" t="inlineStr">
        <is>
          <t>BL-AUTH-001</t>
        </is>
      </c>
      <c r="B2" s="28" t="inlineStr">
        <is>
          <t>Authentication &amp; session</t>
        </is>
      </c>
      <c r="C2" s="28" t="inlineStr">
        <is>
          <t>Onboarding &amp; consent</t>
        </is>
      </c>
      <c r="D2" s="28" t="inlineStr">
        <is>
          <t>Terms box is required; offers box is optional</t>
        </is>
      </c>
      <c r="E2" s="28" t="inlineStr">
        <is>
          <t>1. On the consent screen tap 'Agree and Continue' with the terms box unticked
2. Tick it</t>
        </is>
      </c>
      <c r="F2" s="28" t="inlineStr">
        <is>
          <t>'Please accept the terms to continue.' and no navigation; the note clears on tick and the user can proceed.</t>
        </is>
      </c>
      <c r="G2" s="29" t="inlineStr">
        <is>
          <t>P0</t>
        </is>
      </c>
      <c r="H2" s="29" t="inlineStr">
        <is>
          <t>Rule</t>
        </is>
      </c>
      <c r="I2" s="30" t="inlineStr">
        <is>
          <t>lib/features/auth/presentation/controllers/consent_form_controller.dart:68</t>
        </is>
      </c>
      <c r="J2" s="29" t="n"/>
      <c r="K2" s="31" t="inlineStr">
        <is>
          <t>Not Run</t>
        </is>
      </c>
      <c r="L2" s="32" t="n"/>
      <c r="M2" s="33" t="n"/>
      <c r="N2" s="32" t="n"/>
      <c r="O2" s="32" t="n"/>
      <c r="P2" s="32" t="n"/>
      <c r="Q2" s="32" t="n"/>
    </row>
    <row r="3" ht="43" customHeight="1">
      <c r="A3" s="27" t="inlineStr">
        <is>
          <t>BL-AUTH-002</t>
        </is>
      </c>
      <c r="B3" s="28" t="inlineStr">
        <is>
          <t>Authentication &amp; session</t>
        </is>
      </c>
      <c r="C3" s="28" t="inlineStr">
        <is>
          <t>Onboarding &amp; consent</t>
        </is>
      </c>
      <c r="D3" s="28" t="inlineStr">
        <is>
          <t>Onboarding is recorded once and survives sign-out</t>
        </is>
      </c>
      <c r="E3" s="28" t="inlineStr">
        <is>
          <t>1. Complete onboarding
2. Kill and relaunch
3. Sign in, then log out</t>
        </is>
      </c>
      <c r="F3" s="28" t="inlineStr">
        <is>
          <t>Relaunch goes to sign-in; after logout the intro is not shown again.</t>
        </is>
      </c>
      <c r="G3" s="29" t="inlineStr">
        <is>
          <t>P1</t>
        </is>
      </c>
      <c r="H3" s="29" t="inlineStr">
        <is>
          <t>State</t>
        </is>
      </c>
      <c r="I3" s="30" t="inlineStr">
        <is>
          <t>lib/core/storage/hive/boxes.dart:83</t>
        </is>
      </c>
      <c r="J3" s="29" t="n"/>
      <c r="K3" s="31" t="inlineStr">
        <is>
          <t>Not Run</t>
        </is>
      </c>
      <c r="L3" s="32" t="n"/>
      <c r="M3" s="33" t="n"/>
      <c r="N3" s="32" t="n"/>
      <c r="O3" s="32" t="n"/>
      <c r="P3" s="32" t="n"/>
      <c r="Q3" s="32" t="n"/>
    </row>
    <row r="4" ht="43" customHeight="1">
      <c r="A4" s="27" t="inlineStr">
        <is>
          <t>BL-AUTH-003</t>
        </is>
      </c>
      <c r="B4" s="28" t="inlineStr">
        <is>
          <t>Authentication &amp; session</t>
        </is>
      </c>
      <c r="C4" s="28" t="inlineStr">
        <is>
          <t>Onboarding &amp; consent</t>
        </is>
      </c>
      <c r="D4" s="28" t="inlineStr">
        <is>
          <t>Consent can be accepted without the Terms having loaded</t>
        </is>
      </c>
      <c r="E4" s="28" t="inlineStr">
        <is>
          <t>1. Go offline
2. Tick the terms box and accept</t>
        </is>
      </c>
      <c r="F4" s="28" t="inlineStr">
        <is>
          <t>Confirm intended: the code lets the user continue and records an empty accepted version.</t>
        </is>
      </c>
      <c r="G4" s="29" t="inlineStr">
        <is>
          <t>P2</t>
        </is>
      </c>
      <c r="H4" s="29" t="inlineStr">
        <is>
          <t>Verify gap</t>
        </is>
      </c>
      <c r="I4" s="30" t="inlineStr">
        <is>
          <t>lib/features/auth/infrastructure/data_sources/local/onboarding_local_ds.dart:54</t>
        </is>
      </c>
      <c r="J4" s="29" t="n"/>
      <c r="K4" s="31" t="inlineStr">
        <is>
          <t>Not Run</t>
        </is>
      </c>
      <c r="L4" s="32" t="n"/>
      <c r="M4" s="33" t="n"/>
      <c r="N4" s="32" t="n"/>
      <c r="O4" s="32" t="n"/>
      <c r="P4" s="32" t="n"/>
      <c r="Q4" s="32" t="n"/>
    </row>
    <row r="5" ht="56" customHeight="1">
      <c r="A5" s="27" t="inlineStr">
        <is>
          <t>BL-AUTH-004</t>
        </is>
      </c>
      <c r="B5" s="28" t="inlineStr">
        <is>
          <t>Authentication &amp; session</t>
        </is>
      </c>
      <c r="C5" s="28" t="inlineStr">
        <is>
          <t>Onboarding &amp; consent</t>
        </is>
      </c>
      <c r="D5" s="28" t="inlineStr">
        <is>
          <t>Offers opt-in reaches the account</t>
        </is>
      </c>
      <c r="E5" s="28" t="inlineStr">
        <is>
          <t>1. Tick the offers box in onboarding
2. Sign up
3. Inspect the sign-up request and the profile's marketing preference</t>
        </is>
      </c>
      <c r="F5" s="28" t="inlineStr">
        <is>
          <t>Marketing consent should reflect the choice. The code always sends marketing = false at sign-up.</t>
        </is>
      </c>
      <c r="G5" s="29" t="inlineStr">
        <is>
          <t>P1</t>
        </is>
      </c>
      <c r="H5" s="29" t="inlineStr">
        <is>
          <t>Verify gap</t>
        </is>
      </c>
      <c r="I5" s="30" t="inlineStr">
        <is>
          <t>lib/features/auth/presentation/controllers/auth_flow_draft.dart:91</t>
        </is>
      </c>
      <c r="J5" s="29" t="n"/>
      <c r="K5" s="31" t="inlineStr">
        <is>
          <t>Not Run</t>
        </is>
      </c>
      <c r="L5" s="32" t="n"/>
      <c r="M5" s="33" t="n"/>
      <c r="N5" s="32" t="n"/>
      <c r="O5" s="32" t="n"/>
      <c r="P5" s="32" t="n"/>
      <c r="Q5" s="32" t="n"/>
    </row>
    <row r="6" ht="43" customHeight="1">
      <c r="A6" s="27" t="inlineStr">
        <is>
          <t>BL-AUTH-005</t>
        </is>
      </c>
      <c r="B6" s="28" t="inlineStr">
        <is>
          <t>Authentication &amp; session</t>
        </is>
      </c>
      <c r="C6" s="28" t="inlineStr">
        <is>
          <t>Onboarding &amp; consent</t>
        </is>
      </c>
      <c r="D6" s="28" t="inlineStr">
        <is>
          <t>Intro can be skipped by a deep link</t>
        </is>
      </c>
      <c r="E6" s="28" t="inlineStr">
        <is>
          <t>1. Fresh install
2. Open medibook://login or medibook://signup</t>
        </is>
      </c>
      <c r="F6" s="28" t="inlineStr">
        <is>
          <t>Decide what is correct: the code opens sign-in / sign-up directly, skipping the intro and consent screen (sign-up has its own legal checkbox).</t>
        </is>
      </c>
      <c r="G6" s="29" t="inlineStr">
        <is>
          <t>P2</t>
        </is>
      </c>
      <c r="H6" s="29" t="inlineStr">
        <is>
          <t>Verify gap</t>
        </is>
      </c>
      <c r="I6" s="30" t="inlineStr">
        <is>
          <t>lib/app/router/app_router.dart:466</t>
        </is>
      </c>
      <c r="J6" s="29" t="n"/>
      <c r="K6" s="31" t="inlineStr">
        <is>
          <t>Not Run</t>
        </is>
      </c>
      <c r="L6" s="32" t="n"/>
      <c r="M6" s="33" t="n"/>
      <c r="N6" s="32" t="n"/>
      <c r="O6" s="32" t="n"/>
      <c r="P6" s="32" t="n"/>
      <c r="Q6" s="32" t="n"/>
    </row>
    <row r="7" ht="43" customHeight="1">
      <c r="A7" s="27" t="inlineStr">
        <is>
          <t>BL-AUTH-006</t>
        </is>
      </c>
      <c r="B7" s="28" t="inlineStr">
        <is>
          <t>Authentication &amp; session</t>
        </is>
      </c>
      <c r="C7" s="28" t="inlineStr">
        <is>
          <t>Sign-up</t>
        </is>
      </c>
      <c r="D7" s="28" t="inlineStr">
        <is>
          <t>First name rules</t>
        </is>
      </c>
      <c r="E7" s="28" t="inlineStr">
        <is>
          <t>Submit with first name empty, 'A', and 'An1ta'</t>
        </is>
      </c>
      <c r="F7" s="28" t="inlineStr">
        <is>
          <t>'Enter your first name' / 'Name is too short' / 'Use letters only'. Names like D'Souza and Anne-Marie pass.</t>
        </is>
      </c>
      <c r="G7" s="29" t="inlineStr">
        <is>
          <t>P1</t>
        </is>
      </c>
      <c r="H7" s="29" t="inlineStr">
        <is>
          <t>Boundary</t>
        </is>
      </c>
      <c r="I7" s="30" t="inlineStr">
        <is>
          <t>lib/features/auth/presentation/controllers/signup_form_controller.dart:58</t>
        </is>
      </c>
      <c r="J7" s="29" t="n"/>
      <c r="K7" s="31" t="inlineStr">
        <is>
          <t>Not Run</t>
        </is>
      </c>
      <c r="L7" s="32" t="n"/>
      <c r="M7" s="33" t="n"/>
      <c r="N7" s="32" t="n"/>
      <c r="O7" s="32" t="n"/>
      <c r="P7" s="32" t="n"/>
      <c r="Q7" s="32" t="n"/>
    </row>
    <row r="8" ht="30" customHeight="1">
      <c r="A8" s="27" t="inlineStr">
        <is>
          <t>BL-AUTH-007</t>
        </is>
      </c>
      <c r="B8" s="28" t="inlineStr">
        <is>
          <t>Authentication &amp; session</t>
        </is>
      </c>
      <c r="C8" s="28" t="inlineStr">
        <is>
          <t>Sign-up</t>
        </is>
      </c>
      <c r="D8" s="28" t="inlineStr">
        <is>
          <t>Mobile number is an Indian mobile: 10 digits starting 6–9</t>
        </is>
      </c>
      <c r="E8" s="28" t="inlineStr">
        <is>
          <t>Submit empty, 9 digits, and a number starting with 5</t>
        </is>
      </c>
      <c r="F8" s="28" t="inlineStr">
        <is>
          <t>'Enter your mobile number' / 'Mobile number must be 10 digits' / 'Mobile number must start with 6-9'.</t>
        </is>
      </c>
      <c r="G8" s="29" t="inlineStr">
        <is>
          <t>P0</t>
        </is>
      </c>
      <c r="H8" s="29" t="inlineStr">
        <is>
          <t>Boundary</t>
        </is>
      </c>
      <c r="I8" s="30" t="inlineStr">
        <is>
          <t>lib/core/utils/validators.dart:54</t>
        </is>
      </c>
      <c r="J8" s="29" t="n"/>
      <c r="K8" s="31" t="inlineStr">
        <is>
          <t>Not Run</t>
        </is>
      </c>
      <c r="L8" s="32" t="n"/>
      <c r="M8" s="33" t="n"/>
      <c r="N8" s="32" t="n"/>
      <c r="O8" s="32" t="n"/>
      <c r="P8" s="32" t="n"/>
      <c r="Q8" s="32" t="n"/>
    </row>
    <row r="9" ht="43" customHeight="1">
      <c r="A9" s="27" t="inlineStr">
        <is>
          <t>BL-AUTH-008</t>
        </is>
      </c>
      <c r="B9" s="28" t="inlineStr">
        <is>
          <t>Authentication &amp; session</t>
        </is>
      </c>
      <c r="C9" s="28" t="inlineStr">
        <is>
          <t>Sign-up</t>
        </is>
      </c>
      <c r="D9" s="28" t="inlineStr">
        <is>
          <t>Non-Indian country codes</t>
        </is>
      </c>
      <c r="E9" s="28" t="inlineStr">
        <is>
          <t>1. Pick +971 in the country picker
2. Enter a valid 9-digit UAE number</t>
        </is>
      </c>
      <c r="F9" s="28" t="inlineStr">
        <is>
          <t>Decide what is correct: the picker offers other countries, but validation is always the Indian rule, so the number is rejected.</t>
        </is>
      </c>
      <c r="G9" s="29" t="inlineStr">
        <is>
          <t>P2</t>
        </is>
      </c>
      <c r="H9" s="29" t="inlineStr">
        <is>
          <t>Verify gap</t>
        </is>
      </c>
      <c r="I9" s="30" t="inlineStr">
        <is>
          <t>lib/core/widgets/app_phone_field.dart:68</t>
        </is>
      </c>
      <c r="J9" s="29" t="n"/>
      <c r="K9" s="31" t="inlineStr">
        <is>
          <t>Not Run</t>
        </is>
      </c>
      <c r="L9" s="32" t="n"/>
      <c r="M9" s="33" t="n"/>
      <c r="N9" s="32" t="n"/>
      <c r="O9" s="32" t="n"/>
      <c r="P9" s="32" t="n"/>
      <c r="Q9" s="32" t="n"/>
    </row>
    <row r="10" ht="43" customHeight="1">
      <c r="A10" s="27" t="inlineStr">
        <is>
          <t>BL-AUTH-009</t>
        </is>
      </c>
      <c r="B10" s="28" t="inlineStr">
        <is>
          <t>Authentication &amp; session</t>
        </is>
      </c>
      <c r="C10" s="28" t="inlineStr">
        <is>
          <t>Sign-up</t>
        </is>
      </c>
      <c r="D10" s="28" t="inlineStr">
        <is>
          <t>Account holder must be 18 or older</t>
        </is>
      </c>
      <c r="E10" s="28" t="inlineStr">
        <is>
          <t>1. Open the date picker and look for dates under 18 years ago
2. Force an under-age date via the server</t>
        </is>
      </c>
      <c r="F10" s="28" t="inlineStr">
        <is>
          <t>Picker stops at today minus 18 years; a server refusal shows the 18+ message under Date of birth.</t>
        </is>
      </c>
      <c r="G10" s="29" t="inlineStr">
        <is>
          <t>P0</t>
        </is>
      </c>
      <c r="H10" s="29" t="inlineStr">
        <is>
          <t>Boundary</t>
        </is>
      </c>
      <c r="I10" s="30" t="inlineStr">
        <is>
          <t>lib/features/auth/presentation/controllers/signup_form_controller.dart:97</t>
        </is>
      </c>
      <c r="J10" s="29" t="n"/>
      <c r="K10" s="31" t="inlineStr">
        <is>
          <t>Not Run</t>
        </is>
      </c>
      <c r="L10" s="32" t="n"/>
      <c r="M10" s="33" t="n"/>
      <c r="N10" s="32" t="n"/>
      <c r="O10" s="32" t="n"/>
      <c r="P10" s="32" t="n"/>
      <c r="Q10" s="32" t="n"/>
    </row>
    <row r="11" ht="43" customHeight="1">
      <c r="A11" s="27" t="inlineStr">
        <is>
          <t>BL-AUTH-010</t>
        </is>
      </c>
      <c r="B11" s="28" t="inlineStr">
        <is>
          <t>Authentication &amp; session</t>
        </is>
      </c>
      <c r="C11" s="28" t="inlineStr">
        <is>
          <t>Sign-up</t>
        </is>
      </c>
      <c r="D11" s="28" t="inlineStr">
        <is>
          <t>Password is optional; if given, at least 10 characters and confirmed</t>
        </is>
      </c>
      <c r="E11" s="28" t="inlineStr">
        <is>
          <t>1. Leave both password fields empty
2. Enter 9 characters
3. Enter 10 with a different confirmation</t>
        </is>
      </c>
      <c r="F11" s="28" t="inlineStr">
        <is>
          <t>Empty is accepted (code-only account); 'At least 10 characters'; 'Passwords do not match'.</t>
        </is>
      </c>
      <c r="G11" s="29" t="inlineStr">
        <is>
          <t>P0</t>
        </is>
      </c>
      <c r="H11" s="29" t="inlineStr">
        <is>
          <t>Boundary</t>
        </is>
      </c>
      <c r="I11" s="30" t="inlineStr">
        <is>
          <t>lib/features/auth/presentation/controllers/signup_form_controller.dart:71</t>
        </is>
      </c>
      <c r="J11" s="29" t="n"/>
      <c r="K11" s="31" t="inlineStr">
        <is>
          <t>Not Run</t>
        </is>
      </c>
      <c r="L11" s="32" t="n"/>
      <c r="M11" s="33" t="n"/>
      <c r="N11" s="32" t="n"/>
      <c r="O11" s="32" t="n"/>
      <c r="P11" s="32" t="n"/>
      <c r="Q11" s="32" t="n"/>
    </row>
    <row r="12" ht="30" customHeight="1">
      <c r="A12" s="27" t="inlineStr">
        <is>
          <t>BL-AUTH-011</t>
        </is>
      </c>
      <c r="B12" s="28" t="inlineStr">
        <is>
          <t>Authentication &amp; session</t>
        </is>
      </c>
      <c r="C12" s="28" t="inlineStr">
        <is>
          <t>Sign-up</t>
        </is>
      </c>
      <c r="D12" s="28" t="inlineStr">
        <is>
          <t>Password containing personal details</t>
        </is>
      </c>
      <c r="E12" s="28" t="inlineStr">
        <is>
          <t>Use a 10+ character password containing your first name or phone number</t>
        </is>
      </c>
      <c r="F12" s="28" t="inlineStr">
        <is>
          <t>Server refuses it and the message appears under the password field (the app does not pre-check this).</t>
        </is>
      </c>
      <c r="G12" s="29" t="inlineStr">
        <is>
          <t>P2</t>
        </is>
      </c>
      <c r="H12" s="29" t="inlineStr">
        <is>
          <t>Error handling</t>
        </is>
      </c>
      <c r="I12" s="30" t="inlineStr">
        <is>
          <t>lib/core/utils/validators.dart:30</t>
        </is>
      </c>
      <c r="J12" s="29" t="n"/>
      <c r="K12" s="31" t="inlineStr">
        <is>
          <t>Not Run</t>
        </is>
      </c>
      <c r="L12" s="32" t="n"/>
      <c r="M12" s="33" t="n"/>
      <c r="N12" s="32" t="n"/>
      <c r="O12" s="32" t="n"/>
      <c r="P12" s="32" t="n"/>
      <c r="Q12" s="32" t="n"/>
    </row>
    <row r="13" ht="43" customHeight="1">
      <c r="A13" s="27" t="inlineStr">
        <is>
          <t>BL-AUTH-012</t>
        </is>
      </c>
      <c r="B13" s="28" t="inlineStr">
        <is>
          <t>Authentication &amp; session</t>
        </is>
      </c>
      <c r="C13" s="28" t="inlineStr">
        <is>
          <t>Sign-up</t>
        </is>
      </c>
      <c r="D13" s="28" t="inlineStr">
        <is>
          <t>Address is all-or-nothing</t>
        </is>
      </c>
      <c r="E13" s="28" t="inlineStr">
        <is>
          <t>1. Fill only City and submit
2. Enter PIN 012345
3. Enter line 1 'abc'</t>
        </is>
      </c>
      <c r="F13" s="28" t="inlineStr">
        <is>
          <t>Once any of line 1 / city / state / PIN is filled all four are required; 'Enter a valid PIN code'; 'Address looks too short'. Label alone does not trigger it.</t>
        </is>
      </c>
      <c r="G13" s="29" t="inlineStr">
        <is>
          <t>P2</t>
        </is>
      </c>
      <c r="H13" s="29" t="inlineStr">
        <is>
          <t>Rule</t>
        </is>
      </c>
      <c r="I13" s="30" t="inlineStr">
        <is>
          <t>lib/features/auth/presentation/controllers/signup_form_controller.dart:166</t>
        </is>
      </c>
      <c r="J13" s="29" t="n"/>
      <c r="K13" s="31" t="inlineStr">
        <is>
          <t>Not Run</t>
        </is>
      </c>
      <c r="L13" s="32" t="n"/>
      <c r="M13" s="33" t="n"/>
      <c r="N13" s="32" t="n"/>
      <c r="O13" s="32" t="n"/>
      <c r="P13" s="32" t="n"/>
      <c r="Q13" s="32" t="n"/>
    </row>
    <row r="14" ht="43" customHeight="1">
      <c r="A14" s="27" t="inlineStr">
        <is>
          <t>BL-AUTH-013</t>
        </is>
      </c>
      <c r="B14" s="28" t="inlineStr">
        <is>
          <t>Authentication &amp; session</t>
        </is>
      </c>
      <c r="C14" s="28" t="inlineStr">
        <is>
          <t>Sign-up</t>
        </is>
      </c>
      <c r="D14" s="28" t="inlineStr">
        <is>
          <t>Legal checkbox is required</t>
        </is>
      </c>
      <c r="E14" s="28" t="inlineStr">
        <is>
          <t>Submit with the box unticked</t>
        </is>
      </c>
      <c r="F14" s="28" t="inlineStr">
        <is>
          <t>'Accept the Terms, Privacy Policy and User Guidelines to continue'.</t>
        </is>
      </c>
      <c r="G14" s="29" t="inlineStr">
        <is>
          <t>P0</t>
        </is>
      </c>
      <c r="H14" s="29" t="inlineStr">
        <is>
          <t>Rule</t>
        </is>
      </c>
      <c r="I14" s="30" t="inlineStr">
        <is>
          <t>lib/features/auth/presentation/controllers/signup_form_controller.dart:89</t>
        </is>
      </c>
      <c r="J14" s="29" t="n"/>
      <c r="K14" s="31" t="inlineStr">
        <is>
          <t>Not Run</t>
        </is>
      </c>
      <c r="L14" s="32" t="n"/>
      <c r="M14" s="33" t="n"/>
      <c r="N14" s="32" t="n"/>
      <c r="O14" s="32" t="n"/>
      <c r="P14" s="32" t="n"/>
      <c r="Q14" s="32" t="n"/>
    </row>
    <row r="15" ht="43" customHeight="1">
      <c r="A15" s="27" t="inlineStr">
        <is>
          <t>BL-AUTH-014</t>
        </is>
      </c>
      <c r="B15" s="28" t="inlineStr">
        <is>
          <t>Authentication &amp; session</t>
        </is>
      </c>
      <c r="C15" s="28" t="inlineStr">
        <is>
          <t>Sign-up</t>
        </is>
      </c>
      <c r="D15" s="28" t="inlineStr">
        <is>
          <t>No account exists until the code is verified</t>
        </is>
      </c>
      <c r="E15" s="28" t="inlineStr">
        <is>
          <t>1. Submit a valid form
2. On the verify screen press Back
3. Try to sign in with those details</t>
        </is>
      </c>
      <c r="F15" s="28" t="inlineStr">
        <is>
          <t>Form is refilled except the password fields; sign-in fails because no account was created yet.</t>
        </is>
      </c>
      <c r="G15" s="29" t="inlineStr">
        <is>
          <t>P1</t>
        </is>
      </c>
      <c r="H15" s="29" t="inlineStr">
        <is>
          <t>State</t>
        </is>
      </c>
      <c r="I15" s="30" t="inlineStr">
        <is>
          <t>lib/features/auth/presentation/controllers/signup_form_controller.dart:200</t>
        </is>
      </c>
      <c r="J15" s="29" t="inlineStr">
        <is>
          <t>KB-05</t>
        </is>
      </c>
      <c r="K15" s="31" t="inlineStr">
        <is>
          <t>Not Run</t>
        </is>
      </c>
      <c r="L15" s="32" t="n"/>
      <c r="M15" s="33" t="n"/>
      <c r="N15" s="32" t="n"/>
      <c r="O15" s="32" t="n"/>
      <c r="P15" s="32" t="n"/>
      <c r="Q15" s="32" t="n"/>
    </row>
    <row r="16" ht="43" customHeight="1">
      <c r="A16" s="27" t="inlineStr">
        <is>
          <t>BL-AUTH-015</t>
        </is>
      </c>
      <c r="B16" s="28" t="inlineStr">
        <is>
          <t>Authentication &amp; session</t>
        </is>
      </c>
      <c r="C16" s="28" t="inlineStr">
        <is>
          <t>Sign-up</t>
        </is>
      </c>
      <c r="D16" s="28" t="inlineStr">
        <is>
          <t>Server errors land on their fields</t>
        </is>
      </c>
      <c r="E16" s="28" t="inlineStr">
        <is>
          <t>1. Use an already-registered number
2. Trigger server errors on email and address fields</t>
        </is>
      </c>
      <c r="F16" s="28" t="inlineStr">
        <is>
          <t>Each message under its own field (phone, email, date of birth, password, address lines, consents); anything else in the form banner.</t>
        </is>
      </c>
      <c r="G16" s="29" t="inlineStr">
        <is>
          <t>P1</t>
        </is>
      </c>
      <c r="H16" s="29" t="inlineStr">
        <is>
          <t>Error handling</t>
        </is>
      </c>
      <c r="I16" s="30" t="inlineStr">
        <is>
          <t>lib/features/auth/presentation/controllers/signup_form_controller.dart:225</t>
        </is>
      </c>
      <c r="J16" s="29" t="n"/>
      <c r="K16" s="31" t="inlineStr">
        <is>
          <t>Not Run</t>
        </is>
      </c>
      <c r="L16" s="32" t="n"/>
      <c r="M16" s="33" t="n"/>
      <c r="N16" s="32" t="n"/>
      <c r="O16" s="32" t="n"/>
      <c r="P16" s="32" t="n"/>
      <c r="Q16" s="32" t="n"/>
    </row>
    <row r="17" ht="30" customHeight="1">
      <c r="A17" s="27" t="inlineStr">
        <is>
          <t>BL-AUTH-016</t>
        </is>
      </c>
      <c r="B17" s="28" t="inlineStr">
        <is>
          <t>Authentication &amp; session</t>
        </is>
      </c>
      <c r="C17" s="28" t="inlineStr">
        <is>
          <t>Sign-up</t>
        </is>
      </c>
      <c r="D17" s="28" t="inlineStr">
        <is>
          <t>Successful sign-up signs the user in</t>
        </is>
      </c>
      <c r="E17" s="28" t="inlineStr">
        <is>
          <t>Enter the correct code</t>
        </is>
      </c>
      <c r="F17" s="28" t="inlineStr">
        <is>
          <t>'Welcome to Medibook, &lt;first name&gt;!' and Home; booking 'for myself' works immediately.</t>
        </is>
      </c>
      <c r="G17" s="29" t="inlineStr">
        <is>
          <t>P0</t>
        </is>
      </c>
      <c r="H17" s="29" t="inlineStr">
        <is>
          <t>State</t>
        </is>
      </c>
      <c r="I17" s="30" t="inlineStr">
        <is>
          <t>lib/features/auth/presentation/screen/verify_code_screen.dart:125</t>
        </is>
      </c>
      <c r="J17" s="29" t="inlineStr">
        <is>
          <t>KB-05</t>
        </is>
      </c>
      <c r="K17" s="31" t="inlineStr">
        <is>
          <t>Not Run</t>
        </is>
      </c>
      <c r="L17" s="32" t="n"/>
      <c r="M17" s="33" t="n"/>
      <c r="N17" s="32" t="n"/>
      <c r="O17" s="32" t="n"/>
      <c r="P17" s="32" t="n"/>
      <c r="Q17" s="32" t="n"/>
    </row>
    <row r="18" ht="43" customHeight="1">
      <c r="A18" s="27" t="inlineStr">
        <is>
          <t>BL-AUTH-017</t>
        </is>
      </c>
      <c r="B18" s="28" t="inlineStr">
        <is>
          <t>Authentication &amp; session</t>
        </is>
      </c>
      <c r="C18" s="28" t="inlineStr">
        <is>
          <t>OTP verification</t>
        </is>
      </c>
      <c r="D18" s="28" t="inlineStr">
        <is>
          <t>Local checks before any request</t>
        </is>
      </c>
      <c r="E18" s="28" t="inlineStr">
        <is>
          <t>Tap Verify with nothing entered and with fewer digits</t>
        </is>
      </c>
      <c r="F18" s="28" t="inlineStr">
        <is>
          <t>'Enter the code' / 'Enter all N digits'; no request is sent. The number of boxes equals the server's code length.</t>
        </is>
      </c>
      <c r="G18" s="29" t="inlineStr">
        <is>
          <t>P1</t>
        </is>
      </c>
      <c r="H18" s="29" t="inlineStr">
        <is>
          <t>Boundary</t>
        </is>
      </c>
      <c r="I18" s="30" t="inlineStr">
        <is>
          <t>lib/features/auth/presentation/controllers/verify_controller.dart:64</t>
        </is>
      </c>
      <c r="J18" s="29" t="n"/>
      <c r="K18" s="31" t="inlineStr">
        <is>
          <t>Not Run</t>
        </is>
      </c>
      <c r="L18" s="32" t="n"/>
      <c r="M18" s="33" t="n"/>
      <c r="N18" s="32" t="n"/>
      <c r="O18" s="32" t="n"/>
      <c r="P18" s="32" t="n"/>
      <c r="Q18" s="32" t="n"/>
    </row>
    <row r="19" ht="56" customHeight="1">
      <c r="A19" s="27" t="inlineStr">
        <is>
          <t>BL-AUTH-018</t>
        </is>
      </c>
      <c r="B19" s="28" t="inlineStr">
        <is>
          <t>Authentication &amp; session</t>
        </is>
      </c>
      <c r="C19" s="28" t="inlineStr">
        <is>
          <t>OTP verification</t>
        </is>
      </c>
      <c r="D19" s="28" t="inlineStr">
        <is>
          <t>Wrong, expired and exhausted codes</t>
        </is>
      </c>
      <c r="E19" s="28" t="inlineStr">
        <is>
          <t>1. Enter a wrong code
2. Wait over 180 s and enter the code
3. Enter 3 wrong codes</t>
        </is>
      </c>
      <c r="F19" s="28" t="inlineStr">
        <is>
          <t>'That code is not right. Check it and try again. 2 attempts left.' / 'That code has expired. Request a new one.' / 'Too many wrong codes. Request a new code to continue.'</t>
        </is>
      </c>
      <c r="G19" s="29" t="inlineStr">
        <is>
          <t>P0</t>
        </is>
      </c>
      <c r="H19" s="29" t="inlineStr">
        <is>
          <t>Error handling</t>
        </is>
      </c>
      <c r="I19" s="30" t="inlineStr">
        <is>
          <t>lib/core/network/network_exceptions.dart:478</t>
        </is>
      </c>
      <c r="J19" s="29" t="inlineStr">
        <is>
          <t>KB-05</t>
        </is>
      </c>
      <c r="K19" s="31" t="inlineStr">
        <is>
          <t>Not Run</t>
        </is>
      </c>
      <c r="L19" s="32" t="n"/>
      <c r="M19" s="33" t="n"/>
      <c r="N19" s="32" t="n"/>
      <c r="O19" s="32" t="n"/>
      <c r="P19" s="32" t="n"/>
      <c r="Q19" s="32" t="n"/>
    </row>
    <row r="20" ht="30" customHeight="1">
      <c r="A20" s="27" t="inlineStr">
        <is>
          <t>BL-AUTH-019</t>
        </is>
      </c>
      <c r="B20" s="28" t="inlineStr">
        <is>
          <t>Authentication &amp; session</t>
        </is>
      </c>
      <c r="C20" s="28" t="inlineStr">
        <is>
          <t>OTP verification</t>
        </is>
      </c>
      <c r="D20" s="28" t="inlineStr">
        <is>
          <t>Resend replaces the challenge</t>
        </is>
      </c>
      <c r="E20" s="28" t="inlineStr">
        <is>
          <t>1. Tap 'Resend Code'
2. Enter the old code, then the new one</t>
        </is>
      </c>
      <c r="F20" s="28" t="inlineStr">
        <is>
          <t>'Code re-sent to your mobile number'; the old code fails, the new one works.</t>
        </is>
      </c>
      <c r="G20" s="29" t="inlineStr">
        <is>
          <t>P1</t>
        </is>
      </c>
      <c r="H20" s="29" t="inlineStr">
        <is>
          <t>State</t>
        </is>
      </c>
      <c r="I20" s="30" t="inlineStr">
        <is>
          <t>lib/features/auth/presentation/controllers/verify_controller.dart:92</t>
        </is>
      </c>
      <c r="J20" s="29" t="inlineStr">
        <is>
          <t>KB-05</t>
        </is>
      </c>
      <c r="K20" s="31" t="inlineStr">
        <is>
          <t>Not Run</t>
        </is>
      </c>
      <c r="L20" s="32" t="n"/>
      <c r="M20" s="33" t="n"/>
      <c r="N20" s="32" t="n"/>
      <c r="O20" s="32" t="n"/>
      <c r="P20" s="32" t="n"/>
      <c r="Q20" s="32" t="n"/>
    </row>
    <row r="21" ht="43" customHeight="1">
      <c r="A21" s="27" t="inlineStr">
        <is>
          <t>BL-AUTH-020</t>
        </is>
      </c>
      <c r="B21" s="28" t="inlineStr">
        <is>
          <t>Authentication &amp; session</t>
        </is>
      </c>
      <c r="C21" s="28" t="inlineStr">
        <is>
          <t>OTP verification</t>
        </is>
      </c>
      <c r="D21" s="28" t="inlineStr">
        <is>
          <t>Resend cooldown and code-expiry countdown</t>
        </is>
      </c>
      <c r="E21" s="28" t="inlineStr">
        <is>
          <t>Arrive on the verify screen and tap 'Resend Code' immediately, several times</t>
        </is>
      </c>
      <c r="F21" s="28" t="inlineStr">
        <is>
          <t>A 30 s cooldown / countdown is expected. The code leaves the button always tappable and relies on the server's 'too many attempts' answer.</t>
        </is>
      </c>
      <c r="G21" s="29" t="inlineStr">
        <is>
          <t>P1</t>
        </is>
      </c>
      <c r="H21" s="29" t="inlineStr">
        <is>
          <t>Verify gap</t>
        </is>
      </c>
      <c r="I21" s="30" t="inlineStr">
        <is>
          <t>lib/features/auth/presentation/screen/verify_code_screen.dart:283</t>
        </is>
      </c>
      <c r="J21" s="29" t="inlineStr">
        <is>
          <t>KB-05</t>
        </is>
      </c>
      <c r="K21" s="31" t="inlineStr">
        <is>
          <t>Not Run</t>
        </is>
      </c>
      <c r="L21" s="32" t="n"/>
      <c r="M21" s="33" t="n"/>
      <c r="N21" s="32" t="n"/>
      <c r="O21" s="32" t="n"/>
      <c r="P21" s="32" t="n"/>
      <c r="Q21" s="32" t="n"/>
    </row>
    <row r="22" ht="30" customHeight="1">
      <c r="A22" s="27" t="inlineStr">
        <is>
          <t>BL-AUTH-021</t>
        </is>
      </c>
      <c r="B22" s="28" t="inlineStr">
        <is>
          <t>Authentication &amp; session</t>
        </is>
      </c>
      <c r="C22" s="28" t="inlineStr">
        <is>
          <t>OTP verification</t>
        </is>
      </c>
      <c r="D22" s="28" t="inlineStr">
        <is>
          <t>Verify screen opened without a code request</t>
        </is>
      </c>
      <c r="E22" s="28" t="inlineStr">
        <is>
          <t>1. Open the verify deep link with no parameters
2. Enter a code</t>
        </is>
      </c>
      <c r="F22" s="28" t="inlineStr">
        <is>
          <t>'This code request has expired. Go back and ask for a new code.'</t>
        </is>
      </c>
      <c r="G22" s="29" t="inlineStr">
        <is>
          <t>P2</t>
        </is>
      </c>
      <c r="H22" s="29" t="inlineStr">
        <is>
          <t>Error handling</t>
        </is>
      </c>
      <c r="I22" s="30" t="inlineStr">
        <is>
          <t>lib/features/auth/presentation/controllers/verify_controller.dart:53</t>
        </is>
      </c>
      <c r="J22" s="29" t="n"/>
      <c r="K22" s="31" t="inlineStr">
        <is>
          <t>Not Run</t>
        </is>
      </c>
      <c r="L22" s="32" t="n"/>
      <c r="M22" s="33" t="n"/>
      <c r="N22" s="32" t="n"/>
      <c r="O22" s="32" t="n"/>
      <c r="P22" s="32" t="n"/>
      <c r="Q22" s="32" t="n"/>
    </row>
    <row r="23" ht="43" customHeight="1">
      <c r="A23" s="27" t="inlineStr">
        <is>
          <t>BL-AUTH-022</t>
        </is>
      </c>
      <c r="B23" s="28" t="inlineStr">
        <is>
          <t>Authentication &amp; session</t>
        </is>
      </c>
      <c r="C23" s="28" t="inlineStr">
        <is>
          <t>OTP verification</t>
        </is>
      </c>
      <c r="D23" s="28" t="inlineStr">
        <is>
          <t>Phone-change purpose on the generic verify screen</t>
        </is>
      </c>
      <c r="E23" s="28" t="inlineStr">
        <is>
          <t>1. While signed in open /verify?purpose=phone-change&amp;ch=x&amp;len=4
2. Enter any 4 digits</t>
        </is>
      </c>
      <c r="F23" s="28" t="inlineStr">
        <is>
          <t>Nothing should be 'verified'. The code accepts any well-formed code with no server call and opens Edit Profile (no number actually changes).</t>
        </is>
      </c>
      <c r="G23" s="29" t="inlineStr">
        <is>
          <t>P2</t>
        </is>
      </c>
      <c r="H23" s="29" t="inlineStr">
        <is>
          <t>Verify gap</t>
        </is>
      </c>
      <c r="I23" s="30" t="inlineStr">
        <is>
          <t>lib/features/auth/presentation/controllers/verify_controller.dart:149</t>
        </is>
      </c>
      <c r="J23" s="29" t="n"/>
      <c r="K23" s="31" t="inlineStr">
        <is>
          <t>Not Run</t>
        </is>
      </c>
      <c r="L23" s="32" t="n"/>
      <c r="M23" s="33" t="n"/>
      <c r="N23" s="32" t="n"/>
      <c r="O23" s="32" t="n"/>
      <c r="P23" s="32" t="n"/>
      <c r="Q23" s="32" t="n"/>
    </row>
    <row r="24" ht="43" customHeight="1">
      <c r="A24" s="27" t="inlineStr">
        <is>
          <t>BL-AUTH-023</t>
        </is>
      </c>
      <c r="B24" s="28" t="inlineStr">
        <is>
          <t>Authentication &amp; session</t>
        </is>
      </c>
      <c r="C24" s="28" t="inlineStr">
        <is>
          <t>OTP verification</t>
        </is>
      </c>
      <c r="D24" s="28" t="inlineStr">
        <is>
          <t>What a correct code does depends on the flow</t>
        </is>
      </c>
      <c r="E24" s="28" t="inlineStr">
        <is>
          <t>Complete sign-up, mobile sign-in and password reset</t>
        </is>
      </c>
      <c r="F24" s="28" t="inlineStr">
        <is>
          <t>Buttons read 'Verify &amp; Create Account' / 'Verify &amp; Log In' / 'Verify'; destinations are Home, Home and the new-password screen.</t>
        </is>
      </c>
      <c r="G24" s="29" t="inlineStr">
        <is>
          <t>P1</t>
        </is>
      </c>
      <c r="H24" s="29" t="inlineStr">
        <is>
          <t>Rule</t>
        </is>
      </c>
      <c r="I24" s="30" t="inlineStr">
        <is>
          <t>lib/features/auth/presentation/screen/verify_code_screen.dart:124</t>
        </is>
      </c>
      <c r="J24" s="29" t="inlineStr">
        <is>
          <t>KB-05</t>
        </is>
      </c>
      <c r="K24" s="31" t="inlineStr">
        <is>
          <t>Not Run</t>
        </is>
      </c>
      <c r="L24" s="32" t="n"/>
      <c r="M24" s="33" t="n"/>
      <c r="N24" s="32" t="n"/>
      <c r="O24" s="32" t="n"/>
      <c r="P24" s="32" t="n"/>
      <c r="Q24" s="32" t="n"/>
    </row>
    <row r="25" ht="43" customHeight="1">
      <c r="A25" s="27" t="inlineStr">
        <is>
          <t>BL-AUTH-024</t>
        </is>
      </c>
      <c r="B25" s="28" t="inlineStr">
        <is>
          <t>Authentication &amp; session</t>
        </is>
      </c>
      <c r="C25" s="28" t="inlineStr">
        <is>
          <t>Password sign-in</t>
        </is>
      </c>
      <c r="D25" s="28" t="inlineStr">
        <is>
          <t>Identifier must be an email or a full +91 number</t>
        </is>
      </c>
      <c r="E25" s="28" t="inlineStr">
        <is>
          <t>1. Submit empty
2. Submit '9845658525' on the email/mobile field
3. Submit with an empty password</t>
        </is>
      </c>
      <c r="F25" s="28" t="inlineStr">
        <is>
          <t>'Enter your email or mobile number' / 'Enter a valid email address or mobile number' / 'Enter your password'. Confirm a bare 10-digit number should be rejected here.</t>
        </is>
      </c>
      <c r="G25" s="29" t="inlineStr">
        <is>
          <t>P1</t>
        </is>
      </c>
      <c r="H25" s="29" t="inlineStr">
        <is>
          <t>Boundary</t>
        </is>
      </c>
      <c r="I25" s="30" t="inlineStr">
        <is>
          <t>lib/features/auth/presentation/controllers/login_form_controller.dart:49</t>
        </is>
      </c>
      <c r="J25" s="29" t="n"/>
      <c r="K25" s="31" t="inlineStr">
        <is>
          <t>Not Run</t>
        </is>
      </c>
      <c r="L25" s="32" t="n"/>
      <c r="M25" s="33" t="n"/>
      <c r="N25" s="32" t="n"/>
      <c r="O25" s="32" t="n"/>
      <c r="P25" s="32" t="n"/>
      <c r="Q25" s="32" t="n"/>
    </row>
    <row r="26" ht="30" customHeight="1">
      <c r="A26" s="27" t="inlineStr">
        <is>
          <t>BL-AUTH-025</t>
        </is>
      </c>
      <c r="B26" s="28" t="inlineStr">
        <is>
          <t>Authentication &amp; session</t>
        </is>
      </c>
      <c r="C26" s="28" t="inlineStr">
        <is>
          <t>Password sign-in</t>
        </is>
      </c>
      <c r="D26" s="28" t="inlineStr">
        <is>
          <t>Malformed input never spends a server attempt</t>
        </is>
      </c>
      <c r="E26" s="28" t="inlineStr">
        <is>
          <t>Submit a malformed identifier with a proxy attached</t>
        </is>
      </c>
      <c r="F26" s="28" t="inlineStr">
        <is>
          <t>No sign-in request is sent; attempts remaining is unchanged.</t>
        </is>
      </c>
      <c r="G26" s="29" t="inlineStr">
        <is>
          <t>P1</t>
        </is>
      </c>
      <c r="H26" s="29" t="inlineStr">
        <is>
          <t>Rule</t>
        </is>
      </c>
      <c r="I26" s="30" t="inlineStr">
        <is>
          <t>lib/features/auth/application/usecases/login.dart:116</t>
        </is>
      </c>
      <c r="J26" s="29" t="n"/>
      <c r="K26" s="31" t="inlineStr">
        <is>
          <t>Not Run</t>
        </is>
      </c>
      <c r="L26" s="32" t="n"/>
      <c r="M26" s="33" t="n"/>
      <c r="N26" s="32" t="n"/>
      <c r="O26" s="32" t="n"/>
      <c r="P26" s="32" t="n"/>
      <c r="Q26" s="32" t="n"/>
    </row>
    <row r="27" ht="43" customHeight="1">
      <c r="A27" s="27" t="inlineStr">
        <is>
          <t>BL-AUTH-026</t>
        </is>
      </c>
      <c r="B27" s="28" t="inlineStr">
        <is>
          <t>Authentication &amp; session</t>
        </is>
      </c>
      <c r="C27" s="28" t="inlineStr">
        <is>
          <t>Password sign-in</t>
        </is>
      </c>
      <c r="D27" s="28" t="inlineStr">
        <is>
          <t>Wrong password shows attempts left</t>
        </is>
      </c>
      <c r="E27" s="28" t="inlineStr">
        <is>
          <t>Enter wrong passwords one at a time</t>
        </is>
      </c>
      <c r="F27" s="28" t="inlineStr">
        <is>
          <t>'That email or number and password do not match an account. 4 attempts left.' counting down to '1 attempt left.'</t>
        </is>
      </c>
      <c r="G27" s="29" t="inlineStr">
        <is>
          <t>P0</t>
        </is>
      </c>
      <c r="H27" s="29" t="inlineStr">
        <is>
          <t>Error handling</t>
        </is>
      </c>
      <c r="I27" s="30" t="inlineStr">
        <is>
          <t>lib/core/network/network_exceptions.dart:330</t>
        </is>
      </c>
      <c r="J27" s="29" t="n"/>
      <c r="K27" s="31" t="inlineStr">
        <is>
          <t>Not Run</t>
        </is>
      </c>
      <c r="L27" s="32" t="n"/>
      <c r="M27" s="33" t="n"/>
      <c r="N27" s="32" t="n"/>
      <c r="O27" s="32" t="n"/>
      <c r="P27" s="32" t="n"/>
      <c r="Q27" s="32" t="n"/>
    </row>
    <row r="28" ht="30" customHeight="1">
      <c r="A28" s="27" t="inlineStr">
        <is>
          <t>BL-AUTH-027</t>
        </is>
      </c>
      <c r="B28" s="28" t="inlineStr">
        <is>
          <t>Authentication &amp; session</t>
        </is>
      </c>
      <c r="C28" s="28" t="inlineStr">
        <is>
          <t>Password sign-in</t>
        </is>
      </c>
      <c r="D28" s="28" t="inlineStr">
        <is>
          <t>Blocked account</t>
        </is>
      </c>
      <c r="E28" s="28" t="inlineStr">
        <is>
          <t>Sign in to a blocked account</t>
        </is>
      </c>
      <c r="F28" s="28" t="inlineStr">
        <is>
          <t>'This account has been blocked. Contact Medibook support.'; attempts counter unchanged.</t>
        </is>
      </c>
      <c r="G28" s="29" t="inlineStr">
        <is>
          <t>P1</t>
        </is>
      </c>
      <c r="H28" s="29" t="inlineStr">
        <is>
          <t>Error handling</t>
        </is>
      </c>
      <c r="I28" s="30" t="inlineStr">
        <is>
          <t>lib/core/network/network_exceptions.dart:330</t>
        </is>
      </c>
      <c r="J28" s="29" t="n"/>
      <c r="K28" s="31" t="inlineStr">
        <is>
          <t>Not Run</t>
        </is>
      </c>
      <c r="L28" s="32" t="n"/>
      <c r="M28" s="33" t="n"/>
      <c r="N28" s="32" t="n"/>
      <c r="O28" s="32" t="n"/>
      <c r="P28" s="32" t="n"/>
      <c r="Q28" s="32" t="n"/>
    </row>
    <row r="29" ht="43" customHeight="1">
      <c r="A29" s="27" t="inlineStr">
        <is>
          <t>BL-AUTH-028</t>
        </is>
      </c>
      <c r="B29" s="28" t="inlineStr">
        <is>
          <t>Authentication &amp; session</t>
        </is>
      </c>
      <c r="C29" s="28" t="inlineStr">
        <is>
          <t>Password sign-in</t>
        </is>
      </c>
      <c r="D29" s="28" t="inlineStr">
        <is>
          <t>What is stored after sign-in</t>
        </is>
      </c>
      <c r="E29" s="28" t="inlineStr">
        <is>
          <t>1. Sign in
2. Inspect secure storage and the Hive auth box on a debug build</t>
        </is>
      </c>
      <c r="F29" s="28" t="inlineStr">
        <is>
          <t>Tokens and session id only in secure storage; the Hive box holds id, name, phone and flags — no tokens.</t>
        </is>
      </c>
      <c r="G29" s="29" t="inlineStr">
        <is>
          <t>P0</t>
        </is>
      </c>
      <c r="H29" s="29" t="inlineStr">
        <is>
          <t>Rule</t>
        </is>
      </c>
      <c r="I29" s="30" t="inlineStr">
        <is>
          <t>lib/features/auth/infrastructure/repositories/auth_repository_impl.dart:246</t>
        </is>
      </c>
      <c r="J29" s="29" t="n"/>
      <c r="K29" s="31" t="inlineStr">
        <is>
          <t>Not Run</t>
        </is>
      </c>
      <c r="L29" s="32" t="n"/>
      <c r="M29" s="33" t="n"/>
      <c r="N29" s="32" t="n"/>
      <c r="O29" s="32" t="n"/>
      <c r="P29" s="32" t="n"/>
      <c r="Q29" s="32" t="n"/>
    </row>
    <row r="30" ht="43" customHeight="1">
      <c r="A30" s="27" t="inlineStr">
        <is>
          <t>BL-AUTH-029</t>
        </is>
      </c>
      <c r="B30" s="28" t="inlineStr">
        <is>
          <t>Authentication &amp; session</t>
        </is>
      </c>
      <c r="C30" s="28" t="inlineStr">
        <is>
          <t>OTP sign-in</t>
        </is>
      </c>
      <c r="D30" s="28" t="inlineStr">
        <is>
          <t>Unregistered number is indistinguishable at 'Send Code'</t>
        </is>
      </c>
      <c r="E30" s="28" t="inlineStr">
        <is>
          <t>1. Request a code for a number with no account
2. Enter any code</t>
        </is>
      </c>
      <c r="F30" s="28" t="inlineStr">
        <is>
          <t>Verify screen opens normally; 'That code is not right. Check it and try again.'</t>
        </is>
      </c>
      <c r="G30" s="29" t="inlineStr">
        <is>
          <t>P1</t>
        </is>
      </c>
      <c r="H30" s="29" t="inlineStr">
        <is>
          <t>Rule</t>
        </is>
      </c>
      <c r="I30" s="30" t="inlineStr">
        <is>
          <t>lib/features/auth/infrastructure/repositories/auth_repository_impl.dart:63</t>
        </is>
      </c>
      <c r="J30" s="29" t="n"/>
      <c r="K30" s="31" t="inlineStr">
        <is>
          <t>Not Run</t>
        </is>
      </c>
      <c r="L30" s="32" t="n"/>
      <c r="M30" s="33" t="n"/>
      <c r="N30" s="32" t="n"/>
      <c r="O30" s="32" t="n"/>
      <c r="P30" s="32" t="n"/>
      <c r="Q30" s="32" t="n"/>
    </row>
    <row r="31" ht="30" customHeight="1">
      <c r="A31" s="27" t="inlineStr">
        <is>
          <t>BL-AUTH-030</t>
        </is>
      </c>
      <c r="B31" s="28" t="inlineStr">
        <is>
          <t>Authentication &amp; session</t>
        </is>
      </c>
      <c r="C31" s="28" t="inlineStr">
        <is>
          <t>OTP sign-in</t>
        </is>
      </c>
      <c r="D31" s="28" t="inlineStr">
        <is>
          <t>Switching Email / Mobile tab resets errors</t>
        </is>
      </c>
      <c r="E31" s="28" t="inlineStr">
        <is>
          <t>1. Cause an error on one tab
2. Switch tabs</t>
        </is>
      </c>
      <c r="F31" s="28" t="inlineStr">
        <is>
          <t>Errors clear; button reads 'Log In' on Email and 'Send Code' on Mobile.</t>
        </is>
      </c>
      <c r="G31" s="29" t="inlineStr">
        <is>
          <t>P3</t>
        </is>
      </c>
      <c r="H31" s="29" t="inlineStr">
        <is>
          <t>State</t>
        </is>
      </c>
      <c r="I31" s="30" t="inlineStr">
        <is>
          <t>lib/features/auth/presentation/screen/login_screen.dart:146</t>
        </is>
      </c>
      <c r="J31" s="29" t="n"/>
      <c r="K31" s="31" t="inlineStr">
        <is>
          <t>Not Run</t>
        </is>
      </c>
      <c r="L31" s="32" t="n"/>
      <c r="M31" s="33" t="n"/>
      <c r="N31" s="32" t="n"/>
      <c r="O31" s="32" t="n"/>
      <c r="P31" s="32" t="n"/>
      <c r="Q31" s="32" t="n"/>
    </row>
    <row r="32" ht="30" customHeight="1">
      <c r="A32" s="27" t="inlineStr">
        <is>
          <t>BL-AUTH-031</t>
        </is>
      </c>
      <c r="B32" s="28" t="inlineStr">
        <is>
          <t>Authentication &amp; session</t>
        </is>
      </c>
      <c r="C32" s="28" t="inlineStr">
        <is>
          <t>Lockout</t>
        </is>
      </c>
      <c r="D32" s="28" t="inlineStr">
        <is>
          <t>Attempt warnings escalate</t>
        </is>
      </c>
      <c r="E32" s="28" t="inlineStr">
        <is>
          <t>Enter wrong passwords one by one</t>
        </is>
      </c>
      <c r="F32" s="28" t="inlineStr">
        <is>
          <t>Amber 'Sign-in attempts — N attempts left…' while more than one remains; red 'One attempt left' at one.</t>
        </is>
      </c>
      <c r="G32" s="29" t="inlineStr">
        <is>
          <t>P1</t>
        </is>
      </c>
      <c r="H32" s="29" t="inlineStr">
        <is>
          <t>State</t>
        </is>
      </c>
      <c r="I32" s="30" t="inlineStr">
        <is>
          <t>lib/features/auth/presentation/components/lockout_notice.dart:91</t>
        </is>
      </c>
      <c r="J32" s="29" t="n"/>
      <c r="K32" s="31" t="inlineStr">
        <is>
          <t>Not Run</t>
        </is>
      </c>
      <c r="L32" s="32" t="n"/>
      <c r="M32" s="33" t="n"/>
      <c r="N32" s="32" t="n"/>
      <c r="O32" s="32" t="n"/>
      <c r="P32" s="32" t="n"/>
      <c r="Q32" s="32" t="n"/>
    </row>
    <row r="33" ht="30" customHeight="1">
      <c r="A33" s="27" t="inlineStr">
        <is>
          <t>BL-AUTH-032</t>
        </is>
      </c>
      <c r="B33" s="28" t="inlineStr">
        <is>
          <t>Authentication &amp; session</t>
        </is>
      </c>
      <c r="C33" s="28" t="inlineStr">
        <is>
          <t>Lockout</t>
        </is>
      </c>
      <c r="D33" s="28" t="inlineStr">
        <is>
          <t>Warning text states the real pause length</t>
        </is>
      </c>
      <c r="E33" s="28" t="inlineStr">
        <is>
          <t>1. Read the warning before lockout
2. Get locked out and read the countdown</t>
        </is>
      </c>
      <c r="F33" s="28" t="inlineStr">
        <is>
          <t>They should agree. The warning says 'paused for 60 seconds' while the server locks for about an hour.</t>
        </is>
      </c>
      <c r="G33" s="29" t="inlineStr">
        <is>
          <t>P1</t>
        </is>
      </c>
      <c r="H33" s="29" t="inlineStr">
        <is>
          <t>Verify gap</t>
        </is>
      </c>
      <c r="I33" s="30" t="inlineStr">
        <is>
          <t>lib/app/config/constants.dart:50</t>
        </is>
      </c>
      <c r="J33" s="29" t="n"/>
      <c r="K33" s="31" t="inlineStr">
        <is>
          <t>Not Run</t>
        </is>
      </c>
      <c r="L33" s="32" t="n"/>
      <c r="M33" s="33" t="n"/>
      <c r="N33" s="32" t="n"/>
      <c r="O33" s="32" t="n"/>
      <c r="P33" s="32" t="n"/>
      <c r="Q33" s="32" t="n"/>
    </row>
    <row r="34" ht="43" customHeight="1">
      <c r="A34" s="27" t="inlineStr">
        <is>
          <t>BL-AUTH-033</t>
        </is>
      </c>
      <c r="B34" s="28" t="inlineStr">
        <is>
          <t>Authentication &amp; session</t>
        </is>
      </c>
      <c r="C34" s="28" t="inlineStr">
        <is>
          <t>Lockout</t>
        </is>
      </c>
      <c r="D34" s="28" t="inlineStr">
        <is>
          <t>Lockout disables sign-in with a live countdown</t>
        </is>
      </c>
      <c r="E34" s="28" t="inlineStr">
        <is>
          <t>Fail 5 times</t>
        </is>
      </c>
      <c r="F34" s="28" t="inlineStr">
        <is>
          <t>'Too many failed attempts — Sign-in is paused for your security. Try again in mm:ss.'; fields and button disabled.</t>
        </is>
      </c>
      <c r="G34" s="29" t="inlineStr">
        <is>
          <t>P0</t>
        </is>
      </c>
      <c r="H34" s="29" t="inlineStr">
        <is>
          <t>State</t>
        </is>
      </c>
      <c r="I34" s="30" t="inlineStr">
        <is>
          <t>lib/features/auth/application/usecases/login.dart:141</t>
        </is>
      </c>
      <c r="J34" s="29" t="n"/>
      <c r="K34" s="31" t="inlineStr">
        <is>
          <t>Not Run</t>
        </is>
      </c>
      <c r="L34" s="32" t="n"/>
      <c r="M34" s="33" t="n"/>
      <c r="N34" s="32" t="n"/>
      <c r="O34" s="32" t="n"/>
      <c r="P34" s="32" t="n"/>
      <c r="Q34" s="32" t="n"/>
    </row>
    <row r="35" ht="43" customHeight="1">
      <c r="A35" s="27" t="inlineStr">
        <is>
          <t>BL-AUTH-034</t>
        </is>
      </c>
      <c r="B35" s="28" t="inlineStr">
        <is>
          <t>Authentication &amp; session</t>
        </is>
      </c>
      <c r="C35" s="28" t="inlineStr">
        <is>
          <t>Lockout</t>
        </is>
      </c>
      <c r="D35" s="28" t="inlineStr">
        <is>
          <t>Lockout survives a force-quit and lifts on its own</t>
        </is>
      </c>
      <c r="E35" s="28" t="inlineStr">
        <is>
          <t>1. Get locked out
2. Kill and relaunch
3. Wait for 00:00</t>
        </is>
      </c>
      <c r="F35" s="28" t="inlineStr">
        <is>
          <t>Countdown still showing after relaunch; at zero the form re-enables without restarting.</t>
        </is>
      </c>
      <c r="G35" s="29" t="inlineStr">
        <is>
          <t>P0</t>
        </is>
      </c>
      <c r="H35" s="29" t="inlineStr">
        <is>
          <t>State</t>
        </is>
      </c>
      <c r="I35" s="30" t="inlineStr">
        <is>
          <t>lib/features/auth/application/providers/auth_provider.dart:292</t>
        </is>
      </c>
      <c r="J35" s="29" t="n"/>
      <c r="K35" s="31" t="inlineStr">
        <is>
          <t>Not Run</t>
        </is>
      </c>
      <c r="L35" s="32" t="n"/>
      <c r="M35" s="33" t="n"/>
      <c r="N35" s="32" t="n"/>
      <c r="O35" s="32" t="n"/>
      <c r="P35" s="32" t="n"/>
      <c r="Q35" s="32" t="n"/>
    </row>
    <row r="36" ht="43" customHeight="1">
      <c r="A36" s="27" t="inlineStr">
        <is>
          <t>BL-AUTH-035</t>
        </is>
      </c>
      <c r="B36" s="28" t="inlineStr">
        <is>
          <t>Authentication &amp; session</t>
        </is>
      </c>
      <c r="C36" s="28" t="inlineStr">
        <is>
          <t>Lockout</t>
        </is>
      </c>
      <c r="D36" s="28" t="inlineStr">
        <is>
          <t>Lockout scope on a shared device</t>
        </is>
      </c>
      <c r="E36" s="28" t="inlineStr">
        <is>
          <t>1. Lock account A
2. On the same device try to sign in as B, sign up, and use Forgot password</t>
        </is>
      </c>
      <c r="F36" s="28" t="inlineStr">
        <is>
          <t>Decide what is correct: the code blocks all of these locally while A's lock runs, although the warning itself suggests using 'Forgot password?'.</t>
        </is>
      </c>
      <c r="G36" s="29" t="inlineStr">
        <is>
          <t>P1</t>
        </is>
      </c>
      <c r="H36" s="29" t="inlineStr">
        <is>
          <t>Verify gap</t>
        </is>
      </c>
      <c r="I36" s="30" t="inlineStr">
        <is>
          <t>lib/features/auth/application/providers/auth_provider.dart:268</t>
        </is>
      </c>
      <c r="J36" s="29" t="n"/>
      <c r="K36" s="31" t="inlineStr">
        <is>
          <t>Not Run</t>
        </is>
      </c>
      <c r="L36" s="32" t="n"/>
      <c r="M36" s="33" t="n"/>
      <c r="N36" s="32" t="n"/>
      <c r="O36" s="32" t="n"/>
      <c r="P36" s="32" t="n"/>
      <c r="Q36" s="32" t="n"/>
    </row>
    <row r="37" ht="43" customHeight="1">
      <c r="A37" s="27" t="inlineStr">
        <is>
          <t>BL-AUTH-036</t>
        </is>
      </c>
      <c r="B37" s="28" t="inlineStr">
        <is>
          <t>Authentication &amp; session</t>
        </is>
      </c>
      <c r="C37" s="28" t="inlineStr">
        <is>
          <t>Lockout</t>
        </is>
      </c>
      <c r="D37" s="28" t="inlineStr">
        <is>
          <t>Wrong OTP must not show a password-attempt warning</t>
        </is>
      </c>
      <c r="E37" s="28" t="inlineStr">
        <is>
          <t>1. On mobile sign-in enter one wrong code
2. Go back to the sign-in screen</t>
        </is>
      </c>
      <c r="F37" s="28" t="inlineStr">
        <is>
          <t>No password warning. The code shows '2 attempts left before sign-in is paused…' although no password was tried.</t>
        </is>
      </c>
      <c r="G37" s="29" t="inlineStr">
        <is>
          <t>P2</t>
        </is>
      </c>
      <c r="H37" s="29" t="inlineStr">
        <is>
          <t>Verify gap</t>
        </is>
      </c>
      <c r="I37" s="30" t="inlineStr">
        <is>
          <t>lib/features/auth/application/usecases/login.dart:144</t>
        </is>
      </c>
      <c r="J37" s="29" t="n"/>
      <c r="K37" s="31" t="inlineStr">
        <is>
          <t>Not Run</t>
        </is>
      </c>
      <c r="L37" s="32" t="n"/>
      <c r="M37" s="33" t="n"/>
      <c r="N37" s="32" t="n"/>
      <c r="O37" s="32" t="n"/>
      <c r="P37" s="32" t="n"/>
      <c r="Q37" s="32" t="n"/>
    </row>
    <row r="38" ht="30" customHeight="1">
      <c r="A38" s="27" t="inlineStr">
        <is>
          <t>BL-AUTH-037</t>
        </is>
      </c>
      <c r="B38" s="28" t="inlineStr">
        <is>
          <t>Authentication &amp; session</t>
        </is>
      </c>
      <c r="C38" s="28" t="inlineStr">
        <is>
          <t>Lockout</t>
        </is>
      </c>
      <c r="D38" s="28" t="inlineStr">
        <is>
          <t>A network failure clears the attempts notice</t>
        </is>
      </c>
      <c r="E38" s="28" t="inlineStr">
        <is>
          <t>1. Enter a wrong password
2. Submit again in airplane mode</t>
        </is>
      </c>
      <c r="F38" s="28" t="inlineStr">
        <is>
          <t>Offline message; the attempts notice is gone (count unknown).</t>
        </is>
      </c>
      <c r="G38" s="29" t="inlineStr">
        <is>
          <t>P3</t>
        </is>
      </c>
      <c r="H38" s="29" t="inlineStr">
        <is>
          <t>State</t>
        </is>
      </c>
      <c r="I38" s="30" t="inlineStr">
        <is>
          <t>lib/features/auth/application/providers/auth_provider.dart:250</t>
        </is>
      </c>
      <c r="J38" s="29" t="n"/>
      <c r="K38" s="31" t="inlineStr">
        <is>
          <t>Not Run</t>
        </is>
      </c>
      <c r="L38" s="32" t="n"/>
      <c r="M38" s="33" t="n"/>
      <c r="N38" s="32" t="n"/>
      <c r="O38" s="32" t="n"/>
      <c r="P38" s="32" t="n"/>
      <c r="Q38" s="32" t="n"/>
    </row>
    <row r="39" ht="30" customHeight="1">
      <c r="A39" s="27" t="inlineStr">
        <is>
          <t>BL-AUTH-038</t>
        </is>
      </c>
      <c r="B39" s="28" t="inlineStr">
        <is>
          <t>Authentication &amp; session</t>
        </is>
      </c>
      <c r="C39" s="28" t="inlineStr">
        <is>
          <t>Forgot / reset password</t>
        </is>
      </c>
      <c r="D39" s="28" t="inlineStr">
        <is>
          <t>Email identifier does not reveal the phone number</t>
        </is>
      </c>
      <c r="E39" s="28" t="inlineStr">
        <is>
          <t>Start a reset with a registered email</t>
        </is>
      </c>
      <c r="F39" s="28" t="inlineStr">
        <is>
          <t>'We sent a 4-digit code to your mobile number.' — no digits shown.</t>
        </is>
      </c>
      <c r="G39" s="29" t="inlineStr">
        <is>
          <t>P1</t>
        </is>
      </c>
      <c r="H39" s="29" t="inlineStr">
        <is>
          <t>Rule</t>
        </is>
      </c>
      <c r="I39" s="30" t="inlineStr">
        <is>
          <t>lib/features/auth/presentation/screen/forgot_password_screen.dart:81</t>
        </is>
      </c>
      <c r="J39" s="29" t="n"/>
      <c r="K39" s="31" t="inlineStr">
        <is>
          <t>Not Run</t>
        </is>
      </c>
      <c r="L39" s="32" t="n"/>
      <c r="M39" s="33" t="n"/>
      <c r="N39" s="32" t="n"/>
      <c r="O39" s="32" t="n"/>
      <c r="P39" s="32" t="n"/>
      <c r="Q39" s="32" t="n"/>
    </row>
    <row r="40" ht="43" customHeight="1">
      <c r="A40" s="27" t="inlineStr">
        <is>
          <t>BL-AUTH-039</t>
        </is>
      </c>
      <c r="B40" s="28" t="inlineStr">
        <is>
          <t>Authentication &amp; session</t>
        </is>
      </c>
      <c r="C40" s="28" t="inlineStr">
        <is>
          <t>Forgot / reset password</t>
        </is>
      </c>
      <c r="D40" s="28" t="inlineStr">
        <is>
          <t>Reset permission lives only in memory</t>
        </is>
      </c>
      <c r="E40" s="28" t="inlineStr">
        <is>
          <t>1. Verify the reset code
2. Kill the app on the new-password screen
3. Reopen it and submit</t>
        </is>
      </c>
      <c r="F40" s="28" t="inlineStr">
        <is>
          <t>'That reset link has expired. Request a new code to continue.'; no request is sent.</t>
        </is>
      </c>
      <c r="G40" s="29" t="inlineStr">
        <is>
          <t>P2</t>
        </is>
      </c>
      <c r="H40" s="29" t="inlineStr">
        <is>
          <t>State</t>
        </is>
      </c>
      <c r="I40" s="30" t="inlineStr">
        <is>
          <t>lib/features/auth/presentation/controllers/reset_form_controller.dart:65</t>
        </is>
      </c>
      <c r="J40" s="29" t="inlineStr">
        <is>
          <t>KB-05</t>
        </is>
      </c>
      <c r="K40" s="31" t="inlineStr">
        <is>
          <t>Not Run</t>
        </is>
      </c>
      <c r="L40" s="32" t="n"/>
      <c r="M40" s="33" t="n"/>
      <c r="N40" s="32" t="n"/>
      <c r="O40" s="32" t="n"/>
      <c r="P40" s="32" t="n"/>
      <c r="Q40" s="32" t="n"/>
    </row>
    <row r="41" ht="43" customHeight="1">
      <c r="A41" s="27" t="inlineStr">
        <is>
          <t>BL-AUTH-040</t>
        </is>
      </c>
      <c r="B41" s="28" t="inlineStr">
        <is>
          <t>Authentication &amp; session</t>
        </is>
      </c>
      <c r="C41" s="28" t="inlineStr">
        <is>
          <t>Forgot / reset password</t>
        </is>
      </c>
      <c r="D41" s="28" t="inlineStr">
        <is>
          <t>Reset window of 15 minutes</t>
        </is>
      </c>
      <c r="E41" s="28" t="inlineStr">
        <is>
          <t>1. Verify the code
2. Wait over 15 minutes
3. Submit a new password</t>
        </is>
      </c>
      <c r="F41" s="28" t="inlineStr">
        <is>
          <t>'That reset code has expired. Request a new one to continue.'</t>
        </is>
      </c>
      <c r="G41" s="29" t="inlineStr">
        <is>
          <t>P2</t>
        </is>
      </c>
      <c r="H41" s="29" t="inlineStr">
        <is>
          <t>Boundary</t>
        </is>
      </c>
      <c r="I41" s="30" t="inlineStr">
        <is>
          <t>lib/features/auth/presentation/controllers/reset_form_controller.dart:80</t>
        </is>
      </c>
      <c r="J41" s="29" t="inlineStr">
        <is>
          <t>KB-05</t>
        </is>
      </c>
      <c r="K41" s="31" t="inlineStr">
        <is>
          <t>Not Run</t>
        </is>
      </c>
      <c r="L41" s="32" t="n"/>
      <c r="M41" s="33" t="n"/>
      <c r="N41" s="32" t="n"/>
      <c r="O41" s="32" t="n"/>
      <c r="P41" s="32" t="n"/>
      <c r="Q41" s="32" t="n"/>
    </row>
    <row r="42" ht="30" customHeight="1">
      <c r="A42" s="27" t="inlineStr">
        <is>
          <t>BL-AUTH-041</t>
        </is>
      </c>
      <c r="B42" s="28" t="inlineStr">
        <is>
          <t>Authentication &amp; session</t>
        </is>
      </c>
      <c r="C42" s="28" t="inlineStr">
        <is>
          <t>Forgot / reset password</t>
        </is>
      </c>
      <c r="D42" s="28" t="inlineStr">
        <is>
          <t>Reset does not sign the user in</t>
        </is>
      </c>
      <c r="E42" s="28" t="inlineStr">
        <is>
          <t>Complete a reset</t>
        </is>
      </c>
      <c r="F42" s="28" t="inlineStr">
        <is>
          <t>'Password reset — please log in'; sign-in screen; old password rejected; other devices signed out.</t>
        </is>
      </c>
      <c r="G42" s="29" t="inlineStr">
        <is>
          <t>P0</t>
        </is>
      </c>
      <c r="H42" s="29" t="inlineStr">
        <is>
          <t>State</t>
        </is>
      </c>
      <c r="I42" s="30" t="inlineStr">
        <is>
          <t>lib/features/auth/presentation/screen/new_password_screen.dart:72</t>
        </is>
      </c>
      <c r="J42" s="29" t="inlineStr">
        <is>
          <t>KB-05</t>
        </is>
      </c>
      <c r="K42" s="31" t="inlineStr">
        <is>
          <t>Not Run</t>
        </is>
      </c>
      <c r="L42" s="32" t="n"/>
      <c r="M42" s="33" t="n"/>
      <c r="N42" s="32" t="n"/>
      <c r="O42" s="32" t="n"/>
      <c r="P42" s="32" t="n"/>
      <c r="Q42" s="32" t="n"/>
    </row>
    <row r="43" ht="43" customHeight="1">
      <c r="A43" s="27" t="inlineStr">
        <is>
          <t>BL-AUTH-042</t>
        </is>
      </c>
      <c r="B43" s="28" t="inlineStr">
        <is>
          <t>Authentication &amp; session</t>
        </is>
      </c>
      <c r="C43" s="28" t="inlineStr">
        <is>
          <t>Change password</t>
        </is>
      </c>
      <c r="D43" s="28" t="inlineStr">
        <is>
          <t>Menu row depends on whether a password exists</t>
        </is>
      </c>
      <c r="E43" s="28" t="inlineStr">
        <is>
          <t>Open Profile on a password account and on a code-only account</t>
        </is>
      </c>
      <c r="F43" s="28" t="inlineStr">
        <is>
          <t>'Change password' vs 'Set a password'.</t>
        </is>
      </c>
      <c r="G43" s="29" t="inlineStr">
        <is>
          <t>P2</t>
        </is>
      </c>
      <c r="H43" s="29" t="inlineStr">
        <is>
          <t>Rule</t>
        </is>
      </c>
      <c r="I43" s="30" t="inlineStr">
        <is>
          <t>lib/features/auth/presentation/controllers/change_password_form_controller.dart:126</t>
        </is>
      </c>
      <c r="J43" s="29" t="n"/>
      <c r="K43" s="31" t="inlineStr">
        <is>
          <t>Not Run</t>
        </is>
      </c>
      <c r="L43" s="32" t="n"/>
      <c r="M43" s="33" t="n"/>
      <c r="N43" s="32" t="n"/>
      <c r="O43" s="32" t="n"/>
      <c r="P43" s="32" t="n"/>
      <c r="Q43" s="32" t="n"/>
    </row>
    <row r="44" ht="56" customHeight="1">
      <c r="A44" s="27" t="inlineStr">
        <is>
          <t>BL-AUTH-043</t>
        </is>
      </c>
      <c r="B44" s="28" t="inlineStr">
        <is>
          <t>Authentication &amp; session</t>
        </is>
      </c>
      <c r="C44" s="28" t="inlineStr">
        <is>
          <t>Change password</t>
        </is>
      </c>
      <c r="D44" s="28" t="inlineStr">
        <is>
          <t>New password rules</t>
        </is>
      </c>
      <c r="E44" s="28" t="inlineStr">
        <is>
          <t>1. Submit with current empty
2. 9-character new
3. New equal to current
4. Mismatched confirmation</t>
        </is>
      </c>
      <c r="F44" s="28" t="inlineStr">
        <is>
          <t>'Enter your password' / 'At least 10 characters' / 'Choose a password you have not used before' / 'Passwords do not match'.</t>
        </is>
      </c>
      <c r="G44" s="29" t="inlineStr">
        <is>
          <t>P1</t>
        </is>
      </c>
      <c r="H44" s="29" t="inlineStr">
        <is>
          <t>Boundary</t>
        </is>
      </c>
      <c r="I44" s="30" t="inlineStr">
        <is>
          <t>lib/features/auth/presentation/controllers/change_password_form_controller.dart:59</t>
        </is>
      </c>
      <c r="J44" s="29" t="n"/>
      <c r="K44" s="31" t="inlineStr">
        <is>
          <t>Not Run</t>
        </is>
      </c>
      <c r="L44" s="32" t="n"/>
      <c r="M44" s="33" t="n"/>
      <c r="N44" s="32" t="n"/>
      <c r="O44" s="32" t="n"/>
      <c r="P44" s="32" t="n"/>
      <c r="Q44" s="32" t="n"/>
    </row>
    <row r="45" ht="43" customHeight="1">
      <c r="A45" s="27" t="inlineStr">
        <is>
          <t>BL-AUTH-044</t>
        </is>
      </c>
      <c r="B45" s="28" t="inlineStr">
        <is>
          <t>Authentication &amp; session</t>
        </is>
      </c>
      <c r="C45" s="28" t="inlineStr">
        <is>
          <t>Change password</t>
        </is>
      </c>
      <c r="D45" s="28" t="inlineStr">
        <is>
          <t>Wrong current password is a field error, not a sign-out</t>
        </is>
      </c>
      <c r="E45" s="28" t="inlineStr">
        <is>
          <t>Enter a wrong current password</t>
        </is>
      </c>
      <c r="F45" s="28" t="inlineStr">
        <is>
          <t>'That is not your current password' under the field; still signed in.</t>
        </is>
      </c>
      <c r="G45" s="29" t="inlineStr">
        <is>
          <t>P0</t>
        </is>
      </c>
      <c r="H45" s="29" t="inlineStr">
        <is>
          <t>Error handling</t>
        </is>
      </c>
      <c r="I45" s="30" t="inlineStr">
        <is>
          <t>lib/features/auth/presentation/controllers/change_password_form_controller.dart:99</t>
        </is>
      </c>
      <c r="J45" s="29" t="n"/>
      <c r="K45" s="31" t="inlineStr">
        <is>
          <t>Not Run</t>
        </is>
      </c>
      <c r="L45" s="32" t="n"/>
      <c r="M45" s="33" t="n"/>
      <c r="N45" s="32" t="n"/>
      <c r="O45" s="32" t="n"/>
      <c r="P45" s="32" t="n"/>
      <c r="Q45" s="32" t="n"/>
    </row>
    <row r="46" ht="43" customHeight="1">
      <c r="A46" s="27" t="inlineStr">
        <is>
          <t>BL-AUTH-045</t>
        </is>
      </c>
      <c r="B46" s="28" t="inlineStr">
        <is>
          <t>Authentication &amp; session</t>
        </is>
      </c>
      <c r="C46" s="28" t="inlineStr">
        <is>
          <t>Change password</t>
        </is>
      </c>
      <c r="D46" s="28" t="inlineStr">
        <is>
          <t>Code-only account setting a password</t>
        </is>
      </c>
      <c r="E46" s="28" t="inlineStr">
        <is>
          <t>Open 'Set a password' on an account without one</t>
        </is>
      </c>
      <c r="F46" s="28" t="inlineStr">
        <is>
          <t>No current-password field should be asked for. The code still shows it (and ignores what is typed).</t>
        </is>
      </c>
      <c r="G46" s="29" t="inlineStr">
        <is>
          <t>P2</t>
        </is>
      </c>
      <c r="H46" s="29" t="inlineStr">
        <is>
          <t>Verify gap</t>
        </is>
      </c>
      <c r="I46" s="30" t="inlineStr">
        <is>
          <t>lib/features/auth/presentation/screen/change_password_screen.dart:188</t>
        </is>
      </c>
      <c r="J46" s="29" t="n"/>
      <c r="K46" s="31" t="inlineStr">
        <is>
          <t>Not Run</t>
        </is>
      </c>
      <c r="L46" s="32" t="n"/>
      <c r="M46" s="33" t="n"/>
      <c r="N46" s="32" t="n"/>
      <c r="O46" s="32" t="n"/>
      <c r="P46" s="32" t="n"/>
      <c r="Q46" s="32" t="n"/>
    </row>
    <row r="47" ht="43" customHeight="1">
      <c r="A47" s="27" t="inlineStr">
        <is>
          <t>BL-AUTH-046</t>
        </is>
      </c>
      <c r="B47" s="28" t="inlineStr">
        <is>
          <t>Authentication &amp; session</t>
        </is>
      </c>
      <c r="C47" s="28" t="inlineStr">
        <is>
          <t>Change password</t>
        </is>
      </c>
      <c r="D47" s="28" t="inlineStr">
        <is>
          <t>Success keeps this session</t>
        </is>
      </c>
      <c r="E47" s="28" t="inlineStr">
        <is>
          <t>Change the password</t>
        </is>
      </c>
      <c r="F47" s="28" t="inlineStr">
        <is>
          <t>'Password updated'; still signed in here; other devices signed out; the Profile row now reads 'Change password'.</t>
        </is>
      </c>
      <c r="G47" s="29" t="inlineStr">
        <is>
          <t>P1</t>
        </is>
      </c>
      <c r="H47" s="29" t="inlineStr">
        <is>
          <t>State</t>
        </is>
      </c>
      <c r="I47" s="30" t="inlineStr">
        <is>
          <t>lib/features/auth/presentation/screen/change_password_screen.dart:122</t>
        </is>
      </c>
      <c r="J47" s="29" t="n"/>
      <c r="K47" s="31" t="inlineStr">
        <is>
          <t>Not Run</t>
        </is>
      </c>
      <c r="L47" s="32" t="n"/>
      <c r="M47" s="33" t="n"/>
      <c r="N47" s="32" t="n"/>
      <c r="O47" s="32" t="n"/>
      <c r="P47" s="32" t="n"/>
      <c r="Q47" s="32" t="n"/>
    </row>
    <row r="48" ht="30" customHeight="1">
      <c r="A48" s="27" t="inlineStr">
        <is>
          <t>BL-AUTH-047</t>
        </is>
      </c>
      <c r="B48" s="28" t="inlineStr">
        <is>
          <t>Authentication &amp; session</t>
        </is>
      </c>
      <c r="C48" s="28" t="inlineStr">
        <is>
          <t>Session &amp; token refresh</t>
        </is>
      </c>
      <c r="D48" s="28" t="inlineStr">
        <is>
          <t>Relaunch after the access token expired</t>
        </is>
      </c>
      <c r="E48" s="28" t="inlineStr">
        <is>
          <t>1. Sign in
2. Relaunch more than 15 minutes later</t>
        </is>
      </c>
      <c r="F48" s="28" t="inlineStr">
        <is>
          <t>Home opens with no sign-in flash; the first request refreshes silently.</t>
        </is>
      </c>
      <c r="G48" s="29" t="inlineStr">
        <is>
          <t>P0</t>
        </is>
      </c>
      <c r="H48" s="29" t="inlineStr">
        <is>
          <t>State</t>
        </is>
      </c>
      <c r="I48" s="30" t="inlineStr">
        <is>
          <t>lib/features/auth/application/providers/auth_provider.dart:95</t>
        </is>
      </c>
      <c r="J48" s="29" t="n"/>
      <c r="K48" s="31" t="inlineStr">
        <is>
          <t>Not Run</t>
        </is>
      </c>
      <c r="L48" s="32" t="n"/>
      <c r="M48" s="33" t="n"/>
      <c r="N48" s="32" t="n"/>
      <c r="O48" s="32" t="n"/>
      <c r="P48" s="32" t="n"/>
      <c r="Q48" s="32" t="n"/>
    </row>
    <row r="49" ht="30" customHeight="1">
      <c r="A49" s="27" t="inlineStr">
        <is>
          <t>BL-AUTH-048</t>
        </is>
      </c>
      <c r="B49" s="28" t="inlineStr">
        <is>
          <t>Authentication &amp; session</t>
        </is>
      </c>
      <c r="C49" s="28" t="inlineStr">
        <is>
          <t>Session &amp; token refresh</t>
        </is>
      </c>
      <c r="D49" s="28" t="inlineStr">
        <is>
          <t>One refresh for many expired requests, each retried once</t>
        </is>
      </c>
      <c r="E49" s="28" t="inlineStr">
        <is>
          <t>1. Let the access token expire
2. Open Home with a proxy attached</t>
        </is>
      </c>
      <c r="F49" s="28" t="inlineStr">
        <is>
          <t>Exactly one refresh call; all requests then succeed.</t>
        </is>
      </c>
      <c r="G49" s="29" t="inlineStr">
        <is>
          <t>P0</t>
        </is>
      </c>
      <c r="H49" s="29" t="inlineStr">
        <is>
          <t>Rule</t>
        </is>
      </c>
      <c r="I49" s="30" t="inlineStr">
        <is>
          <t>lib/core/network/api_client.dart:570</t>
        </is>
      </c>
      <c r="J49" s="29" t="n"/>
      <c r="K49" s="31" t="inlineStr">
        <is>
          <t>Not Run</t>
        </is>
      </c>
      <c r="L49" s="32" t="n"/>
      <c r="M49" s="33" t="n"/>
      <c r="N49" s="32" t="n"/>
      <c r="O49" s="32" t="n"/>
      <c r="P49" s="32" t="n"/>
      <c r="Q49" s="32" t="n"/>
    </row>
    <row r="50" ht="43" customHeight="1">
      <c r="A50" s="27" t="inlineStr">
        <is>
          <t>BL-AUTH-049</t>
        </is>
      </c>
      <c r="B50" s="28" t="inlineStr">
        <is>
          <t>Authentication &amp; session</t>
        </is>
      </c>
      <c r="C50" s="28" t="inlineStr">
        <is>
          <t>Session &amp; token refresh</t>
        </is>
      </c>
      <c r="D50" s="28" t="inlineStr">
        <is>
          <t>Session-ending answers sign the user out once</t>
        </is>
      </c>
      <c r="E50" s="28" t="inlineStr">
        <is>
          <t>1. Revoke the session from another device (or block the account)
2. Use the app</t>
        </is>
      </c>
      <c r="F50" s="28" t="inlineStr">
        <is>
          <t>User lands on sign-in once (no repeated redirects); local data cleared; relaunch stays signed out.</t>
        </is>
      </c>
      <c r="G50" s="29" t="inlineStr">
        <is>
          <t>P0</t>
        </is>
      </c>
      <c r="H50" s="29" t="inlineStr">
        <is>
          <t>State</t>
        </is>
      </c>
      <c r="I50" s="30" t="inlineStr">
        <is>
          <t>lib/core/network/api_client.dart:577</t>
        </is>
      </c>
      <c r="J50" s="29" t="n"/>
      <c r="K50" s="31" t="inlineStr">
        <is>
          <t>Not Run</t>
        </is>
      </c>
      <c r="L50" s="32" t="n"/>
      <c r="M50" s="33" t="n"/>
      <c r="N50" s="32" t="n"/>
      <c r="O50" s="32" t="n"/>
      <c r="P50" s="32" t="n"/>
      <c r="Q50" s="32" t="n"/>
    </row>
    <row r="51" ht="43" customHeight="1">
      <c r="A51" s="27" t="inlineStr">
        <is>
          <t>BL-AUTH-050</t>
        </is>
      </c>
      <c r="B51" s="28" t="inlineStr">
        <is>
          <t>Authentication &amp; session</t>
        </is>
      </c>
      <c r="C51" s="28" t="inlineStr">
        <is>
          <t>Session &amp; token refresh</t>
        </is>
      </c>
      <c r="D51" s="28" t="inlineStr">
        <is>
          <t>User is told why they were signed out</t>
        </is>
      </c>
      <c r="E51" s="28" t="inlineStr">
        <is>
          <t>1. Have the session revoked
2. Look at the sign-in screen</t>
        </is>
      </c>
      <c r="F51" s="28" t="inlineStr">
        <is>
          <t>A reason should be visible ('Your session has expired. Please sign in again.'). The code stores the reason but the sign-in screen does not display it.</t>
        </is>
      </c>
      <c r="G51" s="29" t="inlineStr">
        <is>
          <t>P1</t>
        </is>
      </c>
      <c r="H51" s="29" t="inlineStr">
        <is>
          <t>Verify gap</t>
        </is>
      </c>
      <c r="I51" s="30" t="inlineStr">
        <is>
          <t>lib/features/auth/presentation/screen/login_screen.dart:173</t>
        </is>
      </c>
      <c r="J51" s="29" t="n"/>
      <c r="K51" s="31" t="inlineStr">
        <is>
          <t>Not Run</t>
        </is>
      </c>
      <c r="L51" s="32" t="n"/>
      <c r="M51" s="33" t="n"/>
      <c r="N51" s="32" t="n"/>
      <c r="O51" s="32" t="n"/>
      <c r="P51" s="32" t="n"/>
      <c r="Q51" s="32" t="n"/>
    </row>
    <row r="52" ht="43" customHeight="1">
      <c r="A52" s="27" t="inlineStr">
        <is>
          <t>BL-AUTH-051</t>
        </is>
      </c>
      <c r="B52" s="28" t="inlineStr">
        <is>
          <t>Authentication &amp; session</t>
        </is>
      </c>
      <c r="C52" s="28" t="inlineStr">
        <is>
          <t>Session &amp; token refresh</t>
        </is>
      </c>
      <c r="D52" s="28" t="inlineStr">
        <is>
          <t>A network blip during refresh must not sign the user out</t>
        </is>
      </c>
      <c r="E52" s="28" t="inlineStr">
        <is>
          <t>1. Let the access token expire
2. Cut the network (or return 429/500) exactly on the refresh call</t>
        </is>
      </c>
      <c r="F52" s="28" t="inlineStr">
        <is>
          <t>User should stay signed in and see an offline/retry message. The code treats any refresh failure as a lost session and wipes local data.</t>
        </is>
      </c>
      <c r="G52" s="29" t="inlineStr">
        <is>
          <t>P0</t>
        </is>
      </c>
      <c r="H52" s="29" t="inlineStr">
        <is>
          <t>Verify gap</t>
        </is>
      </c>
      <c r="I52" s="30" t="inlineStr">
        <is>
          <t>lib/core/network/api_client.dart:605</t>
        </is>
      </c>
      <c r="J52" s="29" t="n"/>
      <c r="K52" s="31" t="inlineStr">
        <is>
          <t>Not Run</t>
        </is>
      </c>
      <c r="L52" s="32" t="n"/>
      <c r="M52" s="33" t="n"/>
      <c r="N52" s="32" t="n"/>
      <c r="O52" s="32" t="n"/>
      <c r="P52" s="32" t="n"/>
      <c r="Q52" s="32" t="n"/>
    </row>
    <row r="53" ht="30" customHeight="1">
      <c r="A53" s="27" t="inlineStr">
        <is>
          <t>BL-AUTH-052</t>
        </is>
      </c>
      <c r="B53" s="28" t="inlineStr">
        <is>
          <t>Authentication &amp; session</t>
        </is>
      </c>
      <c r="C53" s="28" t="inlineStr">
        <is>
          <t>Session &amp; token refresh</t>
        </is>
      </c>
      <c r="D53" s="28" t="inlineStr">
        <is>
          <t>Credential errors never end the session</t>
        </is>
      </c>
      <c r="E53" s="28" t="inlineStr">
        <is>
          <t>While signed in, enter a wrong current password and a wrong phone-change code</t>
        </is>
      </c>
      <c r="F53" s="28" t="inlineStr">
        <is>
          <t>Field errors only; still signed in.</t>
        </is>
      </c>
      <c r="G53" s="29" t="inlineStr">
        <is>
          <t>P0</t>
        </is>
      </c>
      <c r="H53" s="29" t="inlineStr">
        <is>
          <t>Rule</t>
        </is>
      </c>
      <c r="I53" s="30" t="inlineStr">
        <is>
          <t>lib/core/network/network_exceptions.dart:60</t>
        </is>
      </c>
      <c r="J53" s="29" t="n"/>
      <c r="K53" s="31" t="inlineStr">
        <is>
          <t>Not Run</t>
        </is>
      </c>
      <c r="L53" s="32" t="n"/>
      <c r="M53" s="33" t="n"/>
      <c r="N53" s="32" t="n"/>
      <c r="O53" s="32" t="n"/>
      <c r="P53" s="32" t="n"/>
      <c r="Q53" s="32" t="n"/>
    </row>
    <row r="54" ht="30" customHeight="1">
      <c r="A54" s="27" t="inlineStr">
        <is>
          <t>BL-AUTH-053</t>
        </is>
      </c>
      <c r="B54" s="28" t="inlineStr">
        <is>
          <t>Authentication &amp; session</t>
        </is>
      </c>
      <c r="C54" s="28" t="inlineStr">
        <is>
          <t>Session &amp; token refresh</t>
        </is>
      </c>
      <c r="D54" s="28" t="inlineStr">
        <is>
          <t>Offline relaunch keeps the cached identity</t>
        </is>
      </c>
      <c r="E54" s="28" t="inlineStr">
        <is>
          <t>1. Sign in
2. Relaunch in airplane mode</t>
        </is>
      </c>
      <c r="F54" s="28" t="inlineStr">
        <is>
          <t>Home shows the cached name; no error, no sign-out.</t>
        </is>
      </c>
      <c r="G54" s="29" t="inlineStr">
        <is>
          <t>P1</t>
        </is>
      </c>
      <c r="H54" s="29" t="inlineStr">
        <is>
          <t>State</t>
        </is>
      </c>
      <c r="I54" s="30" t="inlineStr">
        <is>
          <t>lib/features/auth/application/providers/auth_provider.dart:119</t>
        </is>
      </c>
      <c r="J54" s="29" t="n"/>
      <c r="K54" s="31" t="inlineStr">
        <is>
          <t>Not Run</t>
        </is>
      </c>
      <c r="L54" s="32" t="n"/>
      <c r="M54" s="33" t="n"/>
      <c r="N54" s="32" t="n"/>
      <c r="O54" s="32" t="n"/>
      <c r="P54" s="32" t="n"/>
      <c r="Q54" s="32" t="n"/>
    </row>
    <row r="55" ht="30" customHeight="1">
      <c r="A55" s="27" t="inlineStr">
        <is>
          <t>BL-AUTH-054</t>
        </is>
      </c>
      <c r="B55" s="28" t="inlineStr">
        <is>
          <t>Authentication &amp; session</t>
        </is>
      </c>
      <c r="C55" s="28" t="inlineStr">
        <is>
          <t>Sign-in guard &amp; routing</t>
        </is>
      </c>
      <c r="D55" s="28" t="inlineStr">
        <is>
          <t>Public vs protected screens</t>
        </is>
      </c>
      <c r="E55" s="28" t="inlineStr">
        <is>
          <t>Signed out, open Home, Help &amp; Support, FAQ, a legal page, and My requests</t>
        </is>
      </c>
      <c r="F55" s="28" t="inlineStr">
        <is>
          <t>Help, FAQ and legal pages open; Home and My requests redirect to sign-in (or the intro on a fresh install).</t>
        </is>
      </c>
      <c r="G55" s="29" t="inlineStr">
        <is>
          <t>P0</t>
        </is>
      </c>
      <c r="H55" s="29" t="inlineStr">
        <is>
          <t>Rule</t>
        </is>
      </c>
      <c r="I55" s="30" t="inlineStr">
        <is>
          <t>lib/app/router/app_router.dart:440</t>
        </is>
      </c>
      <c r="J55" s="29" t="n"/>
      <c r="K55" s="31" t="inlineStr">
        <is>
          <t>Not Run</t>
        </is>
      </c>
      <c r="L55" s="32" t="n"/>
      <c r="M55" s="33" t="n"/>
      <c r="N55" s="32" t="n"/>
      <c r="O55" s="32" t="n"/>
      <c r="P55" s="32" t="n"/>
      <c r="Q55" s="32" t="n"/>
    </row>
    <row r="56" ht="30" customHeight="1">
      <c r="A56" s="27" t="inlineStr">
        <is>
          <t>BL-AUTH-055</t>
        </is>
      </c>
      <c r="B56" s="28" t="inlineStr">
        <is>
          <t>Authentication &amp; session</t>
        </is>
      </c>
      <c r="C56" s="28" t="inlineStr">
        <is>
          <t>Sign-in guard &amp; routing</t>
        </is>
      </c>
      <c r="D56" s="28" t="inlineStr">
        <is>
          <t>Signed-in users cannot reach sign-in screens</t>
        </is>
      </c>
      <c r="E56" s="28" t="inlineStr">
        <is>
          <t>Signed in, open the login, sign-up and forgot-password links</t>
        </is>
      </c>
      <c r="F56" s="28" t="inlineStr">
        <is>
          <t>Home is shown.</t>
        </is>
      </c>
      <c r="G56" s="29" t="inlineStr">
        <is>
          <t>P2</t>
        </is>
      </c>
      <c r="H56" s="29" t="inlineStr">
        <is>
          <t>Rule</t>
        </is>
      </c>
      <c r="I56" s="30" t="inlineStr">
        <is>
          <t>lib/app/router/app_router.dart:473</t>
        </is>
      </c>
      <c r="J56" s="29" t="n"/>
      <c r="K56" s="31" t="inlineStr">
        <is>
          <t>Not Run</t>
        </is>
      </c>
      <c r="L56" s="32" t="n"/>
      <c r="M56" s="33" t="n"/>
      <c r="N56" s="32" t="n"/>
      <c r="O56" s="32" t="n"/>
      <c r="P56" s="32" t="n"/>
      <c r="Q56" s="32" t="n"/>
    </row>
    <row r="57" ht="17" customHeight="1">
      <c r="A57" s="27" t="inlineStr">
        <is>
          <t>BL-AUTH-056</t>
        </is>
      </c>
      <c r="B57" s="28" t="inlineStr">
        <is>
          <t>Authentication &amp; session</t>
        </is>
      </c>
      <c r="C57" s="28" t="inlineStr">
        <is>
          <t>Sign-in guard &amp; routing</t>
        </is>
      </c>
      <c r="D57" s="28" t="inlineStr">
        <is>
          <t>Failed attempt does not bounce the screen</t>
        </is>
      </c>
      <c r="E57" s="28" t="inlineStr">
        <is>
          <t>Fail a sign-in and watch the screen</t>
        </is>
      </c>
      <c r="F57" s="28" t="inlineStr">
        <is>
          <t>Stays on sign-in with the typed values; no reload.</t>
        </is>
      </c>
      <c r="G57" s="29" t="inlineStr">
        <is>
          <t>P3</t>
        </is>
      </c>
      <c r="H57" s="29" t="inlineStr">
        <is>
          <t>State</t>
        </is>
      </c>
      <c r="I57" s="30" t="inlineStr">
        <is>
          <t>lib/app/router/app_router.dart:495</t>
        </is>
      </c>
      <c r="J57" s="29" t="n"/>
      <c r="K57" s="31" t="inlineStr">
        <is>
          <t>Not Run</t>
        </is>
      </c>
      <c r="L57" s="32" t="n"/>
      <c r="M57" s="33" t="n"/>
      <c r="N57" s="32" t="n"/>
      <c r="O57" s="32" t="n"/>
      <c r="P57" s="32" t="n"/>
      <c r="Q57" s="32" t="n"/>
    </row>
    <row r="58" ht="30" customHeight="1">
      <c r="A58" s="27" t="inlineStr">
        <is>
          <t>BL-AUTH-057</t>
        </is>
      </c>
      <c r="B58" s="28" t="inlineStr">
        <is>
          <t>Authentication &amp; session</t>
        </is>
      </c>
      <c r="C58" s="28" t="inlineStr">
        <is>
          <t>Logout</t>
        </is>
      </c>
      <c r="D58" s="28" t="inlineStr">
        <is>
          <t>Order: unregister push, end session, go to sign-in</t>
        </is>
      </c>
      <c r="E58" s="28" t="inlineStr">
        <is>
          <t>Log out with a proxy attached</t>
        </is>
      </c>
      <c r="F58" s="28" t="inlineStr">
        <is>
          <t>Device unregister (when one is registered) precedes the logout call.</t>
        </is>
      </c>
      <c r="G58" s="29" t="inlineStr">
        <is>
          <t>P2</t>
        </is>
      </c>
      <c r="H58" s="29" t="inlineStr">
        <is>
          <t>Rule</t>
        </is>
      </c>
      <c r="I58" s="30" t="inlineStr">
        <is>
          <t>lib/features/profile/presentation/screen/profile_screen.dart:305</t>
        </is>
      </c>
      <c r="J58" s="29" t="n"/>
      <c r="K58" s="31" t="inlineStr">
        <is>
          <t>Not Run</t>
        </is>
      </c>
      <c r="L58" s="32" t="n"/>
      <c r="M58" s="33" t="n"/>
      <c r="N58" s="32" t="n"/>
      <c r="O58" s="32" t="n"/>
      <c r="P58" s="32" t="n"/>
      <c r="Q58" s="32" t="n"/>
    </row>
    <row r="59" ht="43" customHeight="1">
      <c r="A59" s="27" t="inlineStr">
        <is>
          <t>BL-AUTH-058</t>
        </is>
      </c>
      <c r="B59" s="28" t="inlineStr">
        <is>
          <t>Authentication &amp; session</t>
        </is>
      </c>
      <c r="C59" s="28" t="inlineStr">
        <is>
          <t>Logout</t>
        </is>
      </c>
      <c r="D59" s="28" t="inlineStr">
        <is>
          <t>Logout works offline</t>
        </is>
      </c>
      <c r="E59" s="28" t="inlineStr">
        <is>
          <t>1. Log out in airplane mode
2. Relaunch</t>
        </is>
      </c>
      <c r="F59" s="28" t="inlineStr">
        <is>
          <t>Signed out locally; relaunch stays on sign-in.</t>
        </is>
      </c>
      <c r="G59" s="29" t="inlineStr">
        <is>
          <t>P0</t>
        </is>
      </c>
      <c r="H59" s="29" t="inlineStr">
        <is>
          <t>Rule</t>
        </is>
      </c>
      <c r="I59" s="30" t="inlineStr">
        <is>
          <t>lib/features/auth/infrastructure/repositories/auth_repository_impl.dart:160</t>
        </is>
      </c>
      <c r="J59" s="29" t="n"/>
      <c r="K59" s="31" t="inlineStr">
        <is>
          <t>Not Run</t>
        </is>
      </c>
      <c r="L59" s="32" t="n"/>
      <c r="M59" s="33" t="n"/>
      <c r="N59" s="32" t="n"/>
      <c r="O59" s="32" t="n"/>
      <c r="P59" s="32" t="n"/>
      <c r="Q59" s="32" t="n"/>
    </row>
    <row r="60" ht="56" customHeight="1">
      <c r="A60" s="27" t="inlineStr">
        <is>
          <t>BL-AUTH-059</t>
        </is>
      </c>
      <c r="B60" s="28" t="inlineStr">
        <is>
          <t>Authentication &amp; session</t>
        </is>
      </c>
      <c r="C60" s="28" t="inlineStr">
        <is>
          <t>Logout</t>
        </is>
      </c>
      <c r="D60" s="28" t="inlineStr">
        <is>
          <t>What is cleared and what is kept</t>
        </is>
      </c>
      <c r="E60" s="28" t="inlineStr">
        <is>
          <t>1. Log out
2. Sign in as a different user
3. Compare the device fingerprint header before and after</t>
        </is>
      </c>
      <c r="F60" s="28" t="inlineStr">
        <is>
          <t>No data from the previous user; onboarding not repeated; device fingerprint unchanged.</t>
        </is>
      </c>
      <c r="G60" s="29" t="inlineStr">
        <is>
          <t>P0</t>
        </is>
      </c>
      <c r="H60" s="29" t="inlineStr">
        <is>
          <t>State</t>
        </is>
      </c>
      <c r="I60" s="30" t="inlineStr">
        <is>
          <t>lib/core/storage/secure_store.dart:46</t>
        </is>
      </c>
      <c r="J60" s="29" t="n"/>
      <c r="K60" s="31" t="inlineStr">
        <is>
          <t>Not Run</t>
        </is>
      </c>
      <c r="L60" s="32" t="n"/>
      <c r="M60" s="33" t="n"/>
      <c r="N60" s="32" t="n"/>
      <c r="O60" s="32" t="n"/>
      <c r="P60" s="32" t="n"/>
      <c r="Q60" s="32" t="n"/>
    </row>
    <row r="61" ht="43" customHeight="1">
      <c r="A61" s="27" t="inlineStr">
        <is>
          <t>BL-AUTH-060</t>
        </is>
      </c>
      <c r="B61" s="28" t="inlineStr">
        <is>
          <t>Authentication &amp; session</t>
        </is>
      </c>
      <c r="C61" s="28" t="inlineStr">
        <is>
          <t>Device identity</t>
        </is>
      </c>
      <c r="D61" s="28" t="inlineStr">
        <is>
          <t>Fingerprint is sent only on code-based calls and matches between start and verify</t>
        </is>
      </c>
      <c r="E61" s="28" t="inlineStr">
        <is>
          <t>Inspect headers on sign-up, code sign-in, resend and forgot-password calls, and on password sign-in</t>
        </is>
      </c>
      <c r="F61" s="28" t="inlineStr">
        <is>
          <t>X-Device-Fingerprint present and identical on the code calls; absent on password sign-in and token refresh.</t>
        </is>
      </c>
      <c r="G61" s="29" t="inlineStr">
        <is>
          <t>P1</t>
        </is>
      </c>
      <c r="H61" s="29" t="inlineStr">
        <is>
          <t>Rule</t>
        </is>
      </c>
      <c r="I61" s="30" t="inlineStr">
        <is>
          <t>lib/features/auth/infrastructure/data_sources/remote/auth_api.dart:113</t>
        </is>
      </c>
      <c r="J61" s="29" t="n"/>
      <c r="K61" s="31" t="inlineStr">
        <is>
          <t>Not Run</t>
        </is>
      </c>
      <c r="L61" s="32" t="n"/>
      <c r="M61" s="33" t="n"/>
      <c r="N61" s="32" t="n"/>
      <c r="O61" s="32" t="n"/>
      <c r="P61" s="32" t="n"/>
      <c r="Q61" s="32" t="n"/>
    </row>
    <row r="62" ht="56" customHeight="1">
      <c r="A62" s="27" t="inlineStr">
        <is>
          <t>BL-AUTH-061</t>
        </is>
      </c>
      <c r="B62" s="28" t="inlineStr">
        <is>
          <t>Authentication &amp; session</t>
        </is>
      </c>
      <c r="C62" s="28" t="inlineStr">
        <is>
          <t>App update</t>
        </is>
      </c>
      <c r="D62" s="28" t="inlineStr">
        <is>
          <t>Below the minimum version forces an update</t>
        </is>
      </c>
      <c r="E62" s="28" t="inlineStr">
        <is>
          <t>1. Set the backend minimum Android version above the installed Play build
2. Launch
3. Back out of the Play update screen</t>
        </is>
      </c>
      <c r="F62" s="28" t="inlineStr">
        <is>
          <t>Play's full-screen update, then a blocking 'Update required' screen with 'Update now'.</t>
        </is>
      </c>
      <c r="G62" s="29" t="inlineStr">
        <is>
          <t>P0</t>
        </is>
      </c>
      <c r="H62" s="29" t="inlineStr">
        <is>
          <t>Rule</t>
        </is>
      </c>
      <c r="I62" s="30" t="inlineStr">
        <is>
          <t>lib/features/app_update/domain/policies/app_update_policy.dart:16</t>
        </is>
      </c>
      <c r="J62" s="29" t="n"/>
      <c r="K62" s="31" t="inlineStr">
        <is>
          <t>Not Run</t>
        </is>
      </c>
      <c r="L62" s="32" t="n"/>
      <c r="M62" s="33" t="n"/>
      <c r="N62" s="32" t="n"/>
      <c r="O62" s="32" t="n"/>
      <c r="P62" s="32" t="n"/>
      <c r="Q62" s="32" t="n"/>
    </row>
    <row r="63" ht="30" customHeight="1">
      <c r="A63" s="27" t="inlineStr">
        <is>
          <t>BL-AUTH-062</t>
        </is>
      </c>
      <c r="B63" s="28" t="inlineStr">
        <is>
          <t>Authentication &amp; session</t>
        </is>
      </c>
      <c r="C63" s="28" t="inlineStr">
        <is>
          <t>App update</t>
        </is>
      </c>
      <c r="D63" s="28" t="inlineStr">
        <is>
          <t>Version comparison is numeric</t>
        </is>
      </c>
      <c r="E63" s="28" t="inlineStr">
        <is>
          <t>Minimum 1.10.0 with 1.9.3 installed; minimum 1.9.3 with 1.9.3+7 installed</t>
        </is>
      </c>
      <c r="F63" s="28" t="inlineStr">
        <is>
          <t>1.9.3 is forced to update; 1.9.3+7 is not.</t>
        </is>
      </c>
      <c r="G63" s="29" t="inlineStr">
        <is>
          <t>P1</t>
        </is>
      </c>
      <c r="H63" s="29" t="inlineStr">
        <is>
          <t>Calculation</t>
        </is>
      </c>
      <c r="I63" s="30" t="inlineStr">
        <is>
          <t>lib/features/app_update/domain/policies/app_update_policy.dart:31</t>
        </is>
      </c>
      <c r="J63" s="29" t="n"/>
      <c r="K63" s="31" t="inlineStr">
        <is>
          <t>Not Run</t>
        </is>
      </c>
      <c r="L63" s="32" t="n"/>
      <c r="M63" s="33" t="n"/>
      <c r="N63" s="32" t="n"/>
      <c r="O63" s="32" t="n"/>
      <c r="P63" s="32" t="n"/>
      <c r="Q63" s="32" t="n"/>
    </row>
    <row r="64" ht="56" customHeight="1">
      <c r="A64" s="27" t="inlineStr">
        <is>
          <t>BL-AUTH-063</t>
        </is>
      </c>
      <c r="B64" s="28" t="inlineStr">
        <is>
          <t>Authentication &amp; session</t>
        </is>
      </c>
      <c r="C64" s="28" t="inlineStr">
        <is>
          <t>App update</t>
        </is>
      </c>
      <c r="D64" s="28" t="inlineStr">
        <is>
          <t>Optional update downloads in the background</t>
        </is>
      </c>
      <c r="E64" s="28" t="inlineStr">
        <is>
          <t>1. Publish a newer build that is above the minimum
2. Let it download
3. Tap Later
4. Resume the app</t>
        </is>
      </c>
      <c r="F64" s="28" t="inlineStr">
        <is>
          <t>'Update ready' dialog with Restart / Later; after Later it does not reappear until the next launch.</t>
        </is>
      </c>
      <c r="G64" s="29" t="inlineStr">
        <is>
          <t>P2</t>
        </is>
      </c>
      <c r="H64" s="29" t="inlineStr">
        <is>
          <t>State</t>
        </is>
      </c>
      <c r="I64" s="30" t="inlineStr">
        <is>
          <t>lib/features/app_update/application/providers/app_update_provider.dart:83</t>
        </is>
      </c>
      <c r="J64" s="29" t="n"/>
      <c r="K64" s="31" t="inlineStr">
        <is>
          <t>Not Run</t>
        </is>
      </c>
      <c r="L64" s="32" t="n"/>
      <c r="M64" s="33" t="n"/>
      <c r="N64" s="32" t="n"/>
      <c r="O64" s="32" t="n"/>
      <c r="P64" s="32" t="n"/>
      <c r="Q64" s="32" t="n"/>
    </row>
    <row r="65" ht="43" customHeight="1">
      <c r="A65" s="27" t="inlineStr">
        <is>
          <t>BL-AUTH-064</t>
        </is>
      </c>
      <c r="B65" s="28" t="inlineStr">
        <is>
          <t>Authentication &amp; session</t>
        </is>
      </c>
      <c r="C65" s="28" t="inlineStr">
        <is>
          <t>App update</t>
        </is>
      </c>
      <c r="D65" s="28" t="inlineStr">
        <is>
          <t>Minimum version on iOS and non-Play installs</t>
        </is>
      </c>
      <c r="E65" s="28" t="inlineStr">
        <is>
          <t>Run a below-minimum build on iOS and on a sideloaded Android build</t>
        </is>
      </c>
      <c r="F65" s="28" t="inlineStr">
        <is>
          <t>Old versions should be blocked. The code enforces the minimum only on Android installs from Google Play.</t>
        </is>
      </c>
      <c r="G65" s="29" t="inlineStr">
        <is>
          <t>P1</t>
        </is>
      </c>
      <c r="H65" s="29" t="inlineStr">
        <is>
          <t>Verify gap</t>
        </is>
      </c>
      <c r="I65" s="30" t="inlineStr">
        <is>
          <t>lib/features/app_update/infrastructure/repositories/app_update_repository_impl.dart:18</t>
        </is>
      </c>
      <c r="J65" s="29" t="n"/>
      <c r="K65" s="31" t="inlineStr">
        <is>
          <t>Not Run</t>
        </is>
      </c>
      <c r="L65" s="32" t="n"/>
      <c r="M65" s="33" t="n"/>
      <c r="N65" s="32" t="n"/>
      <c r="O65" s="32" t="n"/>
      <c r="P65" s="32" t="n"/>
      <c r="Q65" s="32" t="n"/>
    </row>
    <row r="66" ht="43" customHeight="1">
      <c r="A66" s="27" t="inlineStr">
        <is>
          <t>BL-AUTH-065</t>
        </is>
      </c>
      <c r="B66" s="28" t="inlineStr">
        <is>
          <t>Authentication &amp; session</t>
        </is>
      </c>
      <c r="C66" s="28" t="inlineStr">
        <is>
          <t>App update</t>
        </is>
      </c>
      <c r="D66" s="28" t="inlineStr">
        <is>
          <t>Demo build cannot be used to test lockout</t>
        </is>
      </c>
      <c r="E66" s="28" t="inlineStr">
        <is>
          <t>On a demo build enter wrong passwords repeatedly</t>
        </is>
      </c>
      <c r="F66" s="28" t="inlineStr">
        <is>
          <t>Always '4 attempts left', never locked — run lockout checks only on a build pointed at the real backend.</t>
        </is>
      </c>
      <c r="G66" s="29" t="inlineStr">
        <is>
          <t>P3</t>
        </is>
      </c>
      <c r="H66" s="29" t="inlineStr">
        <is>
          <t>Rule</t>
        </is>
      </c>
      <c r="I66" s="30" t="inlineStr">
        <is>
          <t>lib/features/auth/infrastructure/data_sources/remote/demo_auth_api.dart:27</t>
        </is>
      </c>
      <c r="J66" s="29" t="n"/>
      <c r="K66" s="31" t="inlineStr">
        <is>
          <t>Not Run</t>
        </is>
      </c>
      <c r="L66" s="32" t="n"/>
      <c r="M66" s="33" t="n"/>
      <c r="N66" s="32" t="n"/>
      <c r="O66" s="32" t="n"/>
      <c r="P66" s="32" t="n"/>
      <c r="Q66" s="32" t="n"/>
    </row>
    <row r="67" ht="43" customHeight="1">
      <c r="A67" s="27" t="inlineStr">
        <is>
          <t>BL-BOOK-001</t>
        </is>
      </c>
      <c r="B67" s="28" t="inlineStr">
        <is>
          <t>Booking</t>
        </is>
      </c>
      <c r="C67" s="28" t="inlineStr">
        <is>
          <t>Discovery</t>
        </is>
      </c>
      <c r="D67" s="28" t="inlineStr">
        <is>
          <t>Browsing hospitals and doctors needs a signed-in session</t>
        </is>
      </c>
      <c r="E67" s="28" t="inlineStr">
        <is>
          <t>Signed out, open links to the hospitals list, a doctor and the booking flow</t>
        </is>
      </c>
      <c r="F67" s="28" t="inlineStr">
        <is>
          <t>Redirected to sign-in (or the intro on a fresh install). Confirm intended — the API allows these lists without sign-in.</t>
        </is>
      </c>
      <c r="G67" s="29" t="inlineStr">
        <is>
          <t>P2</t>
        </is>
      </c>
      <c r="H67" s="29" t="inlineStr">
        <is>
          <t>Rule</t>
        </is>
      </c>
      <c r="I67" s="30" t="inlineStr">
        <is>
          <t>lib/app/router/app_router.dart:395</t>
        </is>
      </c>
      <c r="J67" s="29" t="n"/>
      <c r="K67" s="31" t="inlineStr">
        <is>
          <t>Not Run</t>
        </is>
      </c>
      <c r="L67" s="32" t="n"/>
      <c r="M67" s="33" t="n"/>
      <c r="N67" s="32" t="n"/>
      <c r="O67" s="32" t="n"/>
      <c r="P67" s="32" t="n"/>
      <c r="Q67" s="32" t="n"/>
    </row>
    <row r="68" ht="30" customHeight="1">
      <c r="A68" s="27" t="inlineStr">
        <is>
          <t>BL-BOOK-002</t>
        </is>
      </c>
      <c r="B68" s="28" t="inlineStr">
        <is>
          <t>Booking</t>
        </is>
      </c>
      <c r="C68" s="28" t="inlineStr">
        <is>
          <t>Discovery</t>
        </is>
      </c>
      <c r="D68" s="28" t="inlineStr">
        <is>
          <t>Hospital list sorting</t>
        </is>
      </c>
      <c r="E68" s="28" t="inlineStr">
        <is>
          <t>1. Open Hospitals
2. Use each sort option</t>
        </is>
      </c>
      <c r="F68" s="28" t="inlineStr">
        <is>
          <t>'Name A–Z' (default), 'Highest rated', 'Soonest slot'; no distance option; list reloads each time.</t>
        </is>
      </c>
      <c r="G68" s="29" t="inlineStr">
        <is>
          <t>P2</t>
        </is>
      </c>
      <c r="H68" s="29" t="inlineStr">
        <is>
          <t>Rule</t>
        </is>
      </c>
      <c r="I68" s="30" t="inlineStr">
        <is>
          <t>lib/features/booking/presentation/screen/hospitals_screen.dart:78</t>
        </is>
      </c>
      <c r="J68" s="29" t="inlineStr">
        <is>
          <t>KB-10</t>
        </is>
      </c>
      <c r="K68" s="31" t="inlineStr">
        <is>
          <t>Not Run</t>
        </is>
      </c>
      <c r="L68" s="32" t="n"/>
      <c r="M68" s="33" t="n"/>
      <c r="N68" s="32" t="n"/>
      <c r="O68" s="32" t="n"/>
      <c r="P68" s="32" t="n"/>
      <c r="Q68" s="32" t="n"/>
    </row>
    <row r="69" ht="43" customHeight="1">
      <c r="A69" s="27" t="inlineStr">
        <is>
          <t>BL-BOOK-003</t>
        </is>
      </c>
      <c r="B69" s="28" t="inlineStr">
        <is>
          <t>Booking</t>
        </is>
      </c>
      <c r="C69" s="28" t="inlineStr">
        <is>
          <t>Discovery</t>
        </is>
      </c>
      <c r="D69" s="28" t="inlineStr">
        <is>
          <t>Hospital search and department tab combine</t>
        </is>
      </c>
      <c r="E69" s="28" t="inlineStr">
        <is>
          <t>1. Type a name quickly
2. Pick a department tab
3. Search something with no match</t>
        </is>
      </c>
      <c r="F69" s="28" t="inlineStr">
        <is>
          <t>One request per typing pause; 'No hospital matches these filters' with 'Clear filters' clearing both.</t>
        </is>
      </c>
      <c r="G69" s="29" t="inlineStr">
        <is>
          <t>P2</t>
        </is>
      </c>
      <c r="H69" s="29" t="inlineStr">
        <is>
          <t>Rule</t>
        </is>
      </c>
      <c r="I69" s="30" t="inlineStr">
        <is>
          <t>lib/features/booking/presentation/screen/hospitals_screen.dart:94</t>
        </is>
      </c>
      <c r="J69" s="29" t="n"/>
      <c r="K69" s="31" t="inlineStr">
        <is>
          <t>Not Run</t>
        </is>
      </c>
      <c r="L69" s="32" t="n"/>
      <c r="M69" s="33" t="n"/>
      <c r="N69" s="32" t="n"/>
      <c r="O69" s="32" t="n"/>
      <c r="P69" s="32" t="n"/>
      <c r="Q69" s="32" t="n"/>
    </row>
    <row r="70" ht="30" customHeight="1">
      <c r="A70" s="27" t="inlineStr">
        <is>
          <t>BL-BOOK-004</t>
        </is>
      </c>
      <c r="B70" s="28" t="inlineStr">
        <is>
          <t>Booking</t>
        </is>
      </c>
      <c r="C70" s="28" t="inlineStr">
        <is>
          <t>Discovery</t>
        </is>
      </c>
      <c r="D70" s="28" t="inlineStr">
        <is>
          <t>Hospital card availability line</t>
        </is>
      </c>
      <c r="E70" s="28" t="inlineStr">
        <is>
          <t>Compare a hospital with online booking off, one with no published slot and one with a slot today</t>
        </is>
      </c>
      <c r="F70" s="28" t="inlineStr">
        <is>
          <t>'Online booking not available' / 'No free slot published' / 'Next free &lt;time&gt; today'.</t>
        </is>
      </c>
      <c r="G70" s="29" t="inlineStr">
        <is>
          <t>P1</t>
        </is>
      </c>
      <c r="H70" s="29" t="inlineStr">
        <is>
          <t>Data mapping</t>
        </is>
      </c>
      <c r="I70" s="30" t="inlineStr">
        <is>
          <t>lib/features/booking/presentation/components/hospital_card.dart:98</t>
        </is>
      </c>
      <c r="J70" s="29" t="n"/>
      <c r="K70" s="31" t="inlineStr">
        <is>
          <t>Not Run</t>
        </is>
      </c>
      <c r="L70" s="32" t="n"/>
      <c r="M70" s="33" t="n"/>
      <c r="N70" s="32" t="n"/>
      <c r="O70" s="32" t="n"/>
      <c r="P70" s="32" t="n"/>
      <c r="Q70" s="32" t="n"/>
    </row>
    <row r="71" ht="30" customHeight="1">
      <c r="A71" s="27" t="inlineStr">
        <is>
          <t>BL-BOOK-005</t>
        </is>
      </c>
      <c r="B71" s="28" t="inlineStr">
        <is>
          <t>Booking</t>
        </is>
      </c>
      <c r="C71" s="28" t="inlineStr">
        <is>
          <t>Discovery</t>
        </is>
      </c>
      <c r="D71" s="28" t="inlineStr">
        <is>
          <t>'Next free' time uses the hospital's zone</t>
        </is>
      </c>
      <c r="E71" s="28" t="inlineStr">
        <is>
          <t>1. Use a hospital outside India time (e.g. Dubai)
2. Read the card</t>
        </is>
      </c>
      <c r="F71" s="28" t="inlineStr">
        <is>
          <t>Time should be the hospital's local time. The list card always renders India time.</t>
        </is>
      </c>
      <c r="G71" s="29" t="inlineStr">
        <is>
          <t>P3</t>
        </is>
      </c>
      <c r="H71" s="29" t="inlineStr">
        <is>
          <t>Verify gap</t>
        </is>
      </c>
      <c r="I71" s="30" t="inlineStr">
        <is>
          <t>lib/features/booking/domain/hospital_clock.dart:25</t>
        </is>
      </c>
      <c r="J71" s="29" t="n"/>
      <c r="K71" s="31" t="inlineStr">
        <is>
          <t>Not Run</t>
        </is>
      </c>
      <c r="L71" s="32" t="n"/>
      <c r="M71" s="33" t="n"/>
      <c r="N71" s="32" t="n"/>
      <c r="O71" s="32" t="n"/>
      <c r="P71" s="32" t="n"/>
      <c r="Q71" s="32" t="n"/>
    </row>
    <row r="72" ht="30" customHeight="1">
      <c r="A72" s="27" t="inlineStr">
        <is>
          <t>BL-BOOK-006</t>
        </is>
      </c>
      <c r="B72" s="28" t="inlineStr">
        <is>
          <t>Booking</t>
        </is>
      </c>
      <c r="C72" s="28" t="inlineStr">
        <is>
          <t>Discovery</t>
        </is>
      </c>
      <c r="D72" s="28" t="inlineStr">
        <is>
          <t>More than one page of hospitals or doctors</t>
        </is>
      </c>
      <c r="E72" s="28" t="inlineStr">
        <is>
          <t>Use a location with 51+ hospitals, or a hospital department with 51+ doctors</t>
        </is>
      </c>
      <c r="F72" s="28" t="inlineStr">
        <is>
          <t>All should be reachable. The code loads a single page of 50 with no 'load more'.</t>
        </is>
      </c>
      <c r="G72" s="29" t="inlineStr">
        <is>
          <t>P2</t>
        </is>
      </c>
      <c r="H72" s="29" t="inlineStr">
        <is>
          <t>Verify gap</t>
        </is>
      </c>
      <c r="I72" s="30" t="inlineStr">
        <is>
          <t>lib/features/booking/presentation/screen/booking_screen.dart:604</t>
        </is>
      </c>
      <c r="J72" s="29" t="n"/>
      <c r="K72" s="31" t="inlineStr">
        <is>
          <t>Not Run</t>
        </is>
      </c>
      <c r="L72" s="32" t="n"/>
      <c r="M72" s="33" t="n"/>
      <c r="N72" s="32" t="n"/>
      <c r="O72" s="32" t="n"/>
      <c r="P72" s="32" t="n"/>
      <c r="Q72" s="32" t="n"/>
    </row>
    <row r="73" ht="43" customHeight="1">
      <c r="A73" s="27" t="inlineStr">
        <is>
          <t>BL-BOOK-007</t>
        </is>
      </c>
      <c r="B73" s="28" t="inlineStr">
        <is>
          <t>Booking</t>
        </is>
      </c>
      <c r="C73" s="28" t="inlineStr">
        <is>
          <t>Discovery</t>
        </is>
      </c>
      <c r="D73" s="28" t="inlineStr">
        <is>
          <t>A doctor can be booked only when active and bookable online</t>
        </is>
      </c>
      <c r="E73" s="28" t="inlineStr">
        <is>
          <t>Open a doctor on leave and one marked not bookable online</t>
        </is>
      </c>
      <c r="F73" s="28" t="inlineStr">
        <is>
          <t>'On leave — not taking bookings right now.' / 'Not bookable online. Call the hospital to book.'; no Book button; Doctor Details footer 'Not bookable online'.</t>
        </is>
      </c>
      <c r="G73" s="29" t="inlineStr">
        <is>
          <t>P0</t>
        </is>
      </c>
      <c r="H73" s="29" t="inlineStr">
        <is>
          <t>Rule</t>
        </is>
      </c>
      <c r="I73" s="30" t="inlineStr">
        <is>
          <t>lib/features/booking/presentation/components/booking_doctor_card.dart:160</t>
        </is>
      </c>
      <c r="J73" s="29" t="n"/>
      <c r="K73" s="31" t="inlineStr">
        <is>
          <t>Not Run</t>
        </is>
      </c>
      <c r="L73" s="32" t="n"/>
      <c r="M73" s="33" t="n"/>
      <c r="N73" s="32" t="n"/>
      <c r="O73" s="32" t="n"/>
      <c r="P73" s="32" t="n"/>
      <c r="Q73" s="32" t="n"/>
    </row>
    <row r="74" ht="30" customHeight="1">
      <c r="A74" s="27" t="inlineStr">
        <is>
          <t>BL-BOOK-008</t>
        </is>
      </c>
      <c r="B74" s="28" t="inlineStr">
        <is>
          <t>Booking</t>
        </is>
      </c>
      <c r="C74" s="28" t="inlineStr">
        <is>
          <t>Discovery</t>
        </is>
      </c>
      <c r="D74" s="28" t="inlineStr">
        <is>
          <t>Department list depends on where the flow started</t>
        </is>
      </c>
      <c r="E74" s="28" t="inlineStr">
        <is>
          <t>Start a booking from Home and from a hospital page</t>
        </is>
      </c>
      <c r="F74" s="28" t="inlineStr">
        <is>
          <t>Home: all departments with 'N hospitals'; hospital: only that hospital's departments.</t>
        </is>
      </c>
      <c r="G74" s="29" t="inlineStr">
        <is>
          <t>P2</t>
        </is>
      </c>
      <c r="H74" s="29" t="inlineStr">
        <is>
          <t>Rule</t>
        </is>
      </c>
      <c r="I74" s="30" t="inlineStr">
        <is>
          <t>lib/features/booking/presentation/screen/booking_screen.dart:455</t>
        </is>
      </c>
      <c r="J74" s="29" t="n"/>
      <c r="K74" s="31" t="inlineStr">
        <is>
          <t>Not Run</t>
        </is>
      </c>
      <c r="L74" s="32" t="n"/>
      <c r="M74" s="33" t="n"/>
      <c r="N74" s="32" t="n"/>
      <c r="O74" s="32" t="n"/>
      <c r="P74" s="32" t="n"/>
      <c r="Q74" s="32" t="n"/>
    </row>
    <row r="75" ht="43" customHeight="1">
      <c r="A75" s="27" t="inlineStr">
        <is>
          <t>BL-BOOK-009</t>
        </is>
      </c>
      <c r="B75" s="28" t="inlineStr">
        <is>
          <t>Booking</t>
        </is>
      </c>
      <c r="C75" s="28" t="inlineStr">
        <is>
          <t>Step gating</t>
        </is>
      </c>
      <c r="D75" s="28" t="inlineStr">
        <is>
          <t>Each step needs its choice before Continue</t>
        </is>
      </c>
      <c r="E75" s="28" t="inlineStr">
        <is>
          <t>Try Continue on step 1 without a department, step 2 without a doctor, step 3 without a slot or patient, step 4 before the fee loads</t>
        </is>
      </c>
      <c r="F75" s="28" t="inlineStr">
        <is>
          <t>Button disabled at each point.</t>
        </is>
      </c>
      <c r="G75" s="29" t="inlineStr">
        <is>
          <t>P0</t>
        </is>
      </c>
      <c r="H75" s="29" t="inlineStr">
        <is>
          <t>Rule</t>
        </is>
      </c>
      <c r="I75" s="30" t="inlineStr">
        <is>
          <t>lib/features/booking/presentation/screen/booking_screen.dart:346</t>
        </is>
      </c>
      <c r="J75" s="29" t="n"/>
      <c r="K75" s="31" t="inlineStr">
        <is>
          <t>Not Run</t>
        </is>
      </c>
      <c r="L75" s="32" t="n"/>
      <c r="M75" s="33" t="n"/>
      <c r="N75" s="32" t="n"/>
      <c r="O75" s="32" t="n"/>
      <c r="P75" s="32" t="n"/>
      <c r="Q75" s="32" t="n"/>
    </row>
    <row r="76" ht="43" customHeight="1">
      <c r="A76" s="27" t="inlineStr">
        <is>
          <t>BL-BOOK-010</t>
        </is>
      </c>
      <c r="B76" s="28" t="inlineStr">
        <is>
          <t>Booking</t>
        </is>
      </c>
      <c r="C76" s="28" t="inlineStr">
        <is>
          <t>Step gating</t>
        </is>
      </c>
      <c r="D76" s="28" t="inlineStr">
        <is>
          <t>Continue on step 2 opens the time picker when no time is chosen</t>
        </is>
      </c>
      <c r="E76" s="28" t="inlineStr">
        <is>
          <t>1. Select a doctor without a time
2. Tap Continue
3. Confirm a time</t>
        </is>
      </c>
      <c r="F76" s="28" t="inlineStr">
        <is>
          <t>'Select Time' sheet opens; after confirming, the flow is on step 3.</t>
        </is>
      </c>
      <c r="G76" s="29" t="inlineStr">
        <is>
          <t>P1</t>
        </is>
      </c>
      <c r="H76" s="29" t="inlineStr">
        <is>
          <t>State</t>
        </is>
      </c>
      <c r="I76" s="30" t="inlineStr">
        <is>
          <t>lib/features/booking/presentation/screen/booking_screen.dart:243</t>
        </is>
      </c>
      <c r="J76" s="29" t="n"/>
      <c r="K76" s="31" t="inlineStr">
        <is>
          <t>Not Run</t>
        </is>
      </c>
      <c r="L76" s="32" t="n"/>
      <c r="M76" s="33" t="n"/>
      <c r="N76" s="32" t="n"/>
      <c r="O76" s="32" t="n"/>
      <c r="P76" s="32" t="n"/>
      <c r="Q76" s="32" t="n"/>
    </row>
    <row r="77" ht="43" customHeight="1">
      <c r="A77" s="27" t="inlineStr">
        <is>
          <t>BL-BOOK-011</t>
        </is>
      </c>
      <c r="B77" s="28" t="inlineStr">
        <is>
          <t>Booking</t>
        </is>
      </c>
      <c r="C77" s="28" t="inlineStr">
        <is>
          <t>Step gating</t>
        </is>
      </c>
      <c r="D77" s="28" t="inlineStr">
        <is>
          <t>Changing the department clears doctor and time</t>
        </is>
      </c>
      <c r="E77" s="28" t="inlineStr">
        <is>
          <t>1. Choose a slot
2. Go back to step 1 and pick another department</t>
        </is>
      </c>
      <c r="F77" s="28" t="inlineStr">
        <is>
          <t>No doctor selected on step 2; patient, coupon and notes are kept.</t>
        </is>
      </c>
      <c r="G77" s="29" t="inlineStr">
        <is>
          <t>P0</t>
        </is>
      </c>
      <c r="H77" s="29" t="inlineStr">
        <is>
          <t>State</t>
        </is>
      </c>
      <c r="I77" s="30" t="inlineStr">
        <is>
          <t>lib/features/booking/application/providers/booking_draft_provider.dart:67</t>
        </is>
      </c>
      <c r="J77" s="29" t="n"/>
      <c r="K77" s="31" t="inlineStr">
        <is>
          <t>Not Run</t>
        </is>
      </c>
      <c r="L77" s="32" t="n"/>
      <c r="M77" s="33" t="n"/>
      <c r="N77" s="32" t="n"/>
      <c r="O77" s="32" t="n"/>
      <c r="P77" s="32" t="n"/>
      <c r="Q77" s="32" t="n"/>
    </row>
    <row r="78" ht="43" customHeight="1">
      <c r="A78" s="27" t="inlineStr">
        <is>
          <t>BL-BOOK-012</t>
        </is>
      </c>
      <c r="B78" s="28" t="inlineStr">
        <is>
          <t>Booking</t>
        </is>
      </c>
      <c r="C78" s="28" t="inlineStr">
        <is>
          <t>Step gating</t>
        </is>
      </c>
      <c r="D78" s="28" t="inlineStr">
        <is>
          <t>Changing the hospital clears doctor and time</t>
        </is>
      </c>
      <c r="E78" s="28" t="inlineStr">
        <is>
          <t>1. Choose a slot
2. Tap 'Change' next to the hospital</t>
        </is>
      </c>
      <c r="F78" s="28" t="inlineStr">
        <is>
          <t>Step 2 returns to 'Choose a hospital'; the earlier slot is gone.</t>
        </is>
      </c>
      <c r="G78" s="29" t="inlineStr">
        <is>
          <t>P0</t>
        </is>
      </c>
      <c r="H78" s="29" t="inlineStr">
        <is>
          <t>State</t>
        </is>
      </c>
      <c r="I78" s="30" t="inlineStr">
        <is>
          <t>lib/features/booking/application/providers/booking_draft_provider.dart:39</t>
        </is>
      </c>
      <c r="J78" s="29" t="n"/>
      <c r="K78" s="31" t="inlineStr">
        <is>
          <t>Not Run</t>
        </is>
      </c>
      <c r="L78" s="32" t="n"/>
      <c r="M78" s="33" t="n"/>
      <c r="N78" s="32" t="n"/>
      <c r="O78" s="32" t="n"/>
      <c r="P78" s="32" t="n"/>
      <c r="Q78" s="32" t="n"/>
    </row>
    <row r="79" ht="43" customHeight="1">
      <c r="A79" s="27" t="inlineStr">
        <is>
          <t>BL-BOOK-013</t>
        </is>
      </c>
      <c r="B79" s="28" t="inlineStr">
        <is>
          <t>Booking</t>
        </is>
      </c>
      <c r="C79" s="28" t="inlineStr">
        <is>
          <t>Step gating</t>
        </is>
      </c>
      <c r="D79" s="28" t="inlineStr">
        <is>
          <t>Changing the doctor clears the time and adopts the doctor's hospital and department</t>
        </is>
      </c>
      <c r="E79" s="28" t="inlineStr">
        <is>
          <t>1. Choose a slot with doctor A
2. Select doctor B</t>
        </is>
      </c>
      <c r="F79" s="28" t="inlineStr">
        <is>
          <t>Doctor B selected, no slot; summary shows B's hospital and department.</t>
        </is>
      </c>
      <c r="G79" s="29" t="inlineStr">
        <is>
          <t>P0</t>
        </is>
      </c>
      <c r="H79" s="29" t="inlineStr">
        <is>
          <t>State</t>
        </is>
      </c>
      <c r="I79" s="30" t="inlineStr">
        <is>
          <t>lib/features/booking/application/providers/booking_draft_provider.dart:82</t>
        </is>
      </c>
      <c r="J79" s="29" t="n"/>
      <c r="K79" s="31" t="inlineStr">
        <is>
          <t>Not Run</t>
        </is>
      </c>
      <c r="L79" s="32" t="n"/>
      <c r="M79" s="33" t="n"/>
      <c r="N79" s="32" t="n"/>
      <c r="O79" s="32" t="n"/>
      <c r="P79" s="32" t="n"/>
      <c r="Q79" s="32" t="n"/>
    </row>
    <row r="80" ht="30" customHeight="1">
      <c r="A80" s="27" t="inlineStr">
        <is>
          <t>BL-BOOK-014</t>
        </is>
      </c>
      <c r="B80" s="28" t="inlineStr">
        <is>
          <t>Booking</t>
        </is>
      </c>
      <c r="C80" s="28" t="inlineStr">
        <is>
          <t>Step gating</t>
        </is>
      </c>
      <c r="D80" s="28" t="inlineStr">
        <is>
          <t>Stepper allows going back only</t>
        </is>
      </c>
      <c r="E80" s="28" t="inlineStr">
        <is>
          <t>On step 3 tap 'Department', then try a later step label</t>
        </is>
      </c>
      <c r="F80" s="28" t="inlineStr">
        <is>
          <t>Jumps back to step 1; later labels do nothing.</t>
        </is>
      </c>
      <c r="G80" s="29" t="inlineStr">
        <is>
          <t>P2</t>
        </is>
      </c>
      <c r="H80" s="29" t="inlineStr">
        <is>
          <t>Rule</t>
        </is>
      </c>
      <c r="I80" s="30" t="inlineStr">
        <is>
          <t>lib/features/booking/presentation/components/booking_stepper.dart:50</t>
        </is>
      </c>
      <c r="J80" s="29" t="n"/>
      <c r="K80" s="31" t="inlineStr">
        <is>
          <t>Not Run</t>
        </is>
      </c>
      <c r="L80" s="32" t="n"/>
      <c r="M80" s="33" t="n"/>
      <c r="N80" s="32" t="n"/>
      <c r="O80" s="32" t="n"/>
      <c r="P80" s="32" t="n"/>
      <c r="Q80" s="32" t="n"/>
    </row>
    <row r="81" ht="43" customHeight="1">
      <c r="A81" s="27" t="inlineStr">
        <is>
          <t>BL-BOOK-015</t>
        </is>
      </c>
      <c r="B81" s="28" t="inlineStr">
        <is>
          <t>Booking</t>
        </is>
      </c>
      <c r="C81" s="28" t="inlineStr">
        <is>
          <t>Step gating</t>
        </is>
      </c>
      <c r="D81" s="28" t="inlineStr">
        <is>
          <t>Deep link step is clamped and incomplete steps show guidance</t>
        </is>
      </c>
      <c r="E81" s="28" t="inlineStr">
        <is>
          <t>Open /booking?step=9, /booking?step=abc and /booking?step=4 with nothing chosen</t>
        </is>
      </c>
      <c r="F81" s="28" t="inlineStr">
        <is>
          <t>Step 4 / step 1 / 'Nothing to confirm yet — Pick a doctor, a time and who the visit is for first.' with a button back to step 3.</t>
        </is>
      </c>
      <c r="G81" s="29" t="inlineStr">
        <is>
          <t>P2</t>
        </is>
      </c>
      <c r="H81" s="29" t="inlineStr">
        <is>
          <t>Boundary</t>
        </is>
      </c>
      <c r="I81" s="30" t="inlineStr">
        <is>
          <t>lib/features/booking/application/providers/booking_draft_provider.dart:20</t>
        </is>
      </c>
      <c r="J81" s="29" t="n"/>
      <c r="K81" s="31" t="inlineStr">
        <is>
          <t>Not Run</t>
        </is>
      </c>
      <c r="L81" s="32" t="n"/>
      <c r="M81" s="33" t="n"/>
      <c r="N81" s="32" t="n"/>
      <c r="O81" s="32" t="n"/>
      <c r="P81" s="32" t="n"/>
      <c r="Q81" s="32" t="n"/>
    </row>
    <row r="82" ht="43" customHeight="1">
      <c r="A82" s="27" t="inlineStr">
        <is>
          <t>BL-BOOK-016</t>
        </is>
      </c>
      <c r="B82" s="28" t="inlineStr">
        <is>
          <t>Booking</t>
        </is>
      </c>
      <c r="C82" s="28" t="inlineStr">
        <is>
          <t>Step gating</t>
        </is>
      </c>
      <c r="D82" s="28" t="inlineStr">
        <is>
          <t>Leaving the flow</t>
        </is>
      </c>
      <c r="E82" s="28" t="inlineStr">
        <is>
          <t>1. Tap X on step 1
2. Tap X on step 3
3. Tap X after tapping Pay</t>
        </is>
      </c>
      <c r="F82" s="28" t="inlineStr">
        <is>
          <t>Step 1 leaves at once; later: 'Leave this booking? … Nothing has been booked or charged.'; after Pay: 'Leave without paying? Booking &lt;ref&gt; is held for you…'.</t>
        </is>
      </c>
      <c r="G82" s="29" t="inlineStr">
        <is>
          <t>P1</t>
        </is>
      </c>
      <c r="H82" s="29" t="inlineStr">
        <is>
          <t>State</t>
        </is>
      </c>
      <c r="I82" s="30" t="inlineStr">
        <is>
          <t>lib/features/booking/presentation/screen/booking_screen.dart:185</t>
        </is>
      </c>
      <c r="J82" s="29" t="n"/>
      <c r="K82" s="31" t="inlineStr">
        <is>
          <t>Not Run</t>
        </is>
      </c>
      <c r="L82" s="32" t="n"/>
      <c r="M82" s="33" t="n"/>
      <c r="N82" s="32" t="n"/>
      <c r="O82" s="32" t="n"/>
      <c r="P82" s="32" t="n"/>
      <c r="Q82" s="32" t="n"/>
    </row>
    <row r="83" ht="43" customHeight="1">
      <c r="A83" s="27" t="inlineStr">
        <is>
          <t>BL-BOOK-017</t>
        </is>
      </c>
      <c r="B83" s="28" t="inlineStr">
        <is>
          <t>Booking</t>
        </is>
      </c>
      <c r="C83" s="28" t="inlineStr">
        <is>
          <t>Date &amp; availability</t>
        </is>
      </c>
      <c r="D83" s="28" t="inlineStr">
        <is>
          <t>Date strip shows exactly the days the server publishes</t>
        </is>
      </c>
      <c r="E83" s="28" t="inlineStr">
        <is>
          <t>1. Open the time picker for a doctor
2. Compare with the availability API</t>
        </is>
      </c>
      <c r="F83" s="28" t="inlineStr">
        <is>
          <t>One chip per returned day; 'This doctor has no sessions in the booking window.' when none.</t>
        </is>
      </c>
      <c r="G83" s="29" t="inlineStr">
        <is>
          <t>P1</t>
        </is>
      </c>
      <c r="H83" s="29" t="inlineStr">
        <is>
          <t>Rule</t>
        </is>
      </c>
      <c r="I83" s="30" t="inlineStr">
        <is>
          <t>lib/features/booking/application/providers/availability_providers.dart:13</t>
        </is>
      </c>
      <c r="J83" s="29" t="n"/>
      <c r="K83" s="31" t="inlineStr">
        <is>
          <t>Not Run</t>
        </is>
      </c>
      <c r="L83" s="32" t="n"/>
      <c r="M83" s="33" t="n"/>
      <c r="N83" s="32" t="n"/>
      <c r="O83" s="32" t="n"/>
      <c r="P83" s="32" t="n"/>
      <c r="Q83" s="32" t="n"/>
    </row>
    <row r="84" ht="30" customHeight="1">
      <c r="A84" s="27" t="inlineStr">
        <is>
          <t>BL-BOOK-018</t>
        </is>
      </c>
      <c r="B84" s="28" t="inlineStr">
        <is>
          <t>Booking</t>
        </is>
      </c>
      <c r="C84" s="28" t="inlineStr">
        <is>
          <t>Date &amp; availability</t>
        </is>
      </c>
      <c r="D84" s="28" t="inlineStr">
        <is>
          <t>First bookable day is preselected</t>
        </is>
      </c>
      <c r="E84" s="28" t="inlineStr">
        <is>
          <t>Open the picker for a doctor whose first two days are full</t>
        </is>
      </c>
      <c r="F84" s="28" t="inlineStr">
        <is>
          <t>The first day with a free session is selected.</t>
        </is>
      </c>
      <c r="G84" s="29" t="inlineStr">
        <is>
          <t>P2</t>
        </is>
      </c>
      <c r="H84" s="29" t="inlineStr">
        <is>
          <t>Rule</t>
        </is>
      </c>
      <c r="I84" s="30" t="inlineStr">
        <is>
          <t>lib/features/booking/presentation/components/slot_sheet.dart:182</t>
        </is>
      </c>
      <c r="J84" s="29" t="n"/>
      <c r="K84" s="31" t="inlineStr">
        <is>
          <t>Not Run</t>
        </is>
      </c>
      <c r="L84" s="32" t="n"/>
      <c r="M84" s="33" t="n"/>
      <c r="N84" s="32" t="n"/>
      <c r="O84" s="32" t="n"/>
      <c r="P84" s="32" t="n"/>
      <c r="Q84" s="32" t="n"/>
    </row>
    <row r="85" ht="30" customHeight="1">
      <c r="A85" s="27" t="inlineStr">
        <is>
          <t>BL-BOOK-019</t>
        </is>
      </c>
      <c r="B85" s="28" t="inlineStr">
        <is>
          <t>Booking</t>
        </is>
      </c>
      <c r="C85" s="28" t="inlineStr">
        <is>
          <t>Date &amp; availability</t>
        </is>
      </c>
      <c r="D85" s="28" t="inlineStr">
        <is>
          <t>Day states</t>
        </is>
      </c>
      <c r="E85" s="28" t="inlineStr">
        <is>
          <t>1. Tap a day with no sessions
2. Tap a fully booked day</t>
        </is>
      </c>
      <c r="F85" s="28" t="inlineStr">
        <is>
          <t>First cannot be tapped; second is struck through and says 'Every slot on this day is taken. Pick another day.'</t>
        </is>
      </c>
      <c r="G85" s="29" t="inlineStr">
        <is>
          <t>P1</t>
        </is>
      </c>
      <c r="H85" s="29" t="inlineStr">
        <is>
          <t>State</t>
        </is>
      </c>
      <c r="I85" s="30" t="inlineStr">
        <is>
          <t>lib/features/booking/presentation/components/date_strip.dart:51</t>
        </is>
      </c>
      <c r="J85" s="29" t="n"/>
      <c r="K85" s="31" t="inlineStr">
        <is>
          <t>Not Run</t>
        </is>
      </c>
      <c r="L85" s="32" t="n"/>
      <c r="M85" s="33" t="n"/>
      <c r="N85" s="32" t="n"/>
      <c r="O85" s="32" t="n"/>
      <c r="P85" s="32" t="n"/>
      <c r="Q85" s="32" t="n"/>
    </row>
    <row r="86" ht="43" customHeight="1">
      <c r="A86" s="27" t="inlineStr">
        <is>
          <t>BL-BOOK-020</t>
        </is>
      </c>
      <c r="B86" s="28" t="inlineStr">
        <is>
          <t>Booking</t>
        </is>
      </c>
      <c r="C86" s="28" t="inlineStr">
        <is>
          <t>Date &amp; availability</t>
        </is>
      </c>
      <c r="D86" s="28" t="inlineStr">
        <is>
          <t>'Today' follows the hospital's date</t>
        </is>
      </c>
      <c r="E86" s="28" t="inlineStr">
        <is>
          <t>1. Set the device to a zone where the date differs from India
2. Open the picker</t>
        </is>
      </c>
      <c r="F86" s="28" t="inlineStr">
        <is>
          <t>'Today' sits on the hospital's current date.</t>
        </is>
      </c>
      <c r="G86" s="29" t="inlineStr">
        <is>
          <t>P2</t>
        </is>
      </c>
      <c r="H86" s="29" t="inlineStr">
        <is>
          <t>Calculation</t>
        </is>
      </c>
      <c r="I86" s="30" t="inlineStr">
        <is>
          <t>lib/features/booking/presentation/components/date_strip.dart:35</t>
        </is>
      </c>
      <c r="J86" s="29" t="n"/>
      <c r="K86" s="31" t="inlineStr">
        <is>
          <t>Not Run</t>
        </is>
      </c>
      <c r="L86" s="32" t="n"/>
      <c r="M86" s="33" t="n"/>
      <c r="N86" s="32" t="n"/>
      <c r="O86" s="32" t="n"/>
      <c r="P86" s="32" t="n"/>
      <c r="Q86" s="32" t="n"/>
    </row>
    <row r="87" ht="30" customHeight="1">
      <c r="A87" s="27" t="inlineStr">
        <is>
          <t>BL-BOOK-021</t>
        </is>
      </c>
      <c r="B87" s="28" t="inlineStr">
        <is>
          <t>Booking</t>
        </is>
      </c>
      <c r="C87" s="28" t="inlineStr">
        <is>
          <t>Slot selection</t>
        </is>
      </c>
      <c r="D87" s="28" t="inlineStr">
        <is>
          <t>Only available slots can be chosen</t>
        </is>
      </c>
      <c r="E87" s="28" t="inlineStr">
        <is>
          <t>Tap booked, held, blocked and past slots</t>
        </is>
      </c>
      <c r="F87" s="28" t="inlineStr">
        <is>
          <t>'That slot is already taken.'; selection unchanged; Continue stays tied to an available slot.</t>
        </is>
      </c>
      <c r="G87" s="29" t="inlineStr">
        <is>
          <t>P0</t>
        </is>
      </c>
      <c r="H87" s="29" t="inlineStr">
        <is>
          <t>Rule</t>
        </is>
      </c>
      <c r="I87" s="30" t="inlineStr">
        <is>
          <t>lib/features/booking/presentation/components/slot_grid.dart:78</t>
        </is>
      </c>
      <c r="J87" s="29" t="n"/>
      <c r="K87" s="31" t="inlineStr">
        <is>
          <t>Not Run</t>
        </is>
      </c>
      <c r="L87" s="32" t="n"/>
      <c r="M87" s="33" t="n"/>
      <c r="N87" s="32" t="n"/>
      <c r="O87" s="32" t="n"/>
      <c r="P87" s="32" t="n"/>
      <c r="Q87" s="32" t="n"/>
    </row>
    <row r="88" ht="30" customHeight="1">
      <c r="A88" s="27" t="inlineStr">
        <is>
          <t>BL-BOOK-022</t>
        </is>
      </c>
      <c r="B88" s="28" t="inlineStr">
        <is>
          <t>Booking</t>
        </is>
      </c>
      <c r="C88" s="28" t="inlineStr">
        <is>
          <t>Slot selection</t>
        </is>
      </c>
      <c r="D88" s="28" t="inlineStr">
        <is>
          <t>First free slot is preselected in the picker</t>
        </is>
      </c>
      <c r="E88" s="28" t="inlineStr">
        <is>
          <t>Open the picker on a day with free slots and on a full day</t>
        </is>
      </c>
      <c r="F88" s="28" t="inlineStr">
        <is>
          <t>'Continue with &lt;time&gt;' enabled, or disabled 'No free slot on this day'.</t>
        </is>
      </c>
      <c r="G88" s="29" t="inlineStr">
        <is>
          <t>P2</t>
        </is>
      </c>
      <c r="H88" s="29" t="inlineStr">
        <is>
          <t>Rule</t>
        </is>
      </c>
      <c r="I88" s="30" t="inlineStr">
        <is>
          <t>lib/features/booking/presentation/components/slot_sheet.dart:276</t>
        </is>
      </c>
      <c r="J88" s="29" t="n"/>
      <c r="K88" s="31" t="inlineStr">
        <is>
          <t>Not Run</t>
        </is>
      </c>
      <c r="L88" s="32" t="n"/>
      <c r="M88" s="33" t="n"/>
      <c r="N88" s="32" t="n"/>
      <c r="O88" s="32" t="n"/>
      <c r="P88" s="32" t="n"/>
      <c r="Q88" s="32" t="n"/>
    </row>
    <row r="89" ht="30" customHeight="1">
      <c r="A89" s="27" t="inlineStr">
        <is>
          <t>BL-BOOK-023</t>
        </is>
      </c>
      <c r="B89" s="28" t="inlineStr">
        <is>
          <t>Booking</t>
        </is>
      </c>
      <c r="C89" s="28" t="inlineStr">
        <is>
          <t>Slot selection</t>
        </is>
      </c>
      <c r="D89" s="28" t="inlineStr">
        <is>
          <t>Changing the day resets the chosen time</t>
        </is>
      </c>
      <c r="E89" s="28" t="inlineStr">
        <is>
          <t>1. Pick 10:00 on Monday
2. Tap Tuesday</t>
        </is>
      </c>
      <c r="F89" s="28" t="inlineStr">
        <is>
          <t>Selection moves to Tuesday's first free slot.</t>
        </is>
      </c>
      <c r="G89" s="29" t="inlineStr">
        <is>
          <t>P1</t>
        </is>
      </c>
      <c r="H89" s="29" t="inlineStr">
        <is>
          <t>State</t>
        </is>
      </c>
      <c r="I89" s="30" t="inlineStr">
        <is>
          <t>lib/features/booking/presentation/components/slot_sheet.dart:202</t>
        </is>
      </c>
      <c r="J89" s="29" t="n"/>
      <c r="K89" s="31" t="inlineStr">
        <is>
          <t>Not Run</t>
        </is>
      </c>
      <c r="L89" s="32" t="n"/>
      <c r="M89" s="33" t="n"/>
      <c r="N89" s="32" t="n"/>
      <c r="O89" s="32" t="n"/>
      <c r="P89" s="32" t="n"/>
      <c r="Q89" s="32" t="n"/>
    </row>
    <row r="90" ht="43" customHeight="1">
      <c r="A90" s="27" t="inlineStr">
        <is>
          <t>BL-BOOK-024</t>
        </is>
      </c>
      <c r="B90" s="28" t="inlineStr">
        <is>
          <t>Booking</t>
        </is>
      </c>
      <c r="C90" s="28" t="inlineStr">
        <is>
          <t>Slot selection</t>
        </is>
      </c>
      <c r="D90" s="28" t="inlineStr">
        <is>
          <t>Slots in a paused session</t>
        </is>
      </c>
      <c r="E90" s="28" t="inlineStr">
        <is>
          <t>1. Have the desk pause a session that still has free slots
2. Open the picker</t>
        </is>
      </c>
      <c r="F90" s="28" t="inlineStr">
        <is>
          <t>Decide what is correct: the heading shows '· paused' but its free slots remain selectable.</t>
        </is>
      </c>
      <c r="G90" s="29" t="inlineStr">
        <is>
          <t>P2</t>
        </is>
      </c>
      <c r="H90" s="29" t="inlineStr">
        <is>
          <t>Verify gap</t>
        </is>
      </c>
      <c r="I90" s="30" t="inlineStr">
        <is>
          <t>lib/features/booking/presentation/components/slot_grid.dart:101</t>
        </is>
      </c>
      <c r="J90" s="29" t="inlineStr">
        <is>
          <t>KB-08</t>
        </is>
      </c>
      <c r="K90" s="31" t="inlineStr">
        <is>
          <t>Not Run</t>
        </is>
      </c>
      <c r="L90" s="32" t="n"/>
      <c r="M90" s="33" t="n"/>
      <c r="N90" s="32" t="n"/>
      <c r="O90" s="32" t="n"/>
      <c r="P90" s="32" t="n"/>
      <c r="Q90" s="32" t="n"/>
    </row>
    <row r="91" ht="43" customHeight="1">
      <c r="A91" s="27" t="inlineStr">
        <is>
          <t>BL-BOOK-025</t>
        </is>
      </c>
      <c r="B91" s="28" t="inlineStr">
        <is>
          <t>Booking</t>
        </is>
      </c>
      <c r="C91" s="28" t="inlineStr">
        <is>
          <t>Slot selection</t>
        </is>
      </c>
      <c r="D91" s="28" t="inlineStr">
        <is>
          <t>Previously chosen slot that was taken meanwhile</t>
        </is>
      </c>
      <c r="E91" s="28" t="inlineStr">
        <is>
          <t>1. Choose a slot
2. Have another user book it
3. On step 3 tap 'Change'</t>
        </is>
      </c>
      <c r="F91" s="28" t="inlineStr">
        <is>
          <t>The taken slot must not be confirmable. The code keeps it preselected with 'Continue with &lt;time&gt;' enabled, so booking fails later.</t>
        </is>
      </c>
      <c r="G91" s="29" t="inlineStr">
        <is>
          <t>P1</t>
        </is>
      </c>
      <c r="H91" s="29" t="inlineStr">
        <is>
          <t>Verify gap</t>
        </is>
      </c>
      <c r="I91" s="30" t="inlineStr">
        <is>
          <t>lib/features/booking/presentation/components/slot_sheet.dart:276</t>
        </is>
      </c>
      <c r="J91" s="29" t="n"/>
      <c r="K91" s="31" t="inlineStr">
        <is>
          <t>Not Run</t>
        </is>
      </c>
      <c r="L91" s="32" t="n"/>
      <c r="M91" s="33" t="n"/>
      <c r="N91" s="32" t="n"/>
      <c r="O91" s="32" t="n"/>
      <c r="P91" s="32" t="n"/>
      <c r="Q91" s="32" t="n"/>
    </row>
    <row r="92" ht="56" customHeight="1">
      <c r="A92" s="27" t="inlineStr">
        <is>
          <t>BL-BOOK-026</t>
        </is>
      </c>
      <c r="B92" s="28" t="inlineStr">
        <is>
          <t>Booking</t>
        </is>
      </c>
      <c r="C92" s="28" t="inlineStr">
        <is>
          <t>Slot selection</t>
        </is>
      </c>
      <c r="D92" s="28" t="inlineStr">
        <is>
          <t>Booking from Doctor Details carries the slot</t>
        </is>
      </c>
      <c r="E92" s="28" t="inlineStr">
        <is>
          <t>1. Open a doctor from Search
2. Pick a time
3. Tap 'Book &lt;time&gt;'
4. Repeat after another user takes that slot</t>
        </is>
      </c>
      <c r="F92" s="28" t="inlineStr">
        <is>
          <t>Step 3 shows the chosen time; if it was taken, step 3 asks to pick a time again.</t>
        </is>
      </c>
      <c r="G92" s="29" t="inlineStr">
        <is>
          <t>P1</t>
        </is>
      </c>
      <c r="H92" s="29" t="inlineStr">
        <is>
          <t>State</t>
        </is>
      </c>
      <c r="I92" s="30" t="inlineStr">
        <is>
          <t>lib/features/booking/presentation/screen/booking_screen.dart:137</t>
        </is>
      </c>
      <c r="J92" s="29" t="n"/>
      <c r="K92" s="31" t="inlineStr">
        <is>
          <t>Not Run</t>
        </is>
      </c>
      <c r="L92" s="32" t="n"/>
      <c r="M92" s="33" t="n"/>
      <c r="N92" s="32" t="n"/>
      <c r="O92" s="32" t="n"/>
      <c r="P92" s="32" t="n"/>
      <c r="Q92" s="32" t="n"/>
    </row>
    <row r="93" ht="43" customHeight="1">
      <c r="A93" s="27" t="inlineStr">
        <is>
          <t>BL-BOOK-027</t>
        </is>
      </c>
      <c r="B93" s="28" t="inlineStr">
        <is>
          <t>Booking</t>
        </is>
      </c>
      <c r="C93" s="28" t="inlineStr">
        <is>
          <t>Slot selection</t>
        </is>
      </c>
      <c r="D93" s="28" t="inlineStr">
        <is>
          <t>The slot is not held until Pay</t>
        </is>
      </c>
      <c r="E93" s="28" t="inlineStr">
        <is>
          <t>1. Reach step 4 on device A
2. Book the same slot on device B
3. Tap Pay on A</t>
        </is>
      </c>
      <c r="F93" s="28" t="inlineStr">
        <is>
          <t>Step 4 note explains the hold starts at Pay; device A is told the slot was taken.</t>
        </is>
      </c>
      <c r="G93" s="29" t="inlineStr">
        <is>
          <t>P0</t>
        </is>
      </c>
      <c r="H93" s="29" t="inlineStr">
        <is>
          <t>Rule</t>
        </is>
      </c>
      <c r="I93" s="30" t="inlineStr">
        <is>
          <t>lib/features/booking/presentation/screen/booking_screen.dart:1008</t>
        </is>
      </c>
      <c r="J93" s="29" t="n"/>
      <c r="K93" s="31" t="inlineStr">
        <is>
          <t>Not Run</t>
        </is>
      </c>
      <c r="L93" s="32" t="n"/>
      <c r="M93" s="33" t="n"/>
      <c r="N93" s="32" t="n"/>
      <c r="O93" s="32" t="n"/>
      <c r="P93" s="32" t="n"/>
      <c r="Q93" s="32" t="n"/>
    </row>
    <row r="94" ht="30" customHeight="1">
      <c r="A94" s="27" t="inlineStr">
        <is>
          <t>BL-BOOK-028</t>
        </is>
      </c>
      <c r="B94" s="28" t="inlineStr">
        <is>
          <t>Booking</t>
        </is>
      </c>
      <c r="C94" s="28" t="inlineStr">
        <is>
          <t>Patient selection</t>
        </is>
      </c>
      <c r="D94" s="28" t="inlineStr">
        <is>
          <t>Default patient</t>
        </is>
      </c>
      <c r="E94" s="28" t="inlineStr">
        <is>
          <t>Open step 3 on an account with self + family, and one with only two family members</t>
        </is>
      </c>
      <c r="F94" s="28" t="inlineStr">
        <is>
          <t>Self preselected / nobody preselected and Continue disabled.</t>
        </is>
      </c>
      <c r="G94" s="29" t="inlineStr">
        <is>
          <t>P1</t>
        </is>
      </c>
      <c r="H94" s="29" t="inlineStr">
        <is>
          <t>Rule</t>
        </is>
      </c>
      <c r="I94" s="30" t="inlineStr">
        <is>
          <t>lib/features/booking/presentation/screen/booking_screen.dart:793</t>
        </is>
      </c>
      <c r="J94" s="29" t="n"/>
      <c r="K94" s="31" t="inlineStr">
        <is>
          <t>Not Run</t>
        </is>
      </c>
      <c r="L94" s="32" t="n"/>
      <c r="M94" s="33" t="n"/>
      <c r="N94" s="32" t="n"/>
      <c r="O94" s="32" t="n"/>
      <c r="P94" s="32" t="n"/>
      <c r="Q94" s="32" t="n"/>
    </row>
    <row r="95" ht="30" customHeight="1">
      <c r="A95" s="27" t="inlineStr">
        <is>
          <t>BL-BOOK-029</t>
        </is>
      </c>
      <c r="B95" s="28" t="inlineStr">
        <is>
          <t>Booking</t>
        </is>
      </c>
      <c r="C95" s="28" t="inlineStr">
        <is>
          <t>Patient selection</t>
        </is>
      </c>
      <c r="D95" s="28" t="inlineStr">
        <is>
          <t>Account with no patient record</t>
        </is>
      </c>
      <c r="E95" s="28" t="inlineStr">
        <is>
          <t>Use an account with no persons</t>
        </is>
      </c>
      <c r="F95" s="28" t="inlineStr">
        <is>
          <t>'Your account has no patient record yet, so we cannot book "for myself"…' with 'Add a family member'.</t>
        </is>
      </c>
      <c r="G95" s="29" t="inlineStr">
        <is>
          <t>P2</t>
        </is>
      </c>
      <c r="H95" s="29" t="inlineStr">
        <is>
          <t>Error handling</t>
        </is>
      </c>
      <c r="I95" s="30" t="inlineStr">
        <is>
          <t>lib/features/booking/presentation/screen/booking_screen.dart:841</t>
        </is>
      </c>
      <c r="J95" s="29" t="n"/>
      <c r="K95" s="31" t="inlineStr">
        <is>
          <t>Not Run</t>
        </is>
      </c>
      <c r="L95" s="32" t="n"/>
      <c r="M95" s="33" t="n"/>
      <c r="N95" s="32" t="n"/>
      <c r="O95" s="32" t="n"/>
      <c r="P95" s="32" t="n"/>
      <c r="Q95" s="32" t="n"/>
    </row>
    <row r="96" ht="43" customHeight="1">
      <c r="A96" s="27" t="inlineStr">
        <is>
          <t>BL-BOOK-030</t>
        </is>
      </c>
      <c r="B96" s="28" t="inlineStr">
        <is>
          <t>Booking</t>
        </is>
      </c>
      <c r="C96" s="28" t="inlineStr">
        <is>
          <t>Patient selection</t>
        </is>
      </c>
      <c r="D96" s="28" t="inlineStr">
        <is>
          <t>Notes are optional and limited</t>
        </is>
      </c>
      <c r="E96" s="28" t="inlineStr">
        <is>
          <t>1. Enter only spaces
2. Paste 2001 characters</t>
        </is>
      </c>
      <c r="F96" s="28" t="inlineStr">
        <is>
          <t>Spaces-only notes are not sent; input stops at 2000.</t>
        </is>
      </c>
      <c r="G96" s="29" t="inlineStr">
        <is>
          <t>P3</t>
        </is>
      </c>
      <c r="H96" s="29" t="inlineStr">
        <is>
          <t>Boundary</t>
        </is>
      </c>
      <c r="I96" s="30" t="inlineStr">
        <is>
          <t>lib/features/booking/application/providers/booking_draft_provider.dart:125</t>
        </is>
      </c>
      <c r="J96" s="29" t="n"/>
      <c r="K96" s="31" t="inlineStr">
        <is>
          <t>Not Run</t>
        </is>
      </c>
      <c r="L96" s="32" t="n"/>
      <c r="M96" s="33" t="n"/>
      <c r="N96" s="32" t="n"/>
      <c r="O96" s="32" t="n"/>
      <c r="P96" s="32" t="n"/>
      <c r="Q96" s="32" t="n"/>
    </row>
    <row r="97" ht="43" customHeight="1">
      <c r="A97" s="27" t="inlineStr">
        <is>
          <t>BL-BOOK-031</t>
        </is>
      </c>
      <c r="B97" s="28" t="inlineStr">
        <is>
          <t>Booking</t>
        </is>
      </c>
      <c r="C97" s="28" t="inlineStr">
        <is>
          <t>Fee quote</t>
        </is>
      </c>
      <c r="D97" s="28" t="inlineStr">
        <is>
          <t>Quote is re-requested when the patient or coupon changes</t>
        </is>
      </c>
      <c r="E97" s="28" t="inlineStr">
        <is>
          <t>1. Reach step 4
2. Change the patient
3. Return to step 4</t>
        </is>
      </c>
      <c r="F97" s="28" t="inlineStr">
        <is>
          <t>A fresh breakdown loads (follow-up pricing is per patient).</t>
        </is>
      </c>
      <c r="G97" s="29" t="inlineStr">
        <is>
          <t>P0</t>
        </is>
      </c>
      <c r="H97" s="29" t="inlineStr">
        <is>
          <t>Rule</t>
        </is>
      </c>
      <c r="I97" s="30" t="inlineStr">
        <is>
          <t>lib/features/booking/application/providers/booking_providers.dart:52</t>
        </is>
      </c>
      <c r="J97" s="29" t="n"/>
      <c r="K97" s="31" t="inlineStr">
        <is>
          <t>Not Run</t>
        </is>
      </c>
      <c r="L97" s="32" t="n"/>
      <c r="M97" s="33" t="n"/>
      <c r="N97" s="32" t="n"/>
      <c r="O97" s="32" t="n"/>
      <c r="P97" s="32" t="n"/>
      <c r="Q97" s="32" t="n"/>
    </row>
    <row r="98" ht="43" customHeight="1">
      <c r="A98" s="27" t="inlineStr">
        <is>
          <t>BL-BOOK-032</t>
        </is>
      </c>
      <c r="B98" s="28" t="inlineStr">
        <is>
          <t>Booking</t>
        </is>
      </c>
      <c r="C98" s="28" t="inlineStr">
        <is>
          <t>Fee quote</t>
        </is>
      </c>
      <c r="D98" s="28" t="inlineStr">
        <is>
          <t>Breakdown is the server's, line by line</t>
        </is>
      </c>
      <c r="E98" s="28" t="inlineStr">
        <is>
          <t>Compare every row, tax note and 'Total Payable' with the fee-quote response</t>
        </is>
      </c>
      <c r="F98" s="28" t="inlineStr">
        <is>
          <t>Identical; e.g. 'GST 18% · ₹5 added' (or 'included'); a Taxes row only when tax is above zero.</t>
        </is>
      </c>
      <c r="G98" s="29" t="inlineStr">
        <is>
          <t>P0</t>
        </is>
      </c>
      <c r="H98" s="29" t="inlineStr">
        <is>
          <t>Calculation</t>
        </is>
      </c>
      <c r="I98" s="30" t="inlineStr">
        <is>
          <t>lib/features/booking/presentation/components/fee_breakdown_card.dart:27</t>
        </is>
      </c>
      <c r="J98" s="29" t="n"/>
      <c r="K98" s="31" t="inlineStr">
        <is>
          <t>Not Run</t>
        </is>
      </c>
      <c r="L98" s="32" t="n"/>
      <c r="M98" s="33" t="n"/>
      <c r="N98" s="32" t="n"/>
      <c r="O98" s="32" t="n"/>
      <c r="P98" s="32" t="n"/>
      <c r="Q98" s="32" t="n"/>
    </row>
    <row r="99" ht="30" customHeight="1">
      <c r="A99" s="27" t="inlineStr">
        <is>
          <t>BL-BOOK-033</t>
        </is>
      </c>
      <c r="B99" s="28" t="inlineStr">
        <is>
          <t>Booking</t>
        </is>
      </c>
      <c r="C99" s="28" t="inlineStr">
        <is>
          <t>Fee quote</t>
        </is>
      </c>
      <c r="D99" s="28" t="inlineStr">
        <is>
          <t>Follow-up visit</t>
        </is>
      </c>
      <c r="E99" s="28" t="inlineStr">
        <is>
          <t>Book the same doctor again for a follow-up-eligible patient</t>
        </is>
      </c>
      <c r="F99" s="28" t="inlineStr">
        <is>
          <t>'Visit: Follow-up (reduced fee)' and the reduced total.</t>
        </is>
      </c>
      <c r="G99" s="29" t="inlineStr">
        <is>
          <t>P1</t>
        </is>
      </c>
      <c r="H99" s="29" t="inlineStr">
        <is>
          <t>Rule</t>
        </is>
      </c>
      <c r="I99" s="30" t="inlineStr">
        <is>
          <t>lib/features/booking/presentation/screen/booking_screen.dart:959</t>
        </is>
      </c>
      <c r="J99" s="29" t="n"/>
      <c r="K99" s="31" t="inlineStr">
        <is>
          <t>Not Run</t>
        </is>
      </c>
      <c r="L99" s="32" t="n"/>
      <c r="M99" s="33" t="n"/>
      <c r="N99" s="32" t="n"/>
      <c r="O99" s="32" t="n"/>
      <c r="P99" s="32" t="n"/>
      <c r="Q99" s="32" t="n"/>
    </row>
    <row r="100" ht="30" customHeight="1">
      <c r="A100" s="27" t="inlineStr">
        <is>
          <t>BL-BOOK-034</t>
        </is>
      </c>
      <c r="B100" s="28" t="inlineStr">
        <is>
          <t>Booking</t>
        </is>
      </c>
      <c r="C100" s="28" t="inlineStr">
        <is>
          <t>Fee quote</t>
        </is>
      </c>
      <c r="D100" s="28" t="inlineStr">
        <is>
          <t>Pay stays disabled without a quote</t>
        </is>
      </c>
      <c r="E100" s="28" t="inlineStr">
        <is>
          <t>Cut the network on step 4</t>
        </is>
      </c>
      <c r="F100" s="28" t="inlineStr">
        <is>
          <t>Inline error with Retry; 'Pay ₹…' disabled.</t>
        </is>
      </c>
      <c r="G100" s="29" t="inlineStr">
        <is>
          <t>P1</t>
        </is>
      </c>
      <c r="H100" s="29" t="inlineStr">
        <is>
          <t>Error handling</t>
        </is>
      </c>
      <c r="I100" s="30" t="inlineStr">
        <is>
          <t>lib/features/booking/presentation/screen/booking_screen.dart:400</t>
        </is>
      </c>
      <c r="J100" s="29" t="n"/>
      <c r="K100" s="31" t="inlineStr">
        <is>
          <t>Not Run</t>
        </is>
      </c>
      <c r="L100" s="32" t="n"/>
      <c r="M100" s="33" t="n"/>
      <c r="N100" s="32" t="n"/>
      <c r="O100" s="32" t="n"/>
      <c r="P100" s="32" t="n"/>
      <c r="Q100" s="32" t="n"/>
    </row>
    <row r="101" ht="43" customHeight="1">
      <c r="A101" s="27" t="inlineStr">
        <is>
          <t>BL-BOOK-035</t>
        </is>
      </c>
      <c r="B101" s="28" t="inlineStr">
        <is>
          <t>Booking</t>
        </is>
      </c>
      <c r="C101" s="28" t="inlineStr">
        <is>
          <t>Fee quote</t>
        </is>
      </c>
      <c r="D101" s="28" t="inlineStr">
        <is>
          <t>Amount charged vs amount quoted</t>
        </is>
      </c>
      <c r="E101" s="28" t="inlineStr">
        <is>
          <t>1. Book a slot on a date priced differently from today (if the hospital has date-based pricing)
2. Compare step 4 total with the payment screen total</t>
        </is>
      </c>
      <c r="F101" s="28" t="inlineStr">
        <is>
          <t>Confirm intended: the payment screen charges the booking's own fee snapshot, which can differ from the step-4 quote.</t>
        </is>
      </c>
      <c r="G101" s="29" t="inlineStr">
        <is>
          <t>P1</t>
        </is>
      </c>
      <c r="H101" s="29" t="inlineStr">
        <is>
          <t>Verify gap</t>
        </is>
      </c>
      <c r="I101" s="30" t="inlineStr">
        <is>
          <t>lib/features/payment/presentation/screen/payment_screen.dart:300</t>
        </is>
      </c>
      <c r="J101" s="29" t="n"/>
      <c r="K101" s="31" t="inlineStr">
        <is>
          <t>Not Run</t>
        </is>
      </c>
      <c r="L101" s="32" t="n"/>
      <c r="M101" s="33" t="n"/>
      <c r="N101" s="32" t="n"/>
      <c r="O101" s="32" t="n"/>
      <c r="P101" s="32" t="n"/>
      <c r="Q101" s="32" t="n"/>
    </row>
    <row r="102" ht="30" customHeight="1">
      <c r="A102" s="27" t="inlineStr">
        <is>
          <t>BL-BOOK-036</t>
        </is>
      </c>
      <c r="B102" s="28" t="inlineStr">
        <is>
          <t>Booking</t>
        </is>
      </c>
      <c r="C102" s="28" t="inlineStr">
        <is>
          <t>Coupon</t>
        </is>
      </c>
      <c r="D102" s="28" t="inlineStr">
        <is>
          <t>Code input rules</t>
        </is>
      </c>
      <c r="E102" s="28" t="inlineStr">
        <is>
          <t>Type '  welcome-10 '</t>
        </is>
      </c>
      <c r="F102" s="28" t="inlineStr">
        <is>
          <t>Only letters and digits accepted (max 64); sent as 'WELCOME10'.</t>
        </is>
      </c>
      <c r="G102" s="29" t="inlineStr">
        <is>
          <t>P2</t>
        </is>
      </c>
      <c r="H102" s="29" t="inlineStr">
        <is>
          <t>Boundary</t>
        </is>
      </c>
      <c r="I102" s="30" t="inlineStr">
        <is>
          <t>lib/features/booking/presentation/components/coupon_field.dart:128</t>
        </is>
      </c>
      <c r="J102" s="29" t="n"/>
      <c r="K102" s="31" t="inlineStr">
        <is>
          <t>Not Run</t>
        </is>
      </c>
      <c r="L102" s="32" t="n"/>
      <c r="M102" s="33" t="n"/>
      <c r="N102" s="32" t="n"/>
      <c r="O102" s="32" t="n"/>
      <c r="P102" s="32" t="n"/>
      <c r="Q102" s="32" t="n"/>
    </row>
    <row r="103" ht="30" customHeight="1">
      <c r="A103" s="27" t="inlineStr">
        <is>
          <t>BL-BOOK-037</t>
        </is>
      </c>
      <c r="B103" s="28" t="inlineStr">
        <is>
          <t>Booking</t>
        </is>
      </c>
      <c r="C103" s="28" t="inlineStr">
        <is>
          <t>Coupon</t>
        </is>
      </c>
      <c r="D103" s="28" t="inlineStr">
        <is>
          <t>Valid coupon</t>
        </is>
      </c>
      <c r="E103" s="28" t="inlineStr">
        <is>
          <t>1. Apply a valid code
2. Remove it</t>
        </is>
      </c>
      <c r="F103" s="28" t="inlineStr">
        <is>
          <t>'&lt;CODE&gt; applied', '₹X off', a green '− ₹X' row and reduced total; Remove restores the price.</t>
        </is>
      </c>
      <c r="G103" s="29" t="inlineStr">
        <is>
          <t>P0</t>
        </is>
      </c>
      <c r="H103" s="29" t="inlineStr">
        <is>
          <t>Calculation</t>
        </is>
      </c>
      <c r="I103" s="30" t="inlineStr">
        <is>
          <t>lib/features/booking/presentation/components/coupon_field.dart:173</t>
        </is>
      </c>
      <c r="J103" s="29" t="n"/>
      <c r="K103" s="31" t="inlineStr">
        <is>
          <t>Not Run</t>
        </is>
      </c>
      <c r="L103" s="32" t="n"/>
      <c r="M103" s="33" t="n"/>
      <c r="N103" s="32" t="n"/>
      <c r="O103" s="32" t="n"/>
      <c r="P103" s="32" t="n"/>
      <c r="Q103" s="32" t="n"/>
    </row>
    <row r="104" ht="43" customHeight="1">
      <c r="A104" s="27" t="inlineStr">
        <is>
          <t>BL-BOOK-038</t>
        </is>
      </c>
      <c r="B104" s="28" t="inlineStr">
        <is>
          <t>Booking</t>
        </is>
      </c>
      <c r="C104" s="28" t="inlineStr">
        <is>
          <t>Coupon</t>
        </is>
      </c>
      <c r="D104" s="28" t="inlineStr">
        <is>
          <t>Refused coupon keeps the price</t>
        </is>
      </c>
      <c r="E104" s="28" t="inlineStr">
        <is>
          <t>Apply an unknown, an expired, a below-minimum and a used-up code</t>
        </is>
      </c>
      <c r="F104" s="28" t="inlineStr">
        <is>
          <t>'That coupon code is not valid.' / 'That coupon has expired.' / 'The order is below the minimum for that coupon.' / 'That coupon has been used up.'; total unchanged.</t>
        </is>
      </c>
      <c r="G104" s="29" t="inlineStr">
        <is>
          <t>P0</t>
        </is>
      </c>
      <c r="H104" s="29" t="inlineStr">
        <is>
          <t>Error handling</t>
        </is>
      </c>
      <c r="I104" s="30" t="inlineStr">
        <is>
          <t>lib/features/booking/presentation/components/coupon_field.dart:82</t>
        </is>
      </c>
      <c r="J104" s="29" t="n"/>
      <c r="K104" s="31" t="inlineStr">
        <is>
          <t>Not Run</t>
        </is>
      </c>
      <c r="L104" s="32" t="n"/>
      <c r="M104" s="33" t="n"/>
      <c r="N104" s="32" t="n"/>
      <c r="O104" s="32" t="n"/>
      <c r="P104" s="32" t="n"/>
      <c r="Q104" s="32" t="n"/>
    </row>
    <row r="105" ht="30" customHeight="1">
      <c r="A105" s="27" t="inlineStr">
        <is>
          <t>BL-BOOK-039</t>
        </is>
      </c>
      <c r="B105" s="28" t="inlineStr">
        <is>
          <t>Booking</t>
        </is>
      </c>
      <c r="C105" s="28" t="inlineStr">
        <is>
          <t>Coupon</t>
        </is>
      </c>
      <c r="D105" s="28" t="inlineStr">
        <is>
          <t>A refused code is never sent with the booking</t>
        </is>
      </c>
      <c r="E105" s="28" t="inlineStr">
        <is>
          <t>1. Apply an invalid code
2. Tap Pay</t>
        </is>
      </c>
      <c r="F105" s="28" t="inlineStr">
        <is>
          <t>Booking proceeds at full price without the code.</t>
        </is>
      </c>
      <c r="G105" s="29" t="inlineStr">
        <is>
          <t>P1</t>
        </is>
      </c>
      <c r="H105" s="29" t="inlineStr">
        <is>
          <t>Rule</t>
        </is>
      </c>
      <c r="I105" s="30" t="inlineStr">
        <is>
          <t>lib/features/booking/presentation/screen/booking_screen.dart:279</t>
        </is>
      </c>
      <c r="J105" s="29" t="n"/>
      <c r="K105" s="31" t="inlineStr">
        <is>
          <t>Not Run</t>
        </is>
      </c>
      <c r="L105" s="32" t="n"/>
      <c r="M105" s="33" t="n"/>
      <c r="N105" s="32" t="n"/>
      <c r="O105" s="32" t="n"/>
      <c r="P105" s="32" t="n"/>
      <c r="Q105" s="32" t="n"/>
    </row>
    <row r="106" ht="43" customHeight="1">
      <c r="A106" s="27" t="inlineStr">
        <is>
          <t>BL-BOOK-040</t>
        </is>
      </c>
      <c r="B106" s="28" t="inlineStr">
        <is>
          <t>Booking</t>
        </is>
      </c>
      <c r="C106" s="28" t="inlineStr">
        <is>
          <t>Coupon</t>
        </is>
      </c>
      <c r="D106" s="28" t="inlineStr">
        <is>
          <t>Coupon refused at booking time</t>
        </is>
      </c>
      <c r="E106" s="28" t="inlineStr">
        <is>
          <t>1. Apply a valid code
2. Exhaust it elsewhere
3. Tap Pay</t>
        </is>
      </c>
      <c r="F106" s="28" t="inlineStr">
        <is>
          <t>Toast (e.g. 'That coupon has been used up.'), coupon removed, quote reloads without the discount, nothing booked.</t>
        </is>
      </c>
      <c r="G106" s="29" t="inlineStr">
        <is>
          <t>P1</t>
        </is>
      </c>
      <c r="H106" s="29" t="inlineStr">
        <is>
          <t>Error handling</t>
        </is>
      </c>
      <c r="I106" s="30" t="inlineStr">
        <is>
          <t>lib/features/booking/presentation/screen/booking_screen.dart:305</t>
        </is>
      </c>
      <c r="J106" s="29" t="n"/>
      <c r="K106" s="31" t="inlineStr">
        <is>
          <t>Not Run</t>
        </is>
      </c>
      <c r="L106" s="32" t="n"/>
      <c r="M106" s="33" t="n"/>
      <c r="N106" s="32" t="n"/>
      <c r="O106" s="32" t="n"/>
      <c r="P106" s="32" t="n"/>
      <c r="Q106" s="32" t="n"/>
    </row>
    <row r="107" ht="43" customHeight="1">
      <c r="A107" s="27" t="inlineStr">
        <is>
          <t>BL-BOOK-041</t>
        </is>
      </c>
      <c r="B107" s="28" t="inlineStr">
        <is>
          <t>Booking</t>
        </is>
      </c>
      <c r="C107" s="28" t="inlineStr">
        <is>
          <t>Coupon</t>
        </is>
      </c>
      <c r="D107" s="28" t="inlineStr">
        <is>
          <t>Coupon survives a change of doctor</t>
        </is>
      </c>
      <c r="E107" s="28" t="inlineStr">
        <is>
          <t>1. Apply a coupon
2. Change the doctor
3. Return to step 4</t>
        </is>
      </c>
      <c r="F107" s="28" t="inlineStr">
        <is>
          <t>New doctor's quote is requested with the same code.</t>
        </is>
      </c>
      <c r="G107" s="29" t="inlineStr">
        <is>
          <t>P3</t>
        </is>
      </c>
      <c r="H107" s="29" t="inlineStr">
        <is>
          <t>State</t>
        </is>
      </c>
      <c r="I107" s="30" t="inlineStr">
        <is>
          <t>lib/features/booking/presentation/screen/booking_screen.dart:970</t>
        </is>
      </c>
      <c r="J107" s="29" t="n"/>
      <c r="K107" s="31" t="inlineStr">
        <is>
          <t>Not Run</t>
        </is>
      </c>
      <c r="L107" s="32" t="n"/>
      <c r="M107" s="33" t="n"/>
      <c r="N107" s="32" t="n"/>
      <c r="O107" s="32" t="n"/>
      <c r="P107" s="32" t="n"/>
      <c r="Q107" s="32" t="n"/>
    </row>
    <row r="108" ht="43" customHeight="1">
      <c r="A108" s="27" t="inlineStr">
        <is>
          <t>BL-BOOK-042</t>
        </is>
      </c>
      <c r="B108" s="28" t="inlineStr">
        <is>
          <t>Booking</t>
        </is>
      </c>
      <c r="C108" s="28" t="inlineStr">
        <is>
          <t>Submit &amp; idempotency</t>
        </is>
      </c>
      <c r="D108" s="28" t="inlineStr">
        <is>
          <t>One booking per Pay</t>
        </is>
      </c>
      <c r="E108" s="28" t="inlineStr">
        <is>
          <t>Double-tap Pay</t>
        </is>
      </c>
      <c r="F108" s="28" t="inlineStr">
        <is>
          <t>Exactly one booking request.</t>
        </is>
      </c>
      <c r="G108" s="29" t="inlineStr">
        <is>
          <t>P0</t>
        </is>
      </c>
      <c r="H108" s="29" t="inlineStr">
        <is>
          <t>Rule</t>
        </is>
      </c>
      <c r="I108" s="30" t="inlineStr">
        <is>
          <t>lib/features/booking/application/providers/booking_providers.dart:104</t>
        </is>
      </c>
      <c r="J108" s="29" t="n"/>
      <c r="K108" s="31" t="inlineStr">
        <is>
          <t>Not Run</t>
        </is>
      </c>
      <c r="L108" s="32" t="n"/>
      <c r="M108" s="33" t="n"/>
      <c r="N108" s="32" t="n"/>
      <c r="O108" s="32" t="n"/>
      <c r="P108" s="32" t="n"/>
      <c r="Q108" s="32" t="n"/>
    </row>
    <row r="109" ht="43" customHeight="1">
      <c r="A109" s="27" t="inlineStr">
        <is>
          <t>BL-BOOK-043</t>
        </is>
      </c>
      <c r="B109" s="28" t="inlineStr">
        <is>
          <t>Booking</t>
        </is>
      </c>
      <c r="C109" s="28" t="inlineStr">
        <is>
          <t>Submit &amp; idempotency</t>
        </is>
      </c>
      <c r="D109" s="28" t="inlineStr">
        <is>
          <t>Retry of the same request reuses the key</t>
        </is>
      </c>
      <c r="E109" s="28" t="inlineStr">
        <is>
          <t>1. Make Pay time out
2. Tap Pay again
3. Then edit the notes and tap Pay</t>
        </is>
      </c>
      <c r="F109" s="28" t="inlineStr">
        <is>
          <t>Second call carries the same Idempotency-Key; the edited one carries a new key. At most one booking for the slot.</t>
        </is>
      </c>
      <c r="G109" s="29" t="inlineStr">
        <is>
          <t>P0</t>
        </is>
      </c>
      <c r="H109" s="29" t="inlineStr">
        <is>
          <t>Rule</t>
        </is>
      </c>
      <c r="I109" s="30" t="inlineStr">
        <is>
          <t>lib/features/booking/application/providers/booking_providers.dart:109</t>
        </is>
      </c>
      <c r="J109" s="29" t="n"/>
      <c r="K109" s="31" t="inlineStr">
        <is>
          <t>Not Run</t>
        </is>
      </c>
      <c r="L109" s="32" t="n"/>
      <c r="M109" s="33" t="n"/>
      <c r="N109" s="32" t="n"/>
      <c r="O109" s="32" t="n"/>
      <c r="P109" s="32" t="n"/>
      <c r="Q109" s="32" t="n"/>
    </row>
    <row r="110" ht="43" customHeight="1">
      <c r="A110" s="27" t="inlineStr">
        <is>
          <t>BL-BOOK-044</t>
        </is>
      </c>
      <c r="B110" s="28" t="inlineStr">
        <is>
          <t>Booking</t>
        </is>
      </c>
      <c r="C110" s="28" t="inlineStr">
        <is>
          <t>Submit &amp; idempotency</t>
        </is>
      </c>
      <c r="D110" s="28" t="inlineStr">
        <is>
          <t>Returning from payment resumes the same booking</t>
        </is>
      </c>
      <c r="E110" s="28" t="inlineStr">
        <is>
          <t>1. Tap Pay
2. Back out of the payment screen
3. Tap 'Complete payment'</t>
        </is>
      </c>
      <c r="F110" s="28" t="inlineStr">
        <is>
          <t>No second booking; payment screen for the same reference.</t>
        </is>
      </c>
      <c r="G110" s="29" t="inlineStr">
        <is>
          <t>P0</t>
        </is>
      </c>
      <c r="H110" s="29" t="inlineStr">
        <is>
          <t>State</t>
        </is>
      </c>
      <c r="I110" s="30" t="inlineStr">
        <is>
          <t>lib/features/booking/application/providers/booking_providers.dart:105</t>
        </is>
      </c>
      <c r="J110" s="29" t="n"/>
      <c r="K110" s="31" t="inlineStr">
        <is>
          <t>Not Run</t>
        </is>
      </c>
      <c r="L110" s="32" t="n"/>
      <c r="M110" s="33" t="n"/>
      <c r="N110" s="32" t="n"/>
      <c r="O110" s="32" t="n"/>
      <c r="P110" s="32" t="n"/>
      <c r="Q110" s="32" t="n"/>
    </row>
    <row r="111" ht="56" customHeight="1">
      <c r="A111" s="27" t="inlineStr">
        <is>
          <t>BL-BOOK-045</t>
        </is>
      </c>
      <c r="B111" s="28" t="inlineStr">
        <is>
          <t>Booking</t>
        </is>
      </c>
      <c r="C111" s="28" t="inlineStr">
        <is>
          <t>Submit &amp; idempotency</t>
        </is>
      </c>
      <c r="D111" s="28" t="inlineStr">
        <is>
          <t>Changing the draft after a booking exists</t>
        </is>
      </c>
      <c r="E111" s="28" t="inlineStr">
        <is>
          <t>1. Tap Pay
2. Back out
3. Change the slot, patient or coupon on earlier steps
4. Tap 'Complete payment'</t>
        </is>
      </c>
      <c r="F111" s="28" t="inlineStr">
        <is>
          <t>The user must not be misled. The code resumes the ORIGINAL booking while the summary shows the new choices.</t>
        </is>
      </c>
      <c r="G111" s="29" t="inlineStr">
        <is>
          <t>P0</t>
        </is>
      </c>
      <c r="H111" s="29" t="inlineStr">
        <is>
          <t>Verify gap</t>
        </is>
      </c>
      <c r="I111" s="30" t="inlineStr">
        <is>
          <t>lib/features/booking/application/providers/booking_providers.dart:105</t>
        </is>
      </c>
      <c r="J111" s="29" t="n"/>
      <c r="K111" s="31" t="inlineStr">
        <is>
          <t>Not Run</t>
        </is>
      </c>
      <c r="L111" s="32" t="n"/>
      <c r="M111" s="33" t="n"/>
      <c r="N111" s="32" t="n"/>
      <c r="O111" s="32" t="n"/>
      <c r="P111" s="32" t="n"/>
      <c r="Q111" s="32" t="n"/>
    </row>
    <row r="112" ht="56" customHeight="1">
      <c r="A112" s="27" t="inlineStr">
        <is>
          <t>BL-BOOK-046</t>
        </is>
      </c>
      <c r="B112" s="28" t="inlineStr">
        <is>
          <t>Booking</t>
        </is>
      </c>
      <c r="C112" s="28" t="inlineStr">
        <is>
          <t>Booking errors</t>
        </is>
      </c>
      <c r="D112" s="28" t="inlineStr">
        <is>
          <t>Slot taken / no tokens left</t>
        </is>
      </c>
      <c r="E112" s="28" t="inlineStr">
        <is>
          <t>1. Book a slot another user just took
2. Book into a session with no tokens left</t>
        </is>
      </c>
      <c r="F112" s="28" t="inlineStr">
        <is>
          <t>'That slot was just taken or is no longer open. Please pick another time.' / 'No tokens are left for that session. Please pick another session.'; back on step 3 with doctor and patient kept, fresh slots.</t>
        </is>
      </c>
      <c r="G112" s="29" t="inlineStr">
        <is>
          <t>P0</t>
        </is>
      </c>
      <c r="H112" s="29" t="inlineStr">
        <is>
          <t>Error handling</t>
        </is>
      </c>
      <c r="I112" s="30" t="inlineStr">
        <is>
          <t>lib/features/booking/presentation/screen/booking_screen.dart:299</t>
        </is>
      </c>
      <c r="J112" s="29" t="n"/>
      <c r="K112" s="31" t="inlineStr">
        <is>
          <t>Not Run</t>
        </is>
      </c>
      <c r="L112" s="32" t="n"/>
      <c r="M112" s="33" t="n"/>
      <c r="N112" s="32" t="n"/>
      <c r="O112" s="32" t="n"/>
      <c r="P112" s="32" t="n"/>
      <c r="Q112" s="32" t="n"/>
    </row>
    <row r="113" ht="30" customHeight="1">
      <c r="A113" s="27" t="inlineStr">
        <is>
          <t>BL-BOOK-047</t>
        </is>
      </c>
      <c r="B113" s="28" t="inlineStr">
        <is>
          <t>Booking</t>
        </is>
      </c>
      <c r="C113" s="28" t="inlineStr">
        <is>
          <t>Booking errors</t>
        </is>
      </c>
      <c r="D113" s="28" t="inlineStr">
        <is>
          <t>Retry button on a booking error</t>
        </is>
      </c>
      <c r="E113" s="28" t="inlineStr">
        <is>
          <t>1. Tap Pay in airplane mode
2. Tap the inline Retry</t>
        </is>
      </c>
      <c r="F113" s="28" t="inlineStr">
        <is>
          <t>Decide what is correct: Retry only hides the error; the user must tap Pay again.</t>
        </is>
      </c>
      <c r="G113" s="29" t="inlineStr">
        <is>
          <t>P3</t>
        </is>
      </c>
      <c r="H113" s="29" t="inlineStr">
        <is>
          <t>Verify gap</t>
        </is>
      </c>
      <c r="I113" s="30" t="inlineStr">
        <is>
          <t>lib/features/booking/presentation/screen/booking_screen.dart:1029</t>
        </is>
      </c>
      <c r="J113" s="29" t="n"/>
      <c r="K113" s="31" t="inlineStr">
        <is>
          <t>Not Run</t>
        </is>
      </c>
      <c r="L113" s="32" t="n"/>
      <c r="M113" s="33" t="n"/>
      <c r="N113" s="32" t="n"/>
      <c r="O113" s="32" t="n"/>
      <c r="P113" s="32" t="n"/>
      <c r="Q113" s="32" t="n"/>
    </row>
    <row r="114" ht="56" customHeight="1">
      <c r="A114" s="27" t="inlineStr">
        <is>
          <t>BL-BOOK-048</t>
        </is>
      </c>
      <c r="B114" s="28" t="inlineStr">
        <is>
          <t>Booking</t>
        </is>
      </c>
      <c r="C114" s="28" t="inlineStr">
        <is>
          <t>Booking errors</t>
        </is>
      </c>
      <c r="D114" s="28" t="inlineStr">
        <is>
          <t>Gateway down and other failures</t>
        </is>
      </c>
      <c r="E114" s="28" t="inlineStr">
        <is>
          <t>Simulate 503 on booking, a timeout, and a malformed 201</t>
        </is>
      </c>
      <c r="F114" s="28" t="inlineStr">
        <is>
          <t>'A service we depend on is temporarily unavailable…' / 'This is taking longer than usual…' / 'We could not read the response from our server…'; never a navigation to payment.</t>
        </is>
      </c>
      <c r="G114" s="29" t="inlineStr">
        <is>
          <t>P1</t>
        </is>
      </c>
      <c r="H114" s="29" t="inlineStr">
        <is>
          <t>Error handling</t>
        </is>
      </c>
      <c r="I114" s="30" t="inlineStr">
        <is>
          <t>lib/core/network/network_exceptions.dart:505</t>
        </is>
      </c>
      <c r="J114" s="29" t="n"/>
      <c r="K114" s="31" t="inlineStr">
        <is>
          <t>Not Run</t>
        </is>
      </c>
      <c r="L114" s="32" t="n"/>
      <c r="M114" s="33" t="n"/>
      <c r="N114" s="32" t="n"/>
      <c r="O114" s="32" t="n"/>
      <c r="P114" s="32" t="n"/>
      <c r="Q114" s="32" t="n"/>
    </row>
    <row r="115" ht="43" customHeight="1">
      <c r="A115" s="27" t="inlineStr">
        <is>
          <t>BL-PAY-001</t>
        </is>
      </c>
      <c r="B115" s="28" t="inlineStr">
        <is>
          <t>Payment</t>
        </is>
      </c>
      <c r="C115" s="28" t="inlineStr">
        <is>
          <t>Countdown &amp; deadline</t>
        </is>
      </c>
      <c r="D115" s="28" t="inlineStr">
        <is>
          <t>Timer shows true remaining time</t>
        </is>
      </c>
      <c r="E115" s="28" t="inlineStr">
        <is>
          <t>1. Open payment
2. Background the app for 2 minutes
3. Return</t>
        </is>
      </c>
      <c r="F115" s="28" t="inlineStr">
        <is>
          <t>'Slot held for mm:ss' reflects real elapsed time; turns red in the last minute.</t>
        </is>
      </c>
      <c r="G115" s="29" t="inlineStr">
        <is>
          <t>P0</t>
        </is>
      </c>
      <c r="H115" s="29" t="inlineStr">
        <is>
          <t>Calculation</t>
        </is>
      </c>
      <c r="I115" s="30" t="inlineStr">
        <is>
          <t>lib/features/payment/application/states/payment_flow_state.dart:96</t>
        </is>
      </c>
      <c r="J115" s="29" t="inlineStr">
        <is>
          <t>KB-02</t>
        </is>
      </c>
      <c r="K115" s="31" t="inlineStr">
        <is>
          <t>Not Run</t>
        </is>
      </c>
      <c r="L115" s="32" t="n"/>
      <c r="M115" s="33" t="n"/>
      <c r="N115" s="32" t="n"/>
      <c r="O115" s="32" t="n"/>
      <c r="P115" s="32" t="n"/>
      <c r="Q115" s="32" t="n"/>
    </row>
    <row r="116" ht="43" customHeight="1">
      <c r="A116" s="27" t="inlineStr">
        <is>
          <t>BL-PAY-002</t>
        </is>
      </c>
      <c r="B116" s="28" t="inlineStr">
        <is>
          <t>Payment</t>
        </is>
      </c>
      <c r="C116" s="28" t="inlineStr">
        <is>
          <t>Countdown &amp; deadline</t>
        </is>
      </c>
      <c r="D116" s="28" t="inlineStr">
        <is>
          <t>Expiry while on the payment screen</t>
        </is>
      </c>
      <c r="E116" s="28" t="inlineStr">
        <is>
          <t>Let the timer reach 00:00</t>
        </is>
      </c>
      <c r="F116" s="28" t="inlineStr">
        <is>
          <t>'The payment window closed' with Book again / Back to Home; underneath: 'Unpaid bookings are released after 5 minutes… Nothing has been charged.'</t>
        </is>
      </c>
      <c r="G116" s="29" t="inlineStr">
        <is>
          <t>P0</t>
        </is>
      </c>
      <c r="H116" s="29" t="inlineStr">
        <is>
          <t>State</t>
        </is>
      </c>
      <c r="I116" s="30" t="inlineStr">
        <is>
          <t>lib/features/payment/application/providers/payment_providers.dart:328</t>
        </is>
      </c>
      <c r="J116" s="29" t="n"/>
      <c r="K116" s="31" t="inlineStr">
        <is>
          <t>Not Run</t>
        </is>
      </c>
      <c r="L116" s="32" t="n"/>
      <c r="M116" s="33" t="n"/>
      <c r="N116" s="32" t="n"/>
      <c r="O116" s="32" t="n"/>
      <c r="P116" s="32" t="n"/>
      <c r="Q116" s="32" t="n"/>
    </row>
    <row r="117" ht="43" customHeight="1">
      <c r="A117" s="27" t="inlineStr">
        <is>
          <t>BL-PAY-003</t>
        </is>
      </c>
      <c r="B117" s="28" t="inlineStr">
        <is>
          <t>Payment</t>
        </is>
      </c>
      <c r="C117" s="28" t="inlineStr">
        <is>
          <t>Countdown &amp; deadline</t>
        </is>
      </c>
      <c r="D117" s="28" t="inlineStr">
        <is>
          <t>Expired screen names the booking</t>
        </is>
      </c>
      <c r="E117" s="28" t="inlineStr">
        <is>
          <t>Let the timer expire and read the result body</t>
        </is>
      </c>
      <c r="F117" s="28" t="inlineStr">
        <is>
          <t>It should describe the lapsed booking. The code shows 'There is no booking attached to this outcome in this session.'</t>
        </is>
      </c>
      <c r="G117" s="29" t="inlineStr">
        <is>
          <t>P3</t>
        </is>
      </c>
      <c r="H117" s="29" t="inlineStr">
        <is>
          <t>Verify gap</t>
        </is>
      </c>
      <c r="I117" s="30" t="inlineStr">
        <is>
          <t>lib/features/payment/presentation/screen/payment_result_screen.dart:145</t>
        </is>
      </c>
      <c r="J117" s="29" t="n"/>
      <c r="K117" s="31" t="inlineStr">
        <is>
          <t>Not Run</t>
        </is>
      </c>
      <c r="L117" s="32" t="n"/>
      <c r="M117" s="33" t="n"/>
      <c r="N117" s="32" t="n"/>
      <c r="O117" s="32" t="n"/>
      <c r="P117" s="32" t="n"/>
      <c r="Q117" s="32" t="n"/>
    </row>
    <row r="118" ht="30" customHeight="1">
      <c r="A118" s="27" t="inlineStr">
        <is>
          <t>BL-PAY-004</t>
        </is>
      </c>
      <c r="B118" s="28" t="inlineStr">
        <is>
          <t>Payment</t>
        </is>
      </c>
      <c r="C118" s="28" t="inlineStr">
        <is>
          <t>Countdown &amp; deadline</t>
        </is>
      </c>
      <c r="D118" s="28" t="inlineStr">
        <is>
          <t>Pay and retry are refused after the deadline</t>
        </is>
      </c>
      <c r="E118" s="28" t="inlineStr">
        <is>
          <t>1. Wait past the deadline
2. Tap Pay / Try again</t>
        </is>
      </c>
      <c r="F118" s="28" t="inlineStr">
        <is>
          <t>No Razorpay sheet; expired outcome.</t>
        </is>
      </c>
      <c r="G118" s="29" t="inlineStr">
        <is>
          <t>P0</t>
        </is>
      </c>
      <c r="H118" s="29" t="inlineStr">
        <is>
          <t>Boundary</t>
        </is>
      </c>
      <c r="I118" s="30" t="inlineStr">
        <is>
          <t>lib/features/payment/application/providers/payment_providers.dart:94</t>
        </is>
      </c>
      <c r="J118" s="29" t="n"/>
      <c r="K118" s="31" t="inlineStr">
        <is>
          <t>Not Run</t>
        </is>
      </c>
      <c r="L118" s="32" t="n"/>
      <c r="M118" s="33" t="n"/>
      <c r="N118" s="32" t="n"/>
      <c r="O118" s="32" t="n"/>
      <c r="P118" s="32" t="n"/>
      <c r="Q118" s="32" t="n"/>
    </row>
    <row r="119" ht="43" customHeight="1">
      <c r="A119" s="27" t="inlineStr">
        <is>
          <t>BL-PAY-005</t>
        </is>
      </c>
      <c r="B119" s="28" t="inlineStr">
        <is>
          <t>Payment</t>
        </is>
      </c>
      <c r="C119" s="28" t="inlineStr">
        <is>
          <t>Countdown &amp; deadline</t>
        </is>
      </c>
      <c r="D119" s="28" t="inlineStr">
        <is>
          <t>Timer expiring while the Razorpay sheet is open</t>
        </is>
      </c>
      <c r="E119" s="28" t="inlineStr">
        <is>
          <t>1. Open the sheet with seconds left
2. Complete the payment just after 00:00</t>
        </is>
      </c>
      <c r="F119" s="28" t="inlineStr">
        <is>
          <t>The final screen must reflect what happened to the money. The code can leave the user on 'The payment window closed' after they actually paid.</t>
        </is>
      </c>
      <c r="G119" s="29" t="inlineStr">
        <is>
          <t>P0</t>
        </is>
      </c>
      <c r="H119" s="29" t="inlineStr">
        <is>
          <t>Verify gap</t>
        </is>
      </c>
      <c r="I119" s="30" t="inlineStr">
        <is>
          <t>lib/features/payment/presentation/screen/payment_screen.dart:130</t>
        </is>
      </c>
      <c r="J119" s="29" t="inlineStr">
        <is>
          <t>KB-02</t>
        </is>
      </c>
      <c r="K119" s="31" t="inlineStr">
        <is>
          <t>Not Run</t>
        </is>
      </c>
      <c r="L119" s="32" t="n"/>
      <c r="M119" s="33" t="n"/>
      <c r="N119" s="32" t="n"/>
      <c r="O119" s="32" t="n"/>
      <c r="P119" s="32" t="n"/>
      <c r="Q119" s="32" t="n"/>
    </row>
    <row r="120" ht="30" customHeight="1">
      <c r="A120" s="27" t="inlineStr">
        <is>
          <t>BL-PAY-006</t>
        </is>
      </c>
      <c r="B120" s="28" t="inlineStr">
        <is>
          <t>Payment</t>
        </is>
      </c>
      <c r="C120" s="28" t="inlineStr">
        <is>
          <t>Countdown &amp; deadline</t>
        </is>
      </c>
      <c r="D120" s="28" t="inlineStr">
        <is>
          <t>Retry does not extend the deadline</t>
        </is>
      </c>
      <c r="E120" s="28" t="inlineStr">
        <is>
          <t>1. Fail a payment
2. Try again</t>
        </is>
      </c>
      <c r="F120" s="28" t="inlineStr">
        <is>
          <t>'Attempt 2 — the deadline above has not changed.'; countdown continues.</t>
        </is>
      </c>
      <c r="G120" s="29" t="inlineStr">
        <is>
          <t>P1</t>
        </is>
      </c>
      <c r="H120" s="29" t="inlineStr">
        <is>
          <t>Rule</t>
        </is>
      </c>
      <c r="I120" s="30" t="inlineStr">
        <is>
          <t>lib/features/payment/presentation/screen/payment_screen.dart:321</t>
        </is>
      </c>
      <c r="J120" s="29" t="inlineStr">
        <is>
          <t>KB-02</t>
        </is>
      </c>
      <c r="K120" s="31" t="inlineStr">
        <is>
          <t>Not Run</t>
        </is>
      </c>
      <c r="L120" s="32" t="n"/>
      <c r="M120" s="33" t="n"/>
      <c r="N120" s="32" t="n"/>
      <c r="O120" s="32" t="n"/>
      <c r="P120" s="32" t="n"/>
      <c r="Q120" s="32" t="n"/>
    </row>
    <row r="121" ht="43" customHeight="1">
      <c r="A121" s="27" t="inlineStr">
        <is>
          <t>BL-PAY-007</t>
        </is>
      </c>
      <c r="B121" s="28" t="inlineStr">
        <is>
          <t>Payment</t>
        </is>
      </c>
      <c r="C121" s="28" t="inlineStr">
        <is>
          <t>Razorpay checkout</t>
        </is>
      </c>
      <c r="D121" s="28" t="inlineStr">
        <is>
          <t>Sheet is opened with the order's values</t>
        </is>
      </c>
      <c r="E121" s="28" t="inlineStr">
        <is>
          <t>Tap 'Pay ₹X'</t>
        </is>
      </c>
      <c r="F121" s="28" t="inlineStr">
        <is>
          <t>Sheet shows the same amount, 'Medibook', the booking reference, and the user's contact prefilled.</t>
        </is>
      </c>
      <c r="G121" s="29" t="inlineStr">
        <is>
          <t>P0</t>
        </is>
      </c>
      <c r="H121" s="29" t="inlineStr">
        <is>
          <t>Data mapping</t>
        </is>
      </c>
      <c r="I121" s="30" t="inlineStr">
        <is>
          <t>lib/features/payment/infrastructure/data_sources/remote/razorpay_checkout_gateway.dart:42</t>
        </is>
      </c>
      <c r="J121" s="29" t="inlineStr">
        <is>
          <t>KB-02</t>
        </is>
      </c>
      <c r="K121" s="31" t="inlineStr">
        <is>
          <t>Not Run</t>
        </is>
      </c>
      <c r="L121" s="32" t="n"/>
      <c r="M121" s="33" t="n"/>
      <c r="N121" s="32" t="n"/>
      <c r="O121" s="32" t="n"/>
      <c r="P121" s="32" t="n"/>
      <c r="Q121" s="32" t="n"/>
    </row>
    <row r="122" ht="43" customHeight="1">
      <c r="A122" s="27" t="inlineStr">
        <is>
          <t>BL-PAY-008</t>
        </is>
      </c>
      <c r="B122" s="28" t="inlineStr">
        <is>
          <t>Payment</t>
        </is>
      </c>
      <c r="C122" s="28" t="inlineStr">
        <is>
          <t>Razorpay checkout</t>
        </is>
      </c>
      <c r="D122" s="28" t="inlineStr">
        <is>
          <t>Gateway not set up</t>
        </is>
      </c>
      <c r="E122" s="28" t="inlineStr">
        <is>
          <t>Use a hospital whose order has no key</t>
        </is>
      </c>
      <c r="F122" s="28" t="inlineStr">
        <is>
          <t>'Online payment is not set up for this hospital yet… Nothing has been charged.'; sheet does not open.</t>
        </is>
      </c>
      <c r="G122" s="29" t="inlineStr">
        <is>
          <t>P1</t>
        </is>
      </c>
      <c r="H122" s="29" t="inlineStr">
        <is>
          <t>Error handling</t>
        </is>
      </c>
      <c r="I122" s="30" t="inlineStr">
        <is>
          <t>lib/features/payment/application/providers/payment_providers.dart:101</t>
        </is>
      </c>
      <c r="J122" s="29" t="n"/>
      <c r="K122" s="31" t="inlineStr">
        <is>
          <t>Not Run</t>
        </is>
      </c>
      <c r="L122" s="32" t="n"/>
      <c r="M122" s="33" t="n"/>
      <c r="N122" s="32" t="n"/>
      <c r="O122" s="32" t="n"/>
      <c r="P122" s="32" t="n"/>
      <c r="Q122" s="32" t="n"/>
    </row>
    <row r="123" ht="43" customHeight="1">
      <c r="A123" s="27" t="inlineStr">
        <is>
          <t>BL-PAY-009</t>
        </is>
      </c>
      <c r="B123" s="28" t="inlineStr">
        <is>
          <t>Payment</t>
        </is>
      </c>
      <c r="C123" s="28" t="inlineStr">
        <is>
          <t>Razorpay checkout</t>
        </is>
      </c>
      <c r="D123" s="28" t="inlineStr">
        <is>
          <t>Closing the sheet is not a failed payment</t>
        </is>
      </c>
      <c r="E123" s="28" t="inlineStr">
        <is>
          <t>1. Open the sheet
2. Dismiss it
3. Tap Pay again</t>
        </is>
      </c>
      <c r="F123" s="28" t="inlineStr">
        <is>
          <t>'You closed the payment sheet before paying. Nothing has been charged.'; same order reopens (no new attempt).</t>
        </is>
      </c>
      <c r="G123" s="29" t="inlineStr">
        <is>
          <t>P0</t>
        </is>
      </c>
      <c r="H123" s="29" t="inlineStr">
        <is>
          <t>State</t>
        </is>
      </c>
      <c r="I123" s="30" t="inlineStr">
        <is>
          <t>lib/features/payment/presentation/screen/payment_screen.dart:126</t>
        </is>
      </c>
      <c r="J123" s="29" t="inlineStr">
        <is>
          <t>KB-02</t>
        </is>
      </c>
      <c r="K123" s="31" t="inlineStr">
        <is>
          <t>Not Run</t>
        </is>
      </c>
      <c r="L123" s="32" t="n"/>
      <c r="M123" s="33" t="n"/>
      <c r="N123" s="32" t="n"/>
      <c r="O123" s="32" t="n"/>
      <c r="P123" s="32" t="n"/>
      <c r="Q123" s="32" t="n"/>
    </row>
    <row r="124" ht="43" customHeight="1">
      <c r="A124" s="27" t="inlineStr">
        <is>
          <t>BL-PAY-010</t>
        </is>
      </c>
      <c r="B124" s="28" t="inlineStr">
        <is>
          <t>Payment</t>
        </is>
      </c>
      <c r="C124" s="28" t="inlineStr">
        <is>
          <t>Razorpay checkout</t>
        </is>
      </c>
      <c r="D124" s="28" t="inlineStr">
        <is>
          <t>Failure reasons</t>
        </is>
      </c>
      <c r="E124" s="28" t="inlineStr">
        <is>
          <t>1. Use a declined test card
2. Drop the network inside the sheet</t>
        </is>
      </c>
      <c r="F124" s="28" t="inlineStr">
        <is>
          <t>'The bank declined this payment. No money has left your account.' / 'The payment could not reach the bank. Check your connection and try again.'</t>
        </is>
      </c>
      <c r="G124" s="29" t="inlineStr">
        <is>
          <t>P1</t>
        </is>
      </c>
      <c r="H124" s="29" t="inlineStr">
        <is>
          <t>Error handling</t>
        </is>
      </c>
      <c r="I124" s="30" t="inlineStr">
        <is>
          <t>lib/features/payment/infrastructure/data_sources/remote/razorpay_checkout_gateway.dart:99</t>
        </is>
      </c>
      <c r="J124" s="29" t="inlineStr">
        <is>
          <t>KB-02</t>
        </is>
      </c>
      <c r="K124" s="31" t="inlineStr">
        <is>
          <t>Not Run</t>
        </is>
      </c>
      <c r="L124" s="32" t="n"/>
      <c r="M124" s="33" t="n"/>
      <c r="N124" s="32" t="n"/>
      <c r="O124" s="32" t="n"/>
      <c r="P124" s="32" t="n"/>
      <c r="Q124" s="32" t="n"/>
    </row>
    <row r="125" ht="30" customHeight="1">
      <c r="A125" s="27" t="inlineStr">
        <is>
          <t>BL-PAY-011</t>
        </is>
      </c>
      <c r="B125" s="28" t="inlineStr">
        <is>
          <t>Payment</t>
        </is>
      </c>
      <c r="C125" s="28" t="inlineStr">
        <is>
          <t>Razorpay checkout</t>
        </is>
      </c>
      <c r="D125" s="28" t="inlineStr">
        <is>
          <t>No double charge from repeated taps</t>
        </is>
      </c>
      <c r="E125" s="28" t="inlineStr">
        <is>
          <t>Tap Pay repeatedly while it is working</t>
        </is>
      </c>
      <c r="F125" s="28" t="inlineStr">
        <is>
          <t>One sheet; 'You will not be charged twice — tapping again while this is running does nothing.'</t>
        </is>
      </c>
      <c r="G125" s="29" t="inlineStr">
        <is>
          <t>P0</t>
        </is>
      </c>
      <c r="H125" s="29" t="inlineStr">
        <is>
          <t>Rule</t>
        </is>
      </c>
      <c r="I125" s="30" t="inlineStr">
        <is>
          <t>lib/features/payment/application/providers/payment_providers.dart:91</t>
        </is>
      </c>
      <c r="J125" s="29" t="inlineStr">
        <is>
          <t>KB-02</t>
        </is>
      </c>
      <c r="K125" s="31" t="inlineStr">
        <is>
          <t>Not Run</t>
        </is>
      </c>
      <c r="L125" s="32" t="n"/>
      <c r="M125" s="33" t="n"/>
      <c r="N125" s="32" t="n"/>
      <c r="O125" s="32" t="n"/>
      <c r="P125" s="32" t="n"/>
      <c r="Q125" s="32" t="n"/>
    </row>
    <row r="126" ht="43" customHeight="1">
      <c r="A126" s="27" t="inlineStr">
        <is>
          <t>BL-PAY-012</t>
        </is>
      </c>
      <c r="B126" s="28" t="inlineStr">
        <is>
          <t>Payment</t>
        </is>
      </c>
      <c r="C126" s="28" t="inlineStr">
        <is>
          <t>Razorpay checkout</t>
        </is>
      </c>
      <c r="D126" s="28" t="inlineStr">
        <is>
          <t>External wallet / UPI app hand-off</t>
        </is>
      </c>
      <c r="E126" s="28" t="inlineStr">
        <is>
          <t>Pay through an external app and return</t>
        </is>
      </c>
      <c r="F126" s="28" t="inlineStr">
        <is>
          <t>'Checking payment status…' then success if paid, else the Pay button again.</t>
        </is>
      </c>
      <c r="G126" s="29" t="inlineStr">
        <is>
          <t>P1</t>
        </is>
      </c>
      <c r="H126" s="29" t="inlineStr">
        <is>
          <t>State</t>
        </is>
      </c>
      <c r="I126" s="30" t="inlineStr">
        <is>
          <t>lib/features/payment/application/providers/payment_providers.dart:152</t>
        </is>
      </c>
      <c r="J126" s="29" t="inlineStr">
        <is>
          <t>KB-02</t>
        </is>
      </c>
      <c r="K126" s="31" t="inlineStr">
        <is>
          <t>Not Run</t>
        </is>
      </c>
      <c r="L126" s="32" t="n"/>
      <c r="M126" s="33" t="n"/>
      <c r="N126" s="32" t="n"/>
      <c r="O126" s="32" t="n"/>
      <c r="P126" s="32" t="n"/>
      <c r="Q126" s="32" t="n"/>
    </row>
    <row r="127" ht="43" customHeight="1">
      <c r="A127" s="27" t="inlineStr">
        <is>
          <t>BL-PAY-013</t>
        </is>
      </c>
      <c r="B127" s="28" t="inlineStr">
        <is>
          <t>Payment</t>
        </is>
      </c>
      <c r="C127" s="28" t="inlineStr">
        <is>
          <t>Verification</t>
        </is>
      </c>
      <c r="D127" s="28" t="inlineStr">
        <is>
          <t>Outcome after a successful payment</t>
        </is>
      </c>
      <c r="E127" s="28" t="inlineStr">
        <is>
          <t>Pay at an auto-confirm hospital, a manual-approval hospital, and after the deadline</t>
        </is>
      </c>
      <c r="F127" s="28" t="inlineStr">
        <is>
          <t>'Payment successful' / 'Paid — awaiting hospital confirmation' / 'Payment received too late'.</t>
        </is>
      </c>
      <c r="G127" s="29" t="inlineStr">
        <is>
          <t>P0</t>
        </is>
      </c>
      <c r="H127" s="29" t="inlineStr">
        <is>
          <t>State</t>
        </is>
      </c>
      <c r="I127" s="30" t="inlineStr">
        <is>
          <t>lib/features/payment/application/providers/payment_providers.dart:183</t>
        </is>
      </c>
      <c r="J127" s="29" t="inlineStr">
        <is>
          <t>KB-02</t>
        </is>
      </c>
      <c r="K127" s="31" t="inlineStr">
        <is>
          <t>Not Run</t>
        </is>
      </c>
      <c r="L127" s="32" t="n"/>
      <c r="M127" s="33" t="n"/>
      <c r="N127" s="32" t="n"/>
      <c r="O127" s="32" t="n"/>
      <c r="P127" s="32" t="n"/>
      <c r="Q127" s="32" t="n"/>
    </row>
    <row r="128" ht="43" customHeight="1">
      <c r="A128" s="27" t="inlineStr">
        <is>
          <t>BL-PAY-014</t>
        </is>
      </c>
      <c r="B128" s="28" t="inlineStr">
        <is>
          <t>Payment</t>
        </is>
      </c>
      <c r="C128" s="28" t="inlineStr">
        <is>
          <t>Verification</t>
        </is>
      </c>
      <c r="D128" s="28" t="inlineStr">
        <is>
          <t>Signature failure</t>
        </is>
      </c>
      <c r="E128" s="28" t="inlineStr">
        <is>
          <t>Tamper with the verify request</t>
        </is>
      </c>
      <c r="F128" s="28" t="inlineStr">
        <is>
          <t>'The payment could not be verified. If money left your account it will be refunded automatically.'</t>
        </is>
      </c>
      <c r="G128" s="29" t="inlineStr">
        <is>
          <t>P1</t>
        </is>
      </c>
      <c r="H128" s="29" t="inlineStr">
        <is>
          <t>Error handling</t>
        </is>
      </c>
      <c r="I128" s="30" t="inlineStr">
        <is>
          <t>lib/features/payment/application/providers/payment_providers.dart:196</t>
        </is>
      </c>
      <c r="J128" s="29" t="inlineStr">
        <is>
          <t>KB-02</t>
        </is>
      </c>
      <c r="K128" s="31" t="inlineStr">
        <is>
          <t>Not Run</t>
        </is>
      </c>
      <c r="L128" s="32" t="n"/>
      <c r="M128" s="33" t="n"/>
      <c r="N128" s="32" t="n"/>
      <c r="O128" s="32" t="n"/>
      <c r="P128" s="32" t="n"/>
      <c r="Q128" s="32" t="n"/>
    </row>
    <row r="129" ht="56" customHeight="1">
      <c r="A129" s="27" t="inlineStr">
        <is>
          <t>BL-PAY-015</t>
        </is>
      </c>
      <c r="B129" s="28" t="inlineStr">
        <is>
          <t>Payment</t>
        </is>
      </c>
      <c r="C129" s="28" t="inlineStr">
        <is>
          <t>Verification</t>
        </is>
      </c>
      <c r="D129" s="28" t="inlineStr">
        <is>
          <t>Network drop right after paying</t>
        </is>
      </c>
      <c r="E129" s="28" t="inlineStr">
        <is>
          <t>1. Pay successfully
2. Go offline before the app confirms it</t>
        </is>
      </c>
      <c r="F129" s="28" t="inlineStr">
        <is>
          <t>User must not be told nothing was charged. The code shows 'Payment failed — Nothing has been charged' and offers a new payment (the server's already-paid answer is the only protection).</t>
        </is>
      </c>
      <c r="G129" s="29" t="inlineStr">
        <is>
          <t>P0</t>
        </is>
      </c>
      <c r="H129" s="29" t="inlineStr">
        <is>
          <t>Verify gap</t>
        </is>
      </c>
      <c r="I129" s="30" t="inlineStr">
        <is>
          <t>lib/features/payment/application/providers/payment_providers.dart:195</t>
        </is>
      </c>
      <c r="J129" s="29" t="inlineStr">
        <is>
          <t>KB-02</t>
        </is>
      </c>
      <c r="K129" s="31" t="inlineStr">
        <is>
          <t>Not Run</t>
        </is>
      </c>
      <c r="L129" s="32" t="n"/>
      <c r="M129" s="33" t="n"/>
      <c r="N129" s="32" t="n"/>
      <c r="O129" s="32" t="n"/>
      <c r="P129" s="32" t="n"/>
      <c r="Q129" s="32" t="n"/>
    </row>
    <row r="130" ht="43" customHeight="1">
      <c r="A130" s="27" t="inlineStr">
        <is>
          <t>BL-PAY-016</t>
        </is>
      </c>
      <c r="B130" s="28" t="inlineStr">
        <is>
          <t>Payment</t>
        </is>
      </c>
      <c r="C130" s="28" t="inlineStr">
        <is>
          <t>Verification</t>
        </is>
      </c>
      <c r="D130" s="28" t="inlineStr">
        <is>
          <t>Payment detected without the verify call</t>
        </is>
      </c>
      <c r="E130" s="28" t="inlineStr">
        <is>
          <t>Pay, background the app before it confirms, and return (or pay via webhook)</t>
        </is>
      </c>
      <c r="F130" s="28" t="inlineStr">
        <is>
          <t>Success screen without a second charge.</t>
        </is>
      </c>
      <c r="G130" s="29" t="inlineStr">
        <is>
          <t>P0</t>
        </is>
      </c>
      <c r="H130" s="29" t="inlineStr">
        <is>
          <t>State</t>
        </is>
      </c>
      <c r="I130" s="30" t="inlineStr">
        <is>
          <t>lib/features/payment/application/providers/payment_providers.dart:290</t>
        </is>
      </c>
      <c r="J130" s="29" t="inlineStr">
        <is>
          <t>KB-02</t>
        </is>
      </c>
      <c r="K130" s="31" t="inlineStr">
        <is>
          <t>Not Run</t>
        </is>
      </c>
      <c r="L130" s="32" t="n"/>
      <c r="M130" s="33" t="n"/>
      <c r="N130" s="32" t="n"/>
      <c r="O130" s="32" t="n"/>
      <c r="P130" s="32" t="n"/>
      <c r="Q130" s="32" t="n"/>
    </row>
    <row r="131" ht="43" customHeight="1">
      <c r="A131" s="27" t="inlineStr">
        <is>
          <t>BL-PAY-017</t>
        </is>
      </c>
      <c r="B131" s="28" t="inlineStr">
        <is>
          <t>Payment</t>
        </is>
      </c>
      <c r="C131" s="28" t="inlineStr">
        <is>
          <t>Verification</t>
        </is>
      </c>
      <c r="D131" s="28" t="inlineStr">
        <is>
          <t>Manual-approval hospital detected by polling</t>
        </is>
      </c>
      <c r="E131" s="28" t="inlineStr">
        <is>
          <t>At a manual-approval hospital, have the payment picked up on resume rather than by direct confirmation</t>
        </is>
      </c>
      <c r="F131" s="28" t="inlineStr">
        <is>
          <t>It should say awaiting confirmation. The code shows 'Payment successful / confirmed' with status 'pending payment' and no method/date rows.</t>
        </is>
      </c>
      <c r="G131" s="29" t="inlineStr">
        <is>
          <t>P1</t>
        </is>
      </c>
      <c r="H131" s="29" t="inlineStr">
        <is>
          <t>Verify gap</t>
        </is>
      </c>
      <c r="I131" s="30" t="inlineStr">
        <is>
          <t>lib/features/payment/application/providers/payment_providers.dart:291</t>
        </is>
      </c>
      <c r="J131" s="29" t="inlineStr">
        <is>
          <t>KB-02</t>
        </is>
      </c>
      <c r="K131" s="31" t="inlineStr">
        <is>
          <t>Not Run</t>
        </is>
      </c>
      <c r="L131" s="32" t="n"/>
      <c r="M131" s="33" t="n"/>
      <c r="N131" s="32" t="n"/>
      <c r="O131" s="32" t="n"/>
      <c r="P131" s="32" t="n"/>
      <c r="Q131" s="32" t="n"/>
    </row>
    <row r="132" ht="43" customHeight="1">
      <c r="A132" s="27" t="inlineStr">
        <is>
          <t>BL-PAY-018</t>
        </is>
      </c>
      <c r="B132" s="28" t="inlineStr">
        <is>
          <t>Payment</t>
        </is>
      </c>
      <c r="C132" s="28" t="inlineStr">
        <is>
          <t>Verification</t>
        </is>
      </c>
      <c r="D132" s="28" t="inlineStr">
        <is>
          <t>App killed during checkout</t>
        </is>
      </c>
      <c r="E132" s="28" t="inlineStr">
        <is>
          <t>1. Pay in the UPI app
2. Kill Medibook
3. Relaunch</t>
        </is>
      </c>
      <c r="F132" s="28" t="inlineStr">
        <is>
          <t>The booking shows as paid. The code has no automatic recovery on cold start; check the appointment list and 'Retry payment' path show 'This booking is already paid'.</t>
        </is>
      </c>
      <c r="G132" s="29" t="inlineStr">
        <is>
          <t>P0</t>
        </is>
      </c>
      <c r="H132" s="29" t="inlineStr">
        <is>
          <t>Verify gap</t>
        </is>
      </c>
      <c r="I132" s="30" t="inlineStr">
        <is>
          <t>lib/features/payment/presentation/screen/payment_screen.dart:210</t>
        </is>
      </c>
      <c r="J132" s="29" t="inlineStr">
        <is>
          <t>KB-02</t>
        </is>
      </c>
      <c r="K132" s="31" t="inlineStr">
        <is>
          <t>Not Run</t>
        </is>
      </c>
      <c r="L132" s="32" t="n"/>
      <c r="M132" s="33" t="n"/>
      <c r="N132" s="32" t="n"/>
      <c r="O132" s="32" t="n"/>
      <c r="P132" s="32" t="n"/>
      <c r="Q132" s="32" t="n"/>
    </row>
    <row r="133" ht="43" customHeight="1">
      <c r="A133" s="27" t="inlineStr">
        <is>
          <t>BL-PAY-019</t>
        </is>
      </c>
      <c r="B133" s="28" t="inlineStr">
        <is>
          <t>Payment</t>
        </is>
      </c>
      <c r="C133" s="28" t="inlineStr">
        <is>
          <t>Retry</t>
        </is>
      </c>
      <c r="D133" s="28" t="inlineStr">
        <is>
          <t>Try again creates a new order and opens the sheet</t>
        </is>
      </c>
      <c r="E133" s="28" t="inlineStr">
        <is>
          <t>1. Decline a payment
2. 'Try again' on the result
3. 'Try again — ₹X'</t>
        </is>
      </c>
      <c r="F133" s="28" t="inlineStr">
        <is>
          <t>New order, attempt count up by one, sheet opens without another tap.</t>
        </is>
      </c>
      <c r="G133" s="29" t="inlineStr">
        <is>
          <t>P0</t>
        </is>
      </c>
      <c r="H133" s="29" t="inlineStr">
        <is>
          <t>State</t>
        </is>
      </c>
      <c r="I133" s="30" t="inlineStr">
        <is>
          <t>lib/features/payment/application/providers/payment_providers.dart:229</t>
        </is>
      </c>
      <c r="J133" s="29" t="inlineStr">
        <is>
          <t>KB-02</t>
        </is>
      </c>
      <c r="K133" s="31" t="inlineStr">
        <is>
          <t>Not Run</t>
        </is>
      </c>
      <c r="L133" s="32" t="n"/>
      <c r="M133" s="33" t="n"/>
      <c r="N133" s="32" t="n"/>
      <c r="O133" s="32" t="n"/>
      <c r="P133" s="32" t="n"/>
      <c r="Q133" s="32" t="n"/>
    </row>
    <row r="134" ht="43" customHeight="1">
      <c r="A134" s="27" t="inlineStr">
        <is>
          <t>BL-PAY-020</t>
        </is>
      </c>
      <c r="B134" s="28" t="inlineStr">
        <is>
          <t>Payment</t>
        </is>
      </c>
      <c r="C134" s="28" t="inlineStr">
        <is>
          <t>Retry</t>
        </is>
      </c>
      <c r="D134" s="28" t="inlineStr">
        <is>
          <t>Retry when already paid / after auto-cancel</t>
        </is>
      </c>
      <c r="E134" s="28" t="inlineStr">
        <is>
          <t>1. Retry after the money was captured
2. Retry after the booking was auto-cancelled</t>
        </is>
      </c>
      <c r="F134" s="28" t="inlineStr">
        <is>
          <t>Success screen / 'The payment window closed'.</t>
        </is>
      </c>
      <c r="G134" s="29" t="inlineStr">
        <is>
          <t>P1</t>
        </is>
      </c>
      <c r="H134" s="29" t="inlineStr">
        <is>
          <t>Error handling</t>
        </is>
      </c>
      <c r="I134" s="30" t="inlineStr">
        <is>
          <t>lib/features/payment/application/providers/payment_providers.dart:251</t>
        </is>
      </c>
      <c r="J134" s="29" t="inlineStr">
        <is>
          <t>KB-02</t>
        </is>
      </c>
      <c r="K134" s="31" t="inlineStr">
        <is>
          <t>Not Run</t>
        </is>
      </c>
      <c r="L134" s="32" t="n"/>
      <c r="M134" s="33" t="n"/>
      <c r="N134" s="32" t="n"/>
      <c r="O134" s="32" t="n"/>
      <c r="P134" s="32" t="n"/>
      <c r="Q134" s="32" t="n"/>
    </row>
    <row r="135" ht="43" customHeight="1">
      <c r="A135" s="27" t="inlineStr">
        <is>
          <t>BL-PAY-021</t>
        </is>
      </c>
      <c r="B135" s="28" t="inlineStr">
        <is>
          <t>Payment</t>
        </is>
      </c>
      <c r="C135" s="28" t="inlineStr">
        <is>
          <t>Retry</t>
        </is>
      </c>
      <c r="D135" s="28" t="inlineStr">
        <is>
          <t>Leaving and re-entering payment after a retry</t>
        </is>
      </c>
      <c r="E135" s="28" t="inlineStr">
        <is>
          <t>1. Retry once (new order)
2. Back out to step 4
3. Tap 'Complete payment'</t>
        </is>
      </c>
      <c r="F135" s="28" t="inlineStr">
        <is>
          <t>It should continue with the latest order. The code restarts from the original, superseded order.</t>
        </is>
      </c>
      <c r="G135" s="29" t="inlineStr">
        <is>
          <t>P1</t>
        </is>
      </c>
      <c r="H135" s="29" t="inlineStr">
        <is>
          <t>Verify gap</t>
        </is>
      </c>
      <c r="I135" s="30" t="inlineStr">
        <is>
          <t>lib/features/booking/application/providers/booking_providers.dart:158</t>
        </is>
      </c>
      <c r="J135" s="29" t="inlineStr">
        <is>
          <t>KB-02</t>
        </is>
      </c>
      <c r="K135" s="31" t="inlineStr">
        <is>
          <t>Not Run</t>
        </is>
      </c>
      <c r="L135" s="32" t="n"/>
      <c r="M135" s="33" t="n"/>
      <c r="N135" s="32" t="n"/>
      <c r="O135" s="32" t="n"/>
      <c r="P135" s="32" t="n"/>
      <c r="Q135" s="32" t="n"/>
    </row>
    <row r="136" ht="43" customHeight="1">
      <c r="A136" s="27" t="inlineStr">
        <is>
          <t>BL-PAY-022</t>
        </is>
      </c>
      <c r="B136" s="28" t="inlineStr">
        <is>
          <t>Payment</t>
        </is>
      </c>
      <c r="C136" s="28" t="inlineStr">
        <is>
          <t>Result &amp; resume</t>
        </is>
      </c>
      <c r="D136" s="28" t="inlineStr">
        <is>
          <t>Result screen content</t>
        </is>
      </c>
      <c r="E136" s="28" t="inlineStr">
        <is>
          <t>Complete a UPI payment</t>
        </is>
      </c>
      <c r="F136" s="28" t="inlineStr">
        <is>
          <t>Token (or 'Assigned by the hospital'), booking reference, date/time in hospital time; Paid amount, Method 'UPI', date, Status 'Confirmed'.</t>
        </is>
      </c>
      <c r="G136" s="29" t="inlineStr">
        <is>
          <t>P0</t>
        </is>
      </c>
      <c r="H136" s="29" t="inlineStr">
        <is>
          <t>Data mapping</t>
        </is>
      </c>
      <c r="I136" s="30" t="inlineStr">
        <is>
          <t>lib/features/payment/presentation/screen/payment_result_screen.dart:320</t>
        </is>
      </c>
      <c r="J136" s="29" t="inlineStr">
        <is>
          <t>KB-02</t>
        </is>
      </c>
      <c r="K136" s="31" t="inlineStr">
        <is>
          <t>Not Run</t>
        </is>
      </c>
      <c r="L136" s="32" t="n"/>
      <c r="M136" s="33" t="n"/>
      <c r="N136" s="32" t="n"/>
      <c r="O136" s="32" t="n"/>
      <c r="P136" s="32" t="n"/>
      <c r="Q136" s="32" t="n"/>
    </row>
    <row r="137" ht="43" customHeight="1">
      <c r="A137" s="27" t="inlineStr">
        <is>
          <t>BL-PAY-023</t>
        </is>
      </c>
      <c r="B137" s="28" t="inlineStr">
        <is>
          <t>Payment</t>
        </is>
      </c>
      <c r="C137" s="28" t="inlineStr">
        <is>
          <t>Result &amp; resume</t>
        </is>
      </c>
      <c r="D137" s="28" t="inlineStr">
        <is>
          <t>Paid-on time uses the hospital's zone</t>
        </is>
      </c>
      <c r="E137" s="28" t="inlineStr">
        <is>
          <t>1. Pay with the device in another time zone
2. Read the 'On' row</t>
        </is>
      </c>
      <c r="F137" s="28" t="inlineStr">
        <is>
          <t>Should match hospital time like the rest of the screen. The code uses device time for this row.</t>
        </is>
      </c>
      <c r="G137" s="29" t="inlineStr">
        <is>
          <t>P3</t>
        </is>
      </c>
      <c r="H137" s="29" t="inlineStr">
        <is>
          <t>Verify gap</t>
        </is>
      </c>
      <c r="I137" s="30" t="inlineStr">
        <is>
          <t>lib/features/payment/presentation/screen/payment_result_screen.dart:320</t>
        </is>
      </c>
      <c r="J137" s="29" t="inlineStr">
        <is>
          <t>KB-02</t>
        </is>
      </c>
      <c r="K137" s="31" t="inlineStr">
        <is>
          <t>Not Run</t>
        </is>
      </c>
      <c r="L137" s="32" t="n"/>
      <c r="M137" s="33" t="n"/>
      <c r="N137" s="32" t="n"/>
      <c r="O137" s="32" t="n"/>
      <c r="P137" s="32" t="n"/>
      <c r="Q137" s="32" t="n"/>
    </row>
    <row r="138" ht="43" customHeight="1">
      <c r="A138" s="27" t="inlineStr">
        <is>
          <t>BL-PAY-024</t>
        </is>
      </c>
      <c r="B138" s="28" t="inlineStr">
        <is>
          <t>Payment</t>
        </is>
      </c>
      <c r="C138" s="28" t="inlineStr">
        <is>
          <t>Result &amp; resume</t>
        </is>
      </c>
      <c r="D138" s="28" t="inlineStr">
        <is>
          <t>Late payment</t>
        </is>
      </c>
      <c r="E138" s="28" t="inlineStr">
        <is>
          <t>Pay after the deadline</t>
        </is>
      </c>
      <c r="F138" s="28" t="inlineStr">
        <is>
          <t>'Refund initiated — ₹X will be returned to the account you paid from. Booking &lt;ref&gt; is cancelled (payment timeout).'</t>
        </is>
      </c>
      <c r="G138" s="29" t="inlineStr">
        <is>
          <t>P0</t>
        </is>
      </c>
      <c r="H138" s="29" t="inlineStr">
        <is>
          <t>State</t>
        </is>
      </c>
      <c r="I138" s="30" t="inlineStr">
        <is>
          <t>lib/features/payment/presentation/screen/payment_result_screen.dart:408</t>
        </is>
      </c>
      <c r="J138" s="29" t="inlineStr">
        <is>
          <t>KB-02</t>
        </is>
      </c>
      <c r="K138" s="31" t="inlineStr">
        <is>
          <t>Not Run</t>
        </is>
      </c>
      <c r="L138" s="32" t="n"/>
      <c r="M138" s="33" t="n"/>
      <c r="N138" s="32" t="n"/>
      <c r="O138" s="32" t="n"/>
      <c r="P138" s="32" t="n"/>
      <c r="Q138" s="32" t="n"/>
    </row>
    <row r="139" ht="43" customHeight="1">
      <c r="A139" s="27" t="inlineStr">
        <is>
          <t>BL-PAY-025</t>
        </is>
      </c>
      <c r="B139" s="28" t="inlineStr">
        <is>
          <t>Payment</t>
        </is>
      </c>
      <c r="C139" s="28" t="inlineStr">
        <is>
          <t>Result &amp; resume</t>
        </is>
      </c>
      <c r="D139" s="28" t="inlineStr">
        <is>
          <t>Result link opened cold or with a bad status</t>
        </is>
      </c>
      <c r="E139" s="28" t="inlineStr">
        <is>
          <t>Open the result link after a restart with status=success, with status=foo, and with no status</t>
        </is>
      </c>
      <c r="F139" s="28" t="inlineStr">
        <is>
          <t>'This payment was made in an earlier session…' / 'Unknown payment status' / pending layout.</t>
        </is>
      </c>
      <c r="G139" s="29" t="inlineStr">
        <is>
          <t>P2</t>
        </is>
      </c>
      <c r="H139" s="29" t="inlineStr">
        <is>
          <t>Error handling</t>
        </is>
      </c>
      <c r="I139" s="30" t="inlineStr">
        <is>
          <t>lib/features/payment/presentation/screen/payment_result_screen.dart:64</t>
        </is>
      </c>
      <c r="J139" s="29" t="n"/>
      <c r="K139" s="31" t="inlineStr">
        <is>
          <t>Not Run</t>
        </is>
      </c>
      <c r="L139" s="32" t="n"/>
      <c r="M139" s="33" t="n"/>
      <c r="N139" s="32" t="n"/>
      <c r="O139" s="32" t="n"/>
      <c r="P139" s="32" t="n"/>
      <c r="Q139" s="32" t="n"/>
    </row>
    <row r="140" ht="43" customHeight="1">
      <c r="A140" s="27" t="inlineStr">
        <is>
          <t>BL-PAY-026</t>
        </is>
      </c>
      <c r="B140" s="28" t="inlineStr">
        <is>
          <t>Payment</t>
        </is>
      </c>
      <c r="C140" s="28" t="inlineStr">
        <is>
          <t>Result &amp; resume</t>
        </is>
      </c>
      <c r="D140" s="28" t="inlineStr">
        <is>
          <t>Resume payment from Appointments</t>
        </is>
      </c>
      <c r="E140" s="28" t="inlineStr">
        <is>
          <t>1. Open a pending-payment appointment
2. Retry payment</t>
        </is>
      </c>
      <c r="F140" s="28" t="inlineStr">
        <is>
          <t>Payment screen with the countdown for that booking; an already-paid one says 'This booking is already paid'.</t>
        </is>
      </c>
      <c r="G140" s="29" t="inlineStr">
        <is>
          <t>P0</t>
        </is>
      </c>
      <c r="H140" s="29" t="inlineStr">
        <is>
          <t>State</t>
        </is>
      </c>
      <c r="I140" s="30" t="inlineStr">
        <is>
          <t>lib/features/payment/infrastructure/repositories/payment_repository_impl.dart:65</t>
        </is>
      </c>
      <c r="J140" s="29" t="inlineStr">
        <is>
          <t>KB-02</t>
        </is>
      </c>
      <c r="K140" s="31" t="inlineStr">
        <is>
          <t>Not Run</t>
        </is>
      </c>
      <c r="L140" s="32" t="n"/>
      <c r="M140" s="33" t="n"/>
      <c r="N140" s="32" t="n"/>
      <c r="O140" s="32" t="n"/>
      <c r="P140" s="32" t="n"/>
      <c r="Q140" s="32" t="n"/>
    </row>
    <row r="141" ht="43" customHeight="1">
      <c r="A141" s="27" t="inlineStr">
        <is>
          <t>BL-PAY-027</t>
        </is>
      </c>
      <c r="B141" s="28" t="inlineStr">
        <is>
          <t>Payment</t>
        </is>
      </c>
      <c r="C141" s="28" t="inlineStr">
        <is>
          <t>Result &amp; resume</t>
        </is>
      </c>
      <c r="D141" s="28" t="inlineStr">
        <is>
          <t>Leaving the payment screen</t>
        </is>
      </c>
      <c r="E141" s="28" t="inlineStr">
        <is>
          <t>1. Press Back before paying
2. Press Back while it says 'Confirming payment…'</t>
        </is>
      </c>
      <c r="F141" s="28" t="inlineStr">
        <is>
          <t>'Leave payment?' dialog before paying. While confirming, leaving should be blocked or confirmed — the code lets Back leave with no dialog exactly then.</t>
        </is>
      </c>
      <c r="G141" s="29" t="inlineStr">
        <is>
          <t>P1</t>
        </is>
      </c>
      <c r="H141" s="29" t="inlineStr">
        <is>
          <t>Verify gap</t>
        </is>
      </c>
      <c r="I141" s="30" t="inlineStr">
        <is>
          <t>lib/features/payment/presentation/screen/payment_screen.dart:257</t>
        </is>
      </c>
      <c r="J141" s="29" t="inlineStr">
        <is>
          <t>KB-02</t>
        </is>
      </c>
      <c r="K141" s="31" t="inlineStr">
        <is>
          <t>Not Run</t>
        </is>
      </c>
      <c r="L141" s="32" t="n"/>
      <c r="M141" s="33" t="n"/>
      <c r="N141" s="32" t="n"/>
      <c r="O141" s="32" t="n"/>
      <c r="P141" s="32" t="n"/>
      <c r="Q141" s="32" t="n"/>
    </row>
    <row r="142" ht="43" customHeight="1">
      <c r="A142" s="27" t="inlineStr">
        <is>
          <t>BL-PAY-028</t>
        </is>
      </c>
      <c r="B142" s="28" t="inlineStr">
        <is>
          <t>Payment</t>
        </is>
      </c>
      <c r="C142" s="28" t="inlineStr">
        <is>
          <t>Result &amp; resume</t>
        </is>
      </c>
      <c r="D142" s="28" t="inlineStr">
        <is>
          <t>Book again after expiry</t>
        </is>
      </c>
      <c r="E142" s="28" t="inlineStr">
        <is>
          <t>1. Let the timer expire
2. Tap 'Book again' on the result screen
3. Repeat using 'Book again' on the payment screen</t>
        </is>
      </c>
      <c r="F142" s="28" t="inlineStr">
        <is>
          <t>Both should behave the same. The code keeps doctor and patient from the payment screen but starts an empty booking from the result screen.</t>
        </is>
      </c>
      <c r="G142" s="29" t="inlineStr">
        <is>
          <t>P2</t>
        </is>
      </c>
      <c r="H142" s="29" t="inlineStr">
        <is>
          <t>Verify gap</t>
        </is>
      </c>
      <c r="I142" s="30" t="inlineStr">
        <is>
          <t>lib/features/payment/presentation/screen/payment_result_screen.dart:499</t>
        </is>
      </c>
      <c r="J142" s="29" t="n"/>
      <c r="K142" s="31" t="inlineStr">
        <is>
          <t>Not Run</t>
        </is>
      </c>
      <c r="L142" s="32" t="n"/>
      <c r="M142" s="33" t="n"/>
      <c r="N142" s="32" t="n"/>
      <c r="O142" s="32" t="n"/>
      <c r="P142" s="32" t="n"/>
      <c r="Q142" s="32" t="n"/>
    </row>
    <row r="143" ht="43" customHeight="1">
      <c r="A143" s="27" t="inlineStr">
        <is>
          <t>BL-PAY-029</t>
        </is>
      </c>
      <c r="B143" s="28" t="inlineStr">
        <is>
          <t>Payment</t>
        </is>
      </c>
      <c r="C143" s="28" t="inlineStr">
        <is>
          <t>Result &amp; resume</t>
        </is>
      </c>
      <c r="D143" s="28" t="inlineStr">
        <is>
          <t>Booking success screen (/success)</t>
        </is>
      </c>
      <c r="E143" s="28" t="inlineStr">
        <is>
          <t>1. Complete a booking and note which confirmation screen appears
2. Open the /success link directly</t>
        </is>
      </c>
      <c r="F143" s="28" t="inlineStr">
        <is>
          <t>Confirm with the owner: nothing in the app navigates to the token-card success screen; it is reachable only by link.</t>
        </is>
      </c>
      <c r="G143" s="29" t="inlineStr">
        <is>
          <t>P3</t>
        </is>
      </c>
      <c r="H143" s="29" t="inlineStr">
        <is>
          <t>Verify gap</t>
        </is>
      </c>
      <c r="I143" s="30" t="inlineStr">
        <is>
          <t>lib/features/booking/application/states/booking_draft.dart:81</t>
        </is>
      </c>
      <c r="J143" s="29" t="n"/>
      <c r="K143" s="31" t="inlineStr">
        <is>
          <t>Not Run</t>
        </is>
      </c>
      <c r="L143" s="32" t="n"/>
      <c r="M143" s="33" t="n"/>
      <c r="N143" s="32" t="n"/>
      <c r="O143" s="32" t="n"/>
      <c r="P143" s="32" t="n"/>
      <c r="Q143" s="32" t="n"/>
    </row>
    <row r="144" ht="43" customHeight="1">
      <c r="A144" s="27" t="inlineStr">
        <is>
          <t>BL-APPT-001</t>
        </is>
      </c>
      <c r="B144" s="28" t="inlineStr">
        <is>
          <t>Appointments</t>
        </is>
      </c>
      <c r="C144" s="28" t="inlineStr">
        <is>
          <t>Status mapping &amp; labels</t>
        </is>
      </c>
      <c r="D144" s="28" t="inlineStr">
        <is>
          <t>Each of the 8 backend statuses has its own pill label</t>
        </is>
      </c>
      <c r="E144" s="28" t="inlineStr">
        <is>
          <t>Open an appointment in each status: pending_payment, pending_approval, scheduled, checked_in, in_consultation, completed, cancelled, no_show</t>
        </is>
      </c>
      <c r="F144" s="28" t="inlineStr">
        <is>
          <t>Pills read: Payment pending, Awaiting confirmation, Confirmed, Checked in, In consultation, Completed, Cancelled, No-show.</t>
        </is>
      </c>
      <c r="G144" s="29" t="inlineStr">
        <is>
          <t>P0</t>
        </is>
      </c>
      <c r="H144" s="29" t="inlineStr">
        <is>
          <t>Data mapping</t>
        </is>
      </c>
      <c r="I144" s="30" t="inlineStr">
        <is>
          <t>lib/features/appointments/presentation/controllers/appointment_filter_controller.dart:209</t>
        </is>
      </c>
      <c r="J144" s="29" t="n"/>
      <c r="K144" s="31" t="inlineStr">
        <is>
          <t>Not Run</t>
        </is>
      </c>
      <c r="L144" s="32" t="n"/>
      <c r="M144" s="33" t="n"/>
      <c r="N144" s="32" t="n"/>
      <c r="O144" s="32" t="n"/>
      <c r="P144" s="32" t="n"/>
      <c r="Q144" s="32" t="n"/>
    </row>
    <row r="145" ht="82" customHeight="1">
      <c r="A145" s="27" t="inlineStr">
        <is>
          <t>BL-APPT-002</t>
        </is>
      </c>
      <c r="B145" s="28" t="inlineStr">
        <is>
          <t>Appointments</t>
        </is>
      </c>
      <c r="C145" s="28" t="inlineStr">
        <is>
          <t>Status mapping &amp; labels</t>
        </is>
      </c>
      <c r="D145" s="28" t="inlineStr">
        <is>
          <t>Hint line under the pill explains the status</t>
        </is>
      </c>
      <c r="E145" s="28" t="inlineStr">
        <is>
          <t>Open the detail in each status</t>
        </is>
      </c>
      <c r="F145" s="28" t="inlineStr">
        <is>
          <t>Matching hint: 'Complete the payment to confirm this booking.' / 'The hospital will confirm this booking shortly.' / 'Confirmed for the slot below.' / 'You are checked in — watch your token on the live queue.' / 'The doctor is seeing you now.' / 'This consultation is closed.' / 'The slot passed without a consultation.'</t>
        </is>
      </c>
      <c r="G145" s="29" t="inlineStr">
        <is>
          <t>P1</t>
        </is>
      </c>
      <c r="H145" s="29" t="inlineStr">
        <is>
          <t>Data mapping</t>
        </is>
      </c>
      <c r="I145" s="30" t="inlineStr">
        <is>
          <t>lib/features/appointments/presentation/components/status_pill.dart:49</t>
        </is>
      </c>
      <c r="J145" s="29" t="n"/>
      <c r="K145" s="31" t="inlineStr">
        <is>
          <t>Not Run</t>
        </is>
      </c>
      <c r="L145" s="32" t="n"/>
      <c r="M145" s="33" t="n"/>
      <c r="N145" s="32" t="n"/>
      <c r="O145" s="32" t="n"/>
      <c r="P145" s="32" t="n"/>
      <c r="Q145" s="32" t="n"/>
    </row>
    <row r="146" ht="43" customHeight="1">
      <c r="A146" s="27" t="inlineStr">
        <is>
          <t>BL-APPT-003</t>
        </is>
      </c>
      <c r="B146" s="28" t="inlineStr">
        <is>
          <t>Appointments</t>
        </is>
      </c>
      <c r="C146" s="28" t="inlineStr">
        <is>
          <t>Status mapping &amp; labels</t>
        </is>
      </c>
      <c r="D146" s="28" t="inlineStr">
        <is>
          <t>Cancelled hint depends on who cancelled</t>
        </is>
      </c>
      <c r="E146" s="28" t="inlineStr">
        <is>
          <t>1. Cancel one booking yourself
2. Have the hospital cancel another
3. Let an unpaid booking lapse</t>
        </is>
      </c>
      <c r="F146" s="28" t="inlineStr">
        <is>
          <t>'You cancelled this appointment.' / 'The hospital cancelled this appointment.' / 'This booking lapsed before payment and was cancelled.'</t>
        </is>
      </c>
      <c r="G146" s="29" t="inlineStr">
        <is>
          <t>P1</t>
        </is>
      </c>
      <c r="H146" s="29" t="inlineStr">
        <is>
          <t>Data mapping</t>
        </is>
      </c>
      <c r="I146" s="30" t="inlineStr">
        <is>
          <t>lib/features/appointments/presentation/components/status_pill.dart:59</t>
        </is>
      </c>
      <c r="J146" s="29" t="n"/>
      <c r="K146" s="31" t="inlineStr">
        <is>
          <t>Not Run</t>
        </is>
      </c>
      <c r="L146" s="32" t="n"/>
      <c r="M146" s="33" t="n"/>
      <c r="N146" s="32" t="n"/>
      <c r="O146" s="32" t="n"/>
      <c r="P146" s="32" t="n"/>
      <c r="Q146" s="32" t="n"/>
    </row>
    <row r="147" ht="43" customHeight="1">
      <c r="A147" s="27" t="inlineStr">
        <is>
          <t>BL-APPT-004</t>
        </is>
      </c>
      <c r="B147" s="28" t="inlineStr">
        <is>
          <t>Appointments</t>
        </is>
      </c>
      <c r="C147" s="28" t="inlineStr">
        <is>
          <t>Status mapping &amp; labels</t>
        </is>
      </c>
      <c r="D147" s="28" t="inlineStr">
        <is>
          <t>Payment status label</t>
        </is>
      </c>
      <c r="E147" s="28" t="inlineStr">
        <is>
          <t>Open the Payment card for bookings that are unpaid, pending, paid, refunded and failed</t>
        </is>
      </c>
      <c r="F147" s="28" t="inlineStr">
        <is>
          <t>'Not paid', 'Payment pending', 'Paid', 'Refunded', 'Payment failed'. A missing payment status reads 'Not paid'.</t>
        </is>
      </c>
      <c r="G147" s="29" t="inlineStr">
        <is>
          <t>P1</t>
        </is>
      </c>
      <c r="H147" s="29" t="inlineStr">
        <is>
          <t>Data mapping</t>
        </is>
      </c>
      <c r="I147" s="30" t="inlineStr">
        <is>
          <t>lib/features/appointments/presentation/screen/appointment_detail_screen.dart:560</t>
        </is>
      </c>
      <c r="J147" s="29" t="n"/>
      <c r="K147" s="31" t="inlineStr">
        <is>
          <t>Not Run</t>
        </is>
      </c>
      <c r="L147" s="32" t="n"/>
      <c r="M147" s="33" t="n"/>
      <c r="N147" s="32" t="n"/>
      <c r="O147" s="32" t="n"/>
      <c r="P147" s="32" t="n"/>
      <c r="Q147" s="32" t="n"/>
    </row>
    <row r="148" ht="43" customHeight="1">
      <c r="A148" s="27" t="inlineStr">
        <is>
          <t>BL-APPT-005</t>
        </is>
      </c>
      <c r="B148" s="28" t="inlineStr">
        <is>
          <t>Appointments</t>
        </is>
      </c>
      <c r="C148" s="28" t="inlineStr">
        <is>
          <t>Status mapping &amp; labels</t>
        </is>
      </c>
      <c r="D148" s="28" t="inlineStr">
        <is>
          <t>An unknown status from the server is an error, not a silent default</t>
        </is>
      </c>
      <c r="E148" s="28" t="inlineStr">
        <is>
          <t>With a proxy, change one appointment's status to an unknown value</t>
        </is>
      </c>
      <c r="F148" s="28" t="inlineStr">
        <is>
          <t>The list page / detail shows an error view rather than a wrong pill. Confirm this is acceptable (one bad row fails the whole page).</t>
        </is>
      </c>
      <c r="G148" s="29" t="inlineStr">
        <is>
          <t>P2</t>
        </is>
      </c>
      <c r="H148" s="29" t="inlineStr">
        <is>
          <t>Error handling</t>
        </is>
      </c>
      <c r="I148" s="30" t="inlineStr">
        <is>
          <t>lib/features/appointments/infrastructure/repositories/appointment_mappers.dart:31</t>
        </is>
      </c>
      <c r="J148" s="29" t="n"/>
      <c r="K148" s="31" t="inlineStr">
        <is>
          <t>Not Run</t>
        </is>
      </c>
      <c r="L148" s="32" t="n"/>
      <c r="M148" s="33" t="n"/>
      <c r="N148" s="32" t="n"/>
      <c r="O148" s="32" t="n"/>
      <c r="P148" s="32" t="n"/>
      <c r="Q148" s="32" t="n"/>
    </row>
    <row r="149" ht="43" customHeight="1">
      <c r="A149" s="27" t="inlineStr">
        <is>
          <t>BL-APPT-006</t>
        </is>
      </c>
      <c r="B149" s="28" t="inlineStr">
        <is>
          <t>Appointments</t>
        </is>
      </c>
      <c r="C149" s="28" t="inlineStr">
        <is>
          <t>Status mapping &amp; labels</t>
        </is>
      </c>
      <c r="D149" s="28" t="inlineStr">
        <is>
          <t>Card date line is relative and in hospital time</t>
        </is>
      </c>
      <c r="E149" s="28" t="inlineStr">
        <is>
          <t>View appointments for today, tomorrow, later this year and another year</t>
        </is>
      </c>
      <c r="F149" s="28" t="inlineStr">
        <is>
          <t>'Today, 10:30 AM', 'Tomorrow, …', '12 Aug, 10:30 AM', '12 Aug 2025, 10:30 AM' (year only when it differs from the current year).</t>
        </is>
      </c>
      <c r="G149" s="29" t="inlineStr">
        <is>
          <t>P2</t>
        </is>
      </c>
      <c r="H149" s="29" t="inlineStr">
        <is>
          <t>Calculation</t>
        </is>
      </c>
      <c r="I149" s="30" t="inlineStr">
        <is>
          <t>lib/features/appointments/presentation/components/appointment_card.dart:145</t>
        </is>
      </c>
      <c r="J149" s="29" t="n"/>
      <c r="K149" s="31" t="inlineStr">
        <is>
          <t>Not Run</t>
        </is>
      </c>
      <c r="L149" s="32" t="n"/>
      <c r="M149" s="33" t="n"/>
      <c r="N149" s="32" t="n"/>
      <c r="O149" s="32" t="n"/>
      <c r="P149" s="32" t="n"/>
      <c r="Q149" s="32" t="n"/>
    </row>
    <row r="150" ht="43" customHeight="1">
      <c r="A150" s="27" t="inlineStr">
        <is>
          <t>BL-APPT-007</t>
        </is>
      </c>
      <c r="B150" s="28" t="inlineStr">
        <is>
          <t>Appointments</t>
        </is>
      </c>
      <c r="C150" s="28" t="inlineStr">
        <is>
          <t>Status mapping &amp; labels</t>
        </is>
      </c>
      <c r="D150" s="28" t="inlineStr">
        <is>
          <t>Card shows token, else booking reference, and who it is for</t>
        </is>
      </c>
      <c r="E150" s="28" t="inlineStr">
        <is>
          <t>Compare a booking with a token, one without, one for yourself and one for a family member</t>
        </is>
      </c>
      <c r="F150" s="28" t="inlineStr">
        <is>
          <t>'Token T-025 · For &lt;Name (Relation)&gt;' or 'Ref &lt;booking ref&gt;'; your own bookings show the bare name.</t>
        </is>
      </c>
      <c r="G150" s="29" t="inlineStr">
        <is>
          <t>P2</t>
        </is>
      </c>
      <c r="H150" s="29" t="inlineStr">
        <is>
          <t>Data mapping</t>
        </is>
      </c>
      <c r="I150" s="30" t="inlineStr">
        <is>
          <t>lib/features/appointments/presentation/components/appointment_card.dart:156</t>
        </is>
      </c>
      <c r="J150" s="29" t="n"/>
      <c r="K150" s="31" t="inlineStr">
        <is>
          <t>Not Run</t>
        </is>
      </c>
      <c r="L150" s="32" t="n"/>
      <c r="M150" s="33" t="n"/>
      <c r="N150" s="32" t="n"/>
      <c r="O150" s="32" t="n"/>
      <c r="P150" s="32" t="n"/>
      <c r="Q150" s="32" t="n"/>
    </row>
    <row r="151" ht="43" customHeight="1">
      <c r="A151" s="27" t="inlineStr">
        <is>
          <t>BL-APPT-008</t>
        </is>
      </c>
      <c r="B151" s="28" t="inlineStr">
        <is>
          <t>Appointments</t>
        </is>
      </c>
      <c r="C151" s="28" t="inlineStr">
        <is>
          <t>Tabs &amp; list queries</t>
        </is>
      </c>
      <c r="D151" s="28" t="inlineStr">
        <is>
          <t>Upcoming tab = not-yet-over visits, soonest first</t>
        </is>
      </c>
      <c r="E151" s="28" t="inlineStr">
        <is>
          <t>Open Appointments with several active bookings</t>
        </is>
      </c>
      <c r="F151" s="28" t="inlineStr">
        <is>
          <t>Only active future visits, in ascending time order.</t>
        </is>
      </c>
      <c r="G151" s="29" t="inlineStr">
        <is>
          <t>P0</t>
        </is>
      </c>
      <c r="H151" s="29" t="inlineStr">
        <is>
          <t>Rule</t>
        </is>
      </c>
      <c r="I151" s="30" t="inlineStr">
        <is>
          <t>lib/features/appointments/domain/entities/appointment_filter.dart:250</t>
        </is>
      </c>
      <c r="J151" s="29" t="n"/>
      <c r="K151" s="31" t="inlineStr">
        <is>
          <t>Not Run</t>
        </is>
      </c>
      <c r="L151" s="32" t="n"/>
      <c r="M151" s="33" t="n"/>
      <c r="N151" s="32" t="n"/>
      <c r="O151" s="32" t="n"/>
      <c r="P151" s="32" t="n"/>
      <c r="Q151" s="32" t="n"/>
    </row>
    <row r="152" ht="43" customHeight="1">
      <c r="A152" s="27" t="inlineStr">
        <is>
          <t>BL-APPT-009</t>
        </is>
      </c>
      <c r="B152" s="28" t="inlineStr">
        <is>
          <t>Appointments</t>
        </is>
      </c>
      <c r="C152" s="28" t="inlineStr">
        <is>
          <t>Tabs &amp; list queries</t>
        </is>
      </c>
      <c r="D152" s="28" t="inlineStr">
        <is>
          <t>Completed tab also holds past visits the desk never closed</t>
        </is>
      </c>
      <c r="E152" s="28" t="inlineStr">
        <is>
          <t>Use a paid visit whose time has passed but is still 'scheduled'</t>
        </is>
      </c>
      <c r="F152" s="28" t="inlineStr">
        <is>
          <t>It is listed under Completed with its real pill (e.g. Confirmed), newest first.</t>
        </is>
      </c>
      <c r="G152" s="29" t="inlineStr">
        <is>
          <t>P1</t>
        </is>
      </c>
      <c r="H152" s="29" t="inlineStr">
        <is>
          <t>Rule</t>
        </is>
      </c>
      <c r="I152" s="30" t="inlineStr">
        <is>
          <t>lib/features/appointments/domain/entities/appointment_filter.dart:233</t>
        </is>
      </c>
      <c r="J152" s="29" t="n"/>
      <c r="K152" s="31" t="inlineStr">
        <is>
          <t>Not Run</t>
        </is>
      </c>
      <c r="L152" s="32" t="n"/>
      <c r="M152" s="33" t="n"/>
      <c r="N152" s="32" t="n"/>
      <c r="O152" s="32" t="n"/>
      <c r="P152" s="32" t="n"/>
      <c r="Q152" s="32" t="n"/>
    </row>
    <row r="153" ht="56" customHeight="1">
      <c r="A153" s="27" t="inlineStr">
        <is>
          <t>BL-APPT-010</t>
        </is>
      </c>
      <c r="B153" s="28" t="inlineStr">
        <is>
          <t>Appointments</t>
        </is>
      </c>
      <c r="C153" s="28" t="inlineStr">
        <is>
          <t>Tabs &amp; list queries</t>
        </is>
      </c>
      <c r="D153" s="28" t="inlineStr">
        <is>
          <t>Past unclosed visit: actions offered</t>
        </is>
      </c>
      <c r="E153" s="28" t="inlineStr">
        <is>
          <t>Open the card and detail of that past 'scheduled' visit</t>
        </is>
      </c>
      <c r="F153" s="28" t="inlineStr">
        <is>
          <t>Decide what is correct: the code treats it as upcoming, so the card has only 'View details' and the detail shows Cancel and Live queue instead of Book Again / Rate visit.</t>
        </is>
      </c>
      <c r="G153" s="29" t="inlineStr">
        <is>
          <t>P1</t>
        </is>
      </c>
      <c r="H153" s="29" t="inlineStr">
        <is>
          <t>Verify gap</t>
        </is>
      </c>
      <c r="I153" s="30" t="inlineStr">
        <is>
          <t>lib/features/appointments/presentation/components/appointment_card.dart:169</t>
        </is>
      </c>
      <c r="J153" s="29" t="n"/>
      <c r="K153" s="31" t="inlineStr">
        <is>
          <t>Not Run</t>
        </is>
      </c>
      <c r="L153" s="32" t="n"/>
      <c r="M153" s="33" t="n"/>
      <c r="N153" s="32" t="n"/>
      <c r="O153" s="32" t="n"/>
      <c r="P153" s="32" t="n"/>
      <c r="Q153" s="32" t="n"/>
    </row>
    <row r="154" ht="43" customHeight="1">
      <c r="A154" s="27" t="inlineStr">
        <is>
          <t>BL-APPT-011</t>
        </is>
      </c>
      <c r="B154" s="28" t="inlineStr">
        <is>
          <t>Appointments</t>
        </is>
      </c>
      <c r="C154" s="28" t="inlineStr">
        <is>
          <t>Tabs &amp; list queries</t>
        </is>
      </c>
      <c r="D154" s="28" t="inlineStr">
        <is>
          <t>Past pending-payment booking not yet auto-cancelled</t>
        </is>
      </c>
      <c r="E154" s="28" t="inlineStr">
        <is>
          <t>Create a booking, do not pay, and look for it right after the slot time passes (before the server cancels it)</t>
        </is>
      </c>
      <c r="F154" s="28" t="inlineStr">
        <is>
          <t>It should be visible somewhere. The code puts it in no tab (not in the Completed or Cancelled sets).</t>
        </is>
      </c>
      <c r="G154" s="29" t="inlineStr">
        <is>
          <t>P2</t>
        </is>
      </c>
      <c r="H154" s="29" t="inlineStr">
        <is>
          <t>Verify gap</t>
        </is>
      </c>
      <c r="I154" s="30" t="inlineStr">
        <is>
          <t>lib/features/appointments/domain/entities/appointment_filter.dart:233</t>
        </is>
      </c>
      <c r="J154" s="29" t="n"/>
      <c r="K154" s="31" t="inlineStr">
        <is>
          <t>Not Run</t>
        </is>
      </c>
      <c r="L154" s="32" t="n"/>
      <c r="M154" s="33" t="n"/>
      <c r="N154" s="32" t="n"/>
      <c r="O154" s="32" t="n"/>
      <c r="P154" s="32" t="n"/>
      <c r="Q154" s="32" t="n"/>
    </row>
    <row r="155" ht="43" customHeight="1">
      <c r="A155" s="27" t="inlineStr">
        <is>
          <t>BL-APPT-012</t>
        </is>
      </c>
      <c r="B155" s="28" t="inlineStr">
        <is>
          <t>Appointments</t>
        </is>
      </c>
      <c r="C155" s="28" t="inlineStr">
        <is>
          <t>Tabs &amp; list queries</t>
        </is>
      </c>
      <c r="D155" s="28" t="inlineStr">
        <is>
          <t>Cancelled tab = cancelled and no-show</t>
        </is>
      </c>
      <c r="E155" s="28" t="inlineStr">
        <is>
          <t>Open the third tab</t>
        </is>
      </c>
      <c r="F155" s="28" t="inlineStr">
        <is>
          <t>Cancelled and no-show rows, newest first. Check the tab spelling ('Canceled') matches the pill ('Cancelled').</t>
        </is>
      </c>
      <c r="G155" s="29" t="inlineStr">
        <is>
          <t>P2</t>
        </is>
      </c>
      <c r="H155" s="29" t="inlineStr">
        <is>
          <t>Rule</t>
        </is>
      </c>
      <c r="I155" s="30" t="inlineStr">
        <is>
          <t>lib/features/appointments/domain/entities/appointment_filter.dart:240</t>
        </is>
      </c>
      <c r="J155" s="29" t="n"/>
      <c r="K155" s="31" t="inlineStr">
        <is>
          <t>Not Run</t>
        </is>
      </c>
      <c r="L155" s="32" t="n"/>
      <c r="M155" s="33" t="n"/>
      <c r="N155" s="32" t="n"/>
      <c r="O155" s="32" t="n"/>
      <c r="P155" s="32" t="n"/>
      <c r="Q155" s="32" t="n"/>
    </row>
    <row r="156" ht="43" customHeight="1">
      <c r="A156" s="27" t="inlineStr">
        <is>
          <t>BL-APPT-013</t>
        </is>
      </c>
      <c r="B156" s="28" t="inlineStr">
        <is>
          <t>Appointments</t>
        </is>
      </c>
      <c r="C156" s="28" t="inlineStr">
        <is>
          <t>Tabs &amp; list queries</t>
        </is>
      </c>
      <c r="D156" s="28" t="inlineStr">
        <is>
          <t>Page size 20 with automatic next page</t>
        </is>
      </c>
      <c r="E156" s="28" t="inlineStr">
        <is>
          <t>1. Use an account with 45+ rows in one tab
2. Scroll
3. Cut the network mid-scroll</t>
        </is>
      </c>
      <c r="F156" s="28" t="inlineStr">
        <is>
          <t>Pages of 20 append as you scroll; a failed page keeps the rows and shows an inline 'Load more' retry.</t>
        </is>
      </c>
      <c r="G156" s="29" t="inlineStr">
        <is>
          <t>P1</t>
        </is>
      </c>
      <c r="H156" s="29" t="inlineStr">
        <is>
          <t>Boundary</t>
        </is>
      </c>
      <c r="I156" s="30" t="inlineStr">
        <is>
          <t>lib/features/appointments/application/providers/appointments_provider.dart:167</t>
        </is>
      </c>
      <c r="J156" s="29" t="n"/>
      <c r="K156" s="31" t="inlineStr">
        <is>
          <t>Not Run</t>
        </is>
      </c>
      <c r="L156" s="32" t="n"/>
      <c r="M156" s="33" t="n"/>
      <c r="N156" s="32" t="n"/>
      <c r="O156" s="32" t="n"/>
      <c r="P156" s="32" t="n"/>
      <c r="Q156" s="32" t="n"/>
    </row>
    <row r="157" ht="43" customHeight="1">
      <c r="A157" s="27" t="inlineStr">
        <is>
          <t>BL-APPT-014</t>
        </is>
      </c>
      <c r="B157" s="28" t="inlineStr">
        <is>
          <t>Appointments</t>
        </is>
      </c>
      <c r="C157" s="28" t="inlineStr">
        <is>
          <t>Tabs &amp; list queries</t>
        </is>
      </c>
      <c r="D157" s="28" t="inlineStr">
        <is>
          <t>Count label uses the server total</t>
        </is>
      </c>
      <c r="E157" s="28" t="inlineStr">
        <is>
          <t>View tabs with 0, 1 and 25 appointments</t>
        </is>
      </c>
      <c r="F157" s="28" t="inlineStr">
        <is>
          <t>'0 visits', '1 visit', '25 visits' — the total, not the rows loaded so far.</t>
        </is>
      </c>
      <c r="G157" s="29" t="inlineStr">
        <is>
          <t>P3</t>
        </is>
      </c>
      <c r="H157" s="29" t="inlineStr">
        <is>
          <t>Calculation</t>
        </is>
      </c>
      <c r="I157" s="30" t="inlineStr">
        <is>
          <t>lib/features/appointments/presentation/screen/appointments_screen.dart:154</t>
        </is>
      </c>
      <c r="J157" s="29" t="n"/>
      <c r="K157" s="31" t="inlineStr">
        <is>
          <t>Not Run</t>
        </is>
      </c>
      <c r="L157" s="32" t="n"/>
      <c r="M157" s="33" t="n"/>
      <c r="N157" s="32" t="n"/>
      <c r="O157" s="32" t="n"/>
      <c r="P157" s="32" t="n"/>
      <c r="Q157" s="32" t="n"/>
    </row>
    <row r="158" ht="56" customHeight="1">
      <c r="A158" s="27" t="inlineStr">
        <is>
          <t>BL-APPT-015</t>
        </is>
      </c>
      <c r="B158" s="28" t="inlineStr">
        <is>
          <t>Appointments</t>
        </is>
      </c>
      <c r="C158" s="28" t="inlineStr">
        <is>
          <t>Tabs &amp; list queries</t>
        </is>
      </c>
      <c r="D158" s="28" t="inlineStr">
        <is>
          <t>Card buttons by status</t>
        </is>
      </c>
      <c r="E158" s="28" t="inlineStr">
        <is>
          <t>Look at cards in every status</t>
        </is>
      </c>
      <c r="F158" s="28" t="inlineStr">
        <is>
          <t>Upcoming statuses: one button ('Complete payment' for pending payment, otherwise 'View details'). Completed: 'View details' + 'Book Again'. Cancelled / no-show: hint + 'Book Again'. No Cancel button on any card.</t>
        </is>
      </c>
      <c r="G158" s="29" t="inlineStr">
        <is>
          <t>P1</t>
        </is>
      </c>
      <c r="H158" s="29" t="inlineStr">
        <is>
          <t>Rule</t>
        </is>
      </c>
      <c r="I158" s="30" t="inlineStr">
        <is>
          <t>lib/features/appointments/presentation/components/appointment_card.dart:167</t>
        </is>
      </c>
      <c r="J158" s="29" t="n"/>
      <c r="K158" s="31" t="inlineStr">
        <is>
          <t>Not Run</t>
        </is>
      </c>
      <c r="L158" s="32" t="n"/>
      <c r="M158" s="33" t="n"/>
      <c r="N158" s="32" t="n"/>
      <c r="O158" s="32" t="n"/>
      <c r="P158" s="32" t="n"/>
      <c r="Q158" s="32" t="n"/>
    </row>
    <row r="159" ht="43" customHeight="1">
      <c r="A159" s="27" t="inlineStr">
        <is>
          <t>BL-APPT-016</t>
        </is>
      </c>
      <c r="B159" s="28" t="inlineStr">
        <is>
          <t>Appointments</t>
        </is>
      </c>
      <c r="C159" s="28" t="inlineStr">
        <is>
          <t>Tabs &amp; list queries</t>
        </is>
      </c>
      <c r="D159" s="28" t="inlineStr">
        <is>
          <t>Book Again carries the doctor and department</t>
        </is>
      </c>
      <c r="E159" s="28" t="inlineStr">
        <is>
          <t>Tap Book Again on a completed and a cancelled appointment</t>
        </is>
      </c>
      <c r="F159" s="28" t="inlineStr">
        <is>
          <t>Booking opens at the doctor &amp; time step with that doctor preselected.</t>
        </is>
      </c>
      <c r="G159" s="29" t="inlineStr">
        <is>
          <t>P1</t>
        </is>
      </c>
      <c r="H159" s="29" t="inlineStr">
        <is>
          <t>Rule</t>
        </is>
      </c>
      <c r="I159" s="30" t="inlineStr">
        <is>
          <t>lib/features/appointments/presentation/screen/appointments_screen.dart:266</t>
        </is>
      </c>
      <c r="J159" s="29" t="n"/>
      <c r="K159" s="31" t="inlineStr">
        <is>
          <t>Not Run</t>
        </is>
      </c>
      <c r="L159" s="32" t="n"/>
      <c r="M159" s="33" t="n"/>
      <c r="N159" s="32" t="n"/>
      <c r="O159" s="32" t="n"/>
      <c r="P159" s="32" t="n"/>
      <c r="Q159" s="32" t="n"/>
    </row>
    <row r="160" ht="43" customHeight="1">
      <c r="A160" s="27" t="inlineStr">
        <is>
          <t>BL-APPT-017</t>
        </is>
      </c>
      <c r="B160" s="28" t="inlineStr">
        <is>
          <t>Appointments</t>
        </is>
      </c>
      <c r="C160" s="28" t="inlineStr">
        <is>
          <t>Tabs &amp; list queries</t>
        </is>
      </c>
      <c r="D160" s="28" t="inlineStr">
        <is>
          <t>Tab resets, filter persists</t>
        </is>
      </c>
      <c r="E160" s="28" t="inlineStr">
        <is>
          <t>1. Set a filter
2. Open a detail and go back
3. Leave Appointments and return</t>
        </is>
      </c>
      <c r="F160" s="28" t="inlineStr">
        <is>
          <t>Filter is still applied; the tab is back on Upcoming.</t>
        </is>
      </c>
      <c r="G160" s="29" t="inlineStr">
        <is>
          <t>P3</t>
        </is>
      </c>
      <c r="H160" s="29" t="inlineStr">
        <is>
          <t>State</t>
        </is>
      </c>
      <c r="I160" s="30" t="inlineStr">
        <is>
          <t>lib/features/appointments/presentation/controllers/appt_tab_controller.dart:15</t>
        </is>
      </c>
      <c r="J160" s="29" t="n"/>
      <c r="K160" s="31" t="inlineStr">
        <is>
          <t>Not Run</t>
        </is>
      </c>
      <c r="L160" s="32" t="n"/>
      <c r="M160" s="33" t="n"/>
      <c r="N160" s="32" t="n"/>
      <c r="O160" s="32" t="n"/>
      <c r="P160" s="32" t="n"/>
      <c r="Q160" s="32" t="n"/>
    </row>
    <row r="161" ht="43" customHeight="1">
      <c r="A161" s="27" t="inlineStr">
        <is>
          <t>BL-APPT-018</t>
        </is>
      </c>
      <c r="B161" s="28" t="inlineStr">
        <is>
          <t>Appointments</t>
        </is>
      </c>
      <c r="C161" s="28" t="inlineStr">
        <is>
          <t>Search &amp; filters</t>
        </is>
      </c>
      <c r="D161" s="28" t="inlineStr">
        <is>
          <t>Appointment search spans all tabs and is debounced</t>
        </is>
      </c>
      <c r="E161" s="28" t="inlineStr">
        <is>
          <t>1. Appointments &gt; search
2. Type one character and wait
3. Type a booking reference from the Cancelled tab</t>
        </is>
      </c>
      <c r="F161" s="28" t="inlineStr">
        <is>
          <t>'Searching…' then results from every tab after about 300 ms. Note: no minimum length here (global search needs 2) — confirm intended.</t>
        </is>
      </c>
      <c r="G161" s="29" t="inlineStr">
        <is>
          <t>P2</t>
        </is>
      </c>
      <c r="H161" s="29" t="inlineStr">
        <is>
          <t>Rule</t>
        </is>
      </c>
      <c r="I161" s="30" t="inlineStr">
        <is>
          <t>lib/features/appointments/presentation/controllers/appointment_search_controller.dart:48</t>
        </is>
      </c>
      <c r="J161" s="29" t="n"/>
      <c r="K161" s="31" t="inlineStr">
        <is>
          <t>Not Run</t>
        </is>
      </c>
      <c r="L161" s="32" t="n"/>
      <c r="M161" s="33" t="n"/>
      <c r="N161" s="32" t="n"/>
      <c r="O161" s="32" t="n"/>
      <c r="P161" s="32" t="n"/>
      <c r="Q161" s="32" t="n"/>
    </row>
    <row r="162" ht="43" customHeight="1">
      <c r="A162" s="27" t="inlineStr">
        <is>
          <t>BL-APPT-019</t>
        </is>
      </c>
      <c r="B162" s="28" t="inlineStr">
        <is>
          <t>Appointments</t>
        </is>
      </c>
      <c r="C162" s="28" t="inlineStr">
        <is>
          <t>Search &amp; filters</t>
        </is>
      </c>
      <c r="D162" s="28" t="inlineStr">
        <is>
          <t>No results vs still typing</t>
        </is>
      </c>
      <c r="E162" s="28" t="inlineStr">
        <is>
          <t>1. Type quickly
2. Search a nonsense term</t>
        </is>
      </c>
      <c r="F162" s="28" t="inlineStr">
        <is>
          <t>Loader while typing, never a premature 'no results'; then 'No appointments for "&lt;term&gt;"' with 'Clear search' and 'Book an appointment'.</t>
        </is>
      </c>
      <c r="G162" s="29" t="inlineStr">
        <is>
          <t>P3</t>
        </is>
      </c>
      <c r="H162" s="29" t="inlineStr">
        <is>
          <t>State</t>
        </is>
      </c>
      <c r="I162" s="30" t="inlineStr">
        <is>
          <t>lib/features/appointments/presentation/screen/appointment_search_screen.dart:125</t>
        </is>
      </c>
      <c r="J162" s="29" t="n"/>
      <c r="K162" s="31" t="inlineStr">
        <is>
          <t>Not Run</t>
        </is>
      </c>
      <c r="L162" s="32" t="n"/>
      <c r="M162" s="33" t="n"/>
      <c r="N162" s="32" t="n"/>
      <c r="O162" s="32" t="n"/>
      <c r="P162" s="32" t="n"/>
      <c r="Q162" s="32" t="n"/>
    </row>
    <row r="163" ht="43" customHeight="1">
      <c r="A163" s="27" t="inlineStr">
        <is>
          <t>BL-APPT-020</t>
        </is>
      </c>
      <c r="B163" s="28" t="inlineStr">
        <is>
          <t>Appointments</t>
        </is>
      </c>
      <c r="C163" s="28" t="inlineStr">
        <is>
          <t>Search &amp; filters</t>
        </is>
      </c>
      <c r="D163" s="28" t="inlineStr">
        <is>
          <t>Filters apply only on 'Show results'</t>
        </is>
      </c>
      <c r="E163" s="28" t="inlineStr">
        <is>
          <t>1. Change filters and swipe the sheet away
2. Change them again and tap 'Show results'</t>
        </is>
      </c>
      <c r="F163" s="28" t="inlineStr">
        <is>
          <t>List is unchanged after dismissing; it reloads after 'Show results'.</t>
        </is>
      </c>
      <c r="G163" s="29" t="inlineStr">
        <is>
          <t>P2</t>
        </is>
      </c>
      <c r="H163" s="29" t="inlineStr">
        <is>
          <t>State</t>
        </is>
      </c>
      <c r="I163" s="30" t="inlineStr">
        <is>
          <t>lib/features/appointments/presentation/screen/appointment_filter_sheet.dart:279</t>
        </is>
      </c>
      <c r="J163" s="29" t="n"/>
      <c r="K163" s="31" t="inlineStr">
        <is>
          <t>Not Run</t>
        </is>
      </c>
      <c r="L163" s="32" t="n"/>
      <c r="M163" s="33" t="n"/>
      <c r="N163" s="32" t="n"/>
      <c r="O163" s="32" t="n"/>
      <c r="P163" s="32" t="n"/>
      <c r="Q163" s="32" t="n"/>
    </row>
    <row r="164" ht="43" customHeight="1">
      <c r="A164" s="27" t="inlineStr">
        <is>
          <t>BL-APPT-021</t>
        </is>
      </c>
      <c r="B164" s="28" t="inlineStr">
        <is>
          <t>Appointments</t>
        </is>
      </c>
      <c r="C164" s="28" t="inlineStr">
        <is>
          <t>Search &amp; filters</t>
        </is>
      </c>
      <c r="D164" s="28" t="inlineStr">
        <is>
          <t>Status filter exists only on Upcoming</t>
        </is>
      </c>
      <c r="E164" s="28" t="inlineStr">
        <is>
          <t>Open the filter sheet from each tab</t>
        </is>
      </c>
      <c r="F164" s="28" t="inlineStr">
        <is>
          <t>Status chips appear only on Upcoming.</t>
        </is>
      </c>
      <c r="G164" s="29" t="inlineStr">
        <is>
          <t>P2</t>
        </is>
      </c>
      <c r="H164" s="29" t="inlineStr">
        <is>
          <t>Rule</t>
        </is>
      </c>
      <c r="I164" s="30" t="inlineStr">
        <is>
          <t>lib/features/appointments/presentation/screen/appointment_filter_sheet.dart:132</t>
        </is>
      </c>
      <c r="J164" s="29" t="n"/>
      <c r="K164" s="31" t="inlineStr">
        <is>
          <t>Not Run</t>
        </is>
      </c>
      <c r="L164" s="32" t="n"/>
      <c r="M164" s="33" t="n"/>
      <c r="N164" s="32" t="n"/>
      <c r="O164" s="32" t="n"/>
      <c r="P164" s="32" t="n"/>
      <c r="Q164" s="32" t="n"/>
    </row>
    <row r="165" ht="56" customHeight="1">
      <c r="A165" s="27" t="inlineStr">
        <is>
          <t>BL-APPT-022</t>
        </is>
      </c>
      <c r="B165" s="28" t="inlineStr">
        <is>
          <t>Appointments</t>
        </is>
      </c>
      <c r="C165" s="28" t="inlineStr">
        <is>
          <t>Search &amp; filters</t>
        </is>
      </c>
      <c r="D165" s="28" t="inlineStr">
        <is>
          <t>Status filter must not leak into other tabs</t>
        </is>
      </c>
      <c r="E165" s="28" t="inlineStr">
        <is>
          <t>1. On Upcoming select a status filter
2. Switch to Completed and Cancelled</t>
        </is>
      </c>
      <c r="F165" s="28" t="inlineStr">
        <is>
          <t>Decide what is correct: the code keeps the status chip and counts it in 'Filters · n' on the other tabs although it is not applied there, and an empty tab then says 'No appointments match these filters.'</t>
        </is>
      </c>
      <c r="G165" s="29" t="inlineStr">
        <is>
          <t>P2</t>
        </is>
      </c>
      <c r="H165" s="29" t="inlineStr">
        <is>
          <t>Verify gap</t>
        </is>
      </c>
      <c r="I165" s="30" t="inlineStr">
        <is>
          <t>lib/features/appointments/domain/entities/appointment_filter.dart:244</t>
        </is>
      </c>
      <c r="J165" s="29" t="n"/>
      <c r="K165" s="31" t="inlineStr">
        <is>
          <t>Not Run</t>
        </is>
      </c>
      <c r="L165" s="32" t="n"/>
      <c r="M165" s="33" t="n"/>
      <c r="N165" s="32" t="n"/>
      <c r="O165" s="32" t="n"/>
      <c r="P165" s="32" t="n"/>
      <c r="Q165" s="32" t="n"/>
    </row>
    <row r="166" ht="43" customHeight="1">
      <c r="A166" s="27" t="inlineStr">
        <is>
          <t>BL-APPT-023</t>
        </is>
      </c>
      <c r="B166" s="28" t="inlineStr">
        <is>
          <t>Appointments</t>
        </is>
      </c>
      <c r="C166" s="28" t="inlineStr">
        <is>
          <t>Search &amp; filters</t>
        </is>
      </c>
      <c r="D166" s="28" t="inlineStr">
        <is>
          <t>Date range limits and auto-swap</t>
        </is>
      </c>
      <c r="E166" s="28" t="inlineStr">
        <is>
          <t>1. Try to pick a date more than 24 months back or 12 months ahead
2. Pick From = 20 Aug, To = 10 Aug</t>
        </is>
      </c>
      <c r="F166" s="28" t="inlineStr">
        <is>
          <t>Dates outside the window cannot be chosen; a reversed range becomes 10 Aug – 20 Aug.</t>
        </is>
      </c>
      <c r="G166" s="29" t="inlineStr">
        <is>
          <t>P2</t>
        </is>
      </c>
      <c r="H166" s="29" t="inlineStr">
        <is>
          <t>Boundary</t>
        </is>
      </c>
      <c r="I166" s="30" t="inlineStr">
        <is>
          <t>lib/features/appointments/presentation/screen/appointment_filter_sheet.dart:258</t>
        </is>
      </c>
      <c r="J166" s="29" t="n"/>
      <c r="K166" s="31" t="inlineStr">
        <is>
          <t>Not Run</t>
        </is>
      </c>
      <c r="L166" s="32" t="n"/>
      <c r="M166" s="33" t="n"/>
      <c r="N166" s="32" t="n"/>
      <c r="O166" s="32" t="n"/>
      <c r="P166" s="32" t="n"/>
      <c r="Q166" s="32" t="n"/>
    </row>
    <row r="167" ht="43" customHeight="1">
      <c r="A167" s="27" t="inlineStr">
        <is>
          <t>BL-APPT-024</t>
        </is>
      </c>
      <c r="B167" s="28" t="inlineStr">
        <is>
          <t>Appointments</t>
        </is>
      </c>
      <c r="C167" s="28" t="inlineStr">
        <is>
          <t>Search &amp; filters</t>
        </is>
      </c>
      <c r="D167" s="28" t="inlineStr">
        <is>
          <t>Active filter count</t>
        </is>
      </c>
      <c r="E167" s="28" t="inlineStr">
        <is>
          <t>1. Set a date range plus two statuses
2. Remove one chip</t>
        </is>
      </c>
      <c r="F167" s="28" t="inlineStr">
        <is>
          <t>'Filters · 3' (range = 1, each status = 1); removing a chip drops only that facet.</t>
        </is>
      </c>
      <c r="G167" s="29" t="inlineStr">
        <is>
          <t>P3</t>
        </is>
      </c>
      <c r="H167" s="29" t="inlineStr">
        <is>
          <t>Calculation</t>
        </is>
      </c>
      <c r="I167" s="30" t="inlineStr">
        <is>
          <t>lib/features/appointments/domain/entities/appointment_filter.dart:106</t>
        </is>
      </c>
      <c r="J167" s="29" t="n"/>
      <c r="K167" s="31" t="inlineStr">
        <is>
          <t>Not Run</t>
        </is>
      </c>
      <c r="L167" s="32" t="n"/>
      <c r="M167" s="33" t="n"/>
      <c r="N167" s="32" t="n"/>
      <c r="O167" s="32" t="n"/>
      <c r="P167" s="32" t="n"/>
      <c r="Q167" s="32" t="n"/>
    </row>
    <row r="168" ht="43" customHeight="1">
      <c r="A168" s="27" t="inlineStr">
        <is>
          <t>BL-APPT-025</t>
        </is>
      </c>
      <c r="B168" s="28" t="inlineStr">
        <is>
          <t>Appointments</t>
        </is>
      </c>
      <c r="C168" s="28" t="inlineStr">
        <is>
          <t>Search &amp; filters</t>
        </is>
      </c>
      <c r="D168" s="28" t="inlineStr">
        <is>
          <t>Doctor and hospital options come from your own appointments</t>
        </is>
      </c>
      <c r="E168" s="28" t="inlineStr">
        <is>
          <t>Open the filter on an account with appointments under 2 doctors</t>
        </is>
      </c>
      <c r="F168" s="28" t="inlineStr">
        <is>
          <t>Only those 2 doctors (plus 'Any doctor') are offered.</t>
        </is>
      </c>
      <c r="G168" s="29" t="inlineStr">
        <is>
          <t>P3</t>
        </is>
      </c>
      <c r="H168" s="29" t="inlineStr">
        <is>
          <t>Rule</t>
        </is>
      </c>
      <c r="I168" s="30" t="inlineStr">
        <is>
          <t>lib/features/appointments/presentation/controllers/appointment_filter_controller.dart:92</t>
        </is>
      </c>
      <c r="J168" s="29" t="n"/>
      <c r="K168" s="31" t="inlineStr">
        <is>
          <t>Not Run</t>
        </is>
      </c>
      <c r="L168" s="32" t="n"/>
      <c r="M168" s="33" t="n"/>
      <c r="N168" s="32" t="n"/>
      <c r="O168" s="32" t="n"/>
      <c r="P168" s="32" t="n"/>
      <c r="Q168" s="32" t="n"/>
    </row>
    <row r="169" ht="43" customHeight="1">
      <c r="A169" s="27" t="inlineStr">
        <is>
          <t>BL-APPT-026</t>
        </is>
      </c>
      <c r="B169" s="28" t="inlineStr">
        <is>
          <t>Appointments</t>
        </is>
      </c>
      <c r="C169" s="28" t="inlineStr">
        <is>
          <t>Search &amp; filters</t>
        </is>
      </c>
      <c r="D169" s="28" t="inlineStr">
        <is>
          <t>'Browse with filters instead' on the search screen</t>
        </is>
      </c>
      <c r="E169" s="28" t="inlineStr">
        <is>
          <t>1. On appointment search tap 'Browse with filters instead'
2. Apply a filter</t>
        </is>
      </c>
      <c r="F169" s="28" t="inlineStr">
        <is>
          <t>Decide what is correct: the filter changes the tab list underneath, not the search results.</t>
        </is>
      </c>
      <c r="G169" s="29" t="inlineStr">
        <is>
          <t>P3</t>
        </is>
      </c>
      <c r="H169" s="29" t="inlineStr">
        <is>
          <t>Verify gap</t>
        </is>
      </c>
      <c r="I169" s="30" t="inlineStr">
        <is>
          <t>lib/features/appointments/presentation/controllers/appointment_search_controller.dart:91</t>
        </is>
      </c>
      <c r="J169" s="29" t="n"/>
      <c r="K169" s="31" t="inlineStr">
        <is>
          <t>Not Run</t>
        </is>
      </c>
      <c r="L169" s="32" t="n"/>
      <c r="M169" s="33" t="n"/>
      <c r="N169" s="32" t="n"/>
      <c r="O169" s="32" t="n"/>
      <c r="P169" s="32" t="n"/>
      <c r="Q169" s="32" t="n"/>
    </row>
    <row r="170" ht="43" customHeight="1">
      <c r="A170" s="27" t="inlineStr">
        <is>
          <t>BL-APPT-027</t>
        </is>
      </c>
      <c r="B170" s="28" t="inlineStr">
        <is>
          <t>Appointments</t>
        </is>
      </c>
      <c r="C170" s="28" t="inlineStr">
        <is>
          <t>Detail actions by status</t>
        </is>
      </c>
      <c r="D170" s="28" t="inlineStr">
        <is>
          <t>Cancel is enabled only when the server allows it</t>
        </is>
      </c>
      <c r="E170" s="28" t="inlineStr">
        <is>
          <t>Open details for a scheduled booking, one whose token was called, and one in consultation</t>
        </is>
      </c>
      <c r="F170" s="28" t="inlineStr">
        <is>
          <t>Cancel is active only where the server's can_cancel is true; otherwise shown disabled.</t>
        </is>
      </c>
      <c r="G170" s="29" t="inlineStr">
        <is>
          <t>P0</t>
        </is>
      </c>
      <c r="H170" s="29" t="inlineStr">
        <is>
          <t>Rule</t>
        </is>
      </c>
      <c r="I170" s="30" t="inlineStr">
        <is>
          <t>lib/features/appointments/presentation/screen/appointment_detail_screen.dart:733</t>
        </is>
      </c>
      <c r="J170" s="29" t="n"/>
      <c r="K170" s="31" t="inlineStr">
        <is>
          <t>Not Run</t>
        </is>
      </c>
      <c r="L170" s="32" t="n"/>
      <c r="M170" s="33" t="n"/>
      <c r="N170" s="32" t="n"/>
      <c r="O170" s="32" t="n"/>
      <c r="P170" s="32" t="n"/>
      <c r="Q170" s="32" t="n"/>
    </row>
    <row r="171" ht="43" customHeight="1">
      <c r="A171" s="27" t="inlineStr">
        <is>
          <t>BL-APPT-028</t>
        </is>
      </c>
      <c r="B171" s="28" t="inlineStr">
        <is>
          <t>Appointments</t>
        </is>
      </c>
      <c r="C171" s="28" t="inlineStr">
        <is>
          <t>Detail actions by status</t>
        </is>
      </c>
      <c r="D171" s="28" t="inlineStr">
        <is>
          <t>Reason for a disabled Cancel is visible to sighted users</t>
        </is>
      </c>
      <c r="E171" s="28" t="inlineStr">
        <is>
          <t>Open a booking whose Cancel is disabled</t>
        </is>
      </c>
      <c r="F171" s="28" t="inlineStr">
        <is>
          <t>The reason should be readable on screen. The code exposes it only to screen readers ('Cancel unavailable — &lt;reason&gt;').</t>
        </is>
      </c>
      <c r="G171" s="29" t="inlineStr">
        <is>
          <t>P2</t>
        </is>
      </c>
      <c r="H171" s="29" t="inlineStr">
        <is>
          <t>Verify gap</t>
        </is>
      </c>
      <c r="I171" s="30" t="inlineStr">
        <is>
          <t>lib/features/appointments/presentation/screen/appointment_detail_screen.dart:808</t>
        </is>
      </c>
      <c r="J171" s="29" t="n"/>
      <c r="K171" s="31" t="inlineStr">
        <is>
          <t>Not Run</t>
        </is>
      </c>
      <c r="L171" s="32" t="n"/>
      <c r="M171" s="33" t="n"/>
      <c r="N171" s="32" t="n"/>
      <c r="O171" s="32" t="n"/>
      <c r="P171" s="32" t="n"/>
      <c r="Q171" s="32" t="n"/>
    </row>
    <row r="172" ht="43" customHeight="1">
      <c r="A172" s="27" t="inlineStr">
        <is>
          <t>BL-APPT-029</t>
        </is>
      </c>
      <c r="B172" s="28" t="inlineStr">
        <is>
          <t>Appointments</t>
        </is>
      </c>
      <c r="C172" s="28" t="inlineStr">
        <is>
          <t>Detail actions by status</t>
        </is>
      </c>
      <c r="D172" s="28" t="inlineStr">
        <is>
          <t>Retry payment appears only when the server allows it</t>
        </is>
      </c>
      <c r="E172" s="28" t="inlineStr">
        <is>
          <t>Open a pending-payment booking before and after its deadline</t>
        </is>
      </c>
      <c r="F172" s="28" t="inlineStr">
        <is>
          <t>'Retry payment' before; gone after. It opens the payment screen for that booking and order.</t>
        </is>
      </c>
      <c r="G172" s="29" t="inlineStr">
        <is>
          <t>P0</t>
        </is>
      </c>
      <c r="H172" s="29" t="inlineStr">
        <is>
          <t>Rule</t>
        </is>
      </c>
      <c r="I172" s="30" t="inlineStr">
        <is>
          <t>lib/features/appointments/presentation/screen/appointment_detail_screen.dart:262</t>
        </is>
      </c>
      <c r="J172" s="29" t="n"/>
      <c r="K172" s="31" t="inlineStr">
        <is>
          <t>Not Run</t>
        </is>
      </c>
      <c r="L172" s="32" t="n"/>
      <c r="M172" s="33" t="n"/>
      <c r="N172" s="32" t="n"/>
      <c r="O172" s="32" t="n"/>
      <c r="P172" s="32" t="n"/>
      <c r="Q172" s="32" t="n"/>
    </row>
    <row r="173" ht="43" customHeight="1">
      <c r="A173" s="27" t="inlineStr">
        <is>
          <t>BL-APPT-030</t>
        </is>
      </c>
      <c r="B173" s="28" t="inlineStr">
        <is>
          <t>Appointments</t>
        </is>
      </c>
      <c r="C173" s="28" t="inlineStr">
        <is>
          <t>Detail actions by status</t>
        </is>
      </c>
      <c r="D173" s="28" t="inlineStr">
        <is>
          <t>'Pay within mm:ss' countdown</t>
        </is>
      </c>
      <c r="E173" s="28" t="inlineStr">
        <is>
          <t>1. Open a pending-payment booking with time left
2. Watch it reach 00:00
3. Reopen after the deadline</t>
        </is>
      </c>
      <c r="F173" s="28" t="inlineStr">
        <is>
          <t>Countdown while time remains; absent after. Check what happens at 00:00 without leaving the screen (the code does not re-evaluate until rebuild).</t>
        </is>
      </c>
      <c r="G173" s="29" t="inlineStr">
        <is>
          <t>P1</t>
        </is>
      </c>
      <c r="H173" s="29" t="inlineStr">
        <is>
          <t>Boundary</t>
        </is>
      </c>
      <c r="I173" s="30" t="inlineStr">
        <is>
          <t>lib/features/appointments/presentation/screen/appointment_detail_screen.dart:368</t>
        </is>
      </c>
      <c r="J173" s="29" t="n"/>
      <c r="K173" s="31" t="inlineStr">
        <is>
          <t>Not Run</t>
        </is>
      </c>
      <c r="L173" s="32" t="n"/>
      <c r="M173" s="33" t="n"/>
      <c r="N173" s="32" t="n"/>
      <c r="O173" s="32" t="n"/>
      <c r="P173" s="32" t="n"/>
      <c r="Q173" s="32" t="n"/>
    </row>
    <row r="174" ht="43" customHeight="1">
      <c r="A174" s="27" t="inlineStr">
        <is>
          <t>BL-APPT-031</t>
        </is>
      </c>
      <c r="B174" s="28" t="inlineStr">
        <is>
          <t>Appointments</t>
        </is>
      </c>
      <c r="C174" s="28" t="inlineStr">
        <is>
          <t>Detail actions by status</t>
        </is>
      </c>
      <c r="D174" s="28" t="inlineStr">
        <is>
          <t>Closed appointments: Book Again and Rate visit</t>
        </is>
      </c>
      <c r="E174" s="28" t="inlineStr">
        <is>
          <t>Open a completed-unreviewed, completed-reviewed and cancelled appointment</t>
        </is>
      </c>
      <c r="F174" s="28" t="inlineStr">
        <is>
          <t>Rate visit + Book Again / Book Again only / Book Again only.</t>
        </is>
      </c>
      <c r="G174" s="29" t="inlineStr">
        <is>
          <t>P1</t>
        </is>
      </c>
      <c r="H174" s="29" t="inlineStr">
        <is>
          <t>Rule</t>
        </is>
      </c>
      <c r="I174" s="30" t="inlineStr">
        <is>
          <t>lib/features/appointments/presentation/screen/appointment_detail_screen.dart:763</t>
        </is>
      </c>
      <c r="J174" s="29" t="n"/>
      <c r="K174" s="31" t="inlineStr">
        <is>
          <t>Not Run</t>
        </is>
      </c>
      <c r="L174" s="32" t="n"/>
      <c r="M174" s="33" t="n"/>
      <c r="N174" s="32" t="n"/>
      <c r="O174" s="32" t="n"/>
      <c r="P174" s="32" t="n"/>
      <c r="Q174" s="32" t="n"/>
    </row>
    <row r="175" ht="69" customHeight="1">
      <c r="A175" s="27" t="inlineStr">
        <is>
          <t>BL-APPT-032</t>
        </is>
      </c>
      <c r="B175" s="28" t="inlineStr">
        <is>
          <t>Appointments</t>
        </is>
      </c>
      <c r="C175" s="28" t="inlineStr">
        <is>
          <t>Detail actions by status</t>
        </is>
      </c>
      <c r="D175" s="28" t="inlineStr">
        <is>
          <t>Live queue row and its wording</t>
        </is>
      </c>
      <c r="E175" s="28" t="inlineStr">
        <is>
          <t>Open the detail in scheduled and in checked-in status</t>
        </is>
      </c>
      <c r="F175" s="28" t="inlineStr">
        <is>
          <t>'Opens on the day — see the desk move in real time once the session starts.' vs 'See who is being seen and how far your token is from the desk.' Confirm the row should also appear for pending-payment and awaiting-confirmation bookings (it does).</t>
        </is>
      </c>
      <c r="G175" s="29" t="inlineStr">
        <is>
          <t>P2</t>
        </is>
      </c>
      <c r="H175" s="29" t="inlineStr">
        <is>
          <t>Rule</t>
        </is>
      </c>
      <c r="I175" s="30" t="inlineStr">
        <is>
          <t>lib/features/appointments/presentation/screen/appointment_detail_screen.dart:148</t>
        </is>
      </c>
      <c r="J175" s="29" t="n"/>
      <c r="K175" s="31" t="inlineStr">
        <is>
          <t>Not Run</t>
        </is>
      </c>
      <c r="L175" s="32" t="n"/>
      <c r="M175" s="33" t="n"/>
      <c r="N175" s="32" t="n"/>
      <c r="O175" s="32" t="n"/>
      <c r="P175" s="32" t="n"/>
      <c r="Q175" s="32" t="n"/>
    </row>
    <row r="176" ht="69" customHeight="1">
      <c r="A176" s="27" t="inlineStr">
        <is>
          <t>BL-APPT-033</t>
        </is>
      </c>
      <c r="B176" s="28" t="inlineStr">
        <is>
          <t>Appointments</t>
        </is>
      </c>
      <c r="C176" s="28" t="inlineStr">
        <is>
          <t>Detail actions by status</t>
        </is>
      </c>
      <c r="D176" s="28" t="inlineStr">
        <is>
          <t>Fee rows show only what applies, from the booking snapshot</t>
        </is>
      </c>
      <c r="E176" s="28" t="inlineStr">
        <is>
          <t>Open a discounted booking and a refunded one</t>
        </is>
      </c>
      <c r="F176" s="28" t="inlineStr">
        <is>
          <t>Zero-value rows (service fee, discount, convenience fee, tax) are hidden; discount shows as '−₹X'; one refund row per refund with status and date. Values equal what was charged at booking even if the doctor's fee changed since.</t>
        </is>
      </c>
      <c r="G176" s="29" t="inlineStr">
        <is>
          <t>P0</t>
        </is>
      </c>
      <c r="H176" s="29" t="inlineStr">
        <is>
          <t>Calculation</t>
        </is>
      </c>
      <c r="I176" s="30" t="inlineStr">
        <is>
          <t>lib/features/appointments/presentation/screen/appointment_detail_screen.dart:500</t>
        </is>
      </c>
      <c r="J176" s="29" t="n"/>
      <c r="K176" s="31" t="inlineStr">
        <is>
          <t>Not Run</t>
        </is>
      </c>
      <c r="L176" s="32" t="n"/>
      <c r="M176" s="33" t="n"/>
      <c r="N176" s="32" t="n"/>
      <c r="O176" s="32" t="n"/>
      <c r="P176" s="32" t="n"/>
      <c r="Q176" s="32" t="n"/>
    </row>
    <row r="177" ht="43" customHeight="1">
      <c r="A177" s="27" t="inlineStr">
        <is>
          <t>BL-APPT-034</t>
        </is>
      </c>
      <c r="B177" s="28" t="inlineStr">
        <is>
          <t>Appointments</t>
        </is>
      </c>
      <c r="C177" s="28" t="inlineStr">
        <is>
          <t>Detail actions by status</t>
        </is>
      </c>
      <c r="D177" s="28" t="inlineStr">
        <is>
          <t>Fallbacks for missing data</t>
        </is>
      </c>
      <c r="E177" s="28" t="inlineStr">
        <is>
          <t>1. Open a booking with no token yet
2. Open an appointment id that is not yours</t>
        </is>
      </c>
      <c r="F177" s="28" t="inlineStr">
        <is>
          <t>'Issued at the desk' for the token; 'Appointment not found — This appointment is not on your account…' for the foreign id.</t>
        </is>
      </c>
      <c r="G177" s="29" t="inlineStr">
        <is>
          <t>P1</t>
        </is>
      </c>
      <c r="H177" s="29" t="inlineStr">
        <is>
          <t>Error handling</t>
        </is>
      </c>
      <c r="I177" s="30" t="inlineStr">
        <is>
          <t>lib/features/appointments/presentation/screen/appointment_detail_screen.dart:87</t>
        </is>
      </c>
      <c r="J177" s="29" t="n"/>
      <c r="K177" s="31" t="inlineStr">
        <is>
          <t>Not Run</t>
        </is>
      </c>
      <c r="L177" s="32" t="n"/>
      <c r="M177" s="33" t="n"/>
      <c r="N177" s="32" t="n"/>
      <c r="O177" s="32" t="n"/>
      <c r="P177" s="32" t="n"/>
      <c r="Q177" s="32" t="n"/>
    </row>
    <row r="178" ht="43" customHeight="1">
      <c r="A178" s="27" t="inlineStr">
        <is>
          <t>BL-APPT-035</t>
        </is>
      </c>
      <c r="B178" s="28" t="inlineStr">
        <is>
          <t>Appointments</t>
        </is>
      </c>
      <c r="C178" s="28" t="inlineStr">
        <is>
          <t>Detail actions by status</t>
        </is>
      </c>
      <c r="D178" s="28" t="inlineStr">
        <is>
          <t>History lists each event with its resulting status</t>
        </is>
      </c>
      <c r="E178" s="28" t="inlineStr">
        <is>
          <t>1. Book, get checked in, then cancel or complete
2. Open History</t>
        </is>
      </c>
      <c r="F178" s="28" t="inlineStr">
        <is>
          <t>Rows such as 'Booked → Payment pending', 'Checked in → Checked in', in time order; 'No events recorded yet.' when empty.</t>
        </is>
      </c>
      <c r="G178" s="29" t="inlineStr">
        <is>
          <t>P2</t>
        </is>
      </c>
      <c r="H178" s="29" t="inlineStr">
        <is>
          <t>Data mapping</t>
        </is>
      </c>
      <c r="I178" s="30" t="inlineStr">
        <is>
          <t>lib/features/appointments/presentation/screen/appointment_detail_screen.dart:645</t>
        </is>
      </c>
      <c r="J178" s="29" t="n"/>
      <c r="K178" s="31" t="inlineStr">
        <is>
          <t>Not Run</t>
        </is>
      </c>
      <c r="L178" s="32" t="n"/>
      <c r="M178" s="33" t="n"/>
      <c r="N178" s="32" t="n"/>
      <c r="O178" s="32" t="n"/>
      <c r="P178" s="32" t="n"/>
      <c r="Q178" s="32" t="n"/>
    </row>
    <row r="179" ht="43" customHeight="1">
      <c r="A179" s="27" t="inlineStr">
        <is>
          <t>BL-APPT-036</t>
        </is>
      </c>
      <c r="B179" s="28" t="inlineStr">
        <is>
          <t>Appointments</t>
        </is>
      </c>
      <c r="C179" s="28" t="inlineStr">
        <is>
          <t>Cancellation preview &amp; refund</t>
        </is>
      </c>
      <c r="D179" s="28" t="inlineStr">
        <is>
          <t>A fresh policy check precedes every cancel</t>
        </is>
      </c>
      <c r="E179" s="28" t="inlineStr">
        <is>
          <t>1. Tap Cancel online
2. Tap Cancel offline</t>
        </is>
      </c>
      <c r="F179" s="28" t="inlineStr">
        <is>
          <t>Online: the dialog reflects the server's current policy. Offline: toast 'Could not check the cancellation policy. Please try again.' and no dialog.</t>
        </is>
      </c>
      <c r="G179" s="29" t="inlineStr">
        <is>
          <t>P0</t>
        </is>
      </c>
      <c r="H179" s="29" t="inlineStr">
        <is>
          <t>Rule</t>
        </is>
      </c>
      <c r="I179" s="30" t="inlineStr">
        <is>
          <t>lib/features/appointments/presentation/screen/appointment_detail_screen.dart:211</t>
        </is>
      </c>
      <c r="J179" s="29" t="n"/>
      <c r="K179" s="31" t="inlineStr">
        <is>
          <t>Not Run</t>
        </is>
      </c>
      <c r="L179" s="32" t="n"/>
      <c r="M179" s="33" t="n"/>
      <c r="N179" s="32" t="n"/>
      <c r="O179" s="32" t="n"/>
      <c r="P179" s="32" t="n"/>
      <c r="Q179" s="32" t="n"/>
    </row>
    <row r="180" ht="43" customHeight="1">
      <c r="A180" s="27" t="inlineStr">
        <is>
          <t>BL-APPT-037</t>
        </is>
      </c>
      <c r="B180" s="28" t="inlineStr">
        <is>
          <t>Appointments</t>
        </is>
      </c>
      <c r="C180" s="28" t="inlineStr">
        <is>
          <t>Cancellation preview &amp; refund</t>
        </is>
      </c>
      <c r="D180" s="28" t="inlineStr">
        <is>
          <t>Cancellation refused by policy</t>
        </is>
      </c>
      <c r="E180" s="28" t="inlineStr">
        <is>
          <t>Tap Cancel after the token was called, and after the token cancel window closed</t>
        </is>
      </c>
      <c r="F180" s="28" t="inlineStr">
        <is>
          <t>No dialog; toast 'Your token has already been called, so only the hospital can cancel this appointment now.' / 'The cancellation window for this token has closed.'</t>
        </is>
      </c>
      <c r="G180" s="29" t="inlineStr">
        <is>
          <t>P0</t>
        </is>
      </c>
      <c r="H180" s="29" t="inlineStr">
        <is>
          <t>Rule</t>
        </is>
      </c>
      <c r="I180" s="30" t="inlineStr">
        <is>
          <t>lib/features/appointments/presentation/components/cancellation_notice.dart:129</t>
        </is>
      </c>
      <c r="J180" s="29" t="n"/>
      <c r="K180" s="31" t="inlineStr">
        <is>
          <t>Not Run</t>
        </is>
      </c>
      <c r="L180" s="32" t="n"/>
      <c r="M180" s="33" t="n"/>
      <c r="N180" s="32" t="n"/>
      <c r="O180" s="32" t="n"/>
      <c r="P180" s="32" t="n"/>
      <c r="Q180" s="32" t="n"/>
    </row>
    <row r="181" ht="43" customHeight="1">
      <c r="A181" s="27" t="inlineStr">
        <is>
          <t>BL-APPT-038</t>
        </is>
      </c>
      <c r="B181" s="28" t="inlineStr">
        <is>
          <t>Appointments</t>
        </is>
      </c>
      <c r="C181" s="28" t="inlineStr">
        <is>
          <t>Cancellation preview &amp; refund</t>
        </is>
      </c>
      <c r="D181" s="28" t="inlineStr">
        <is>
          <t>Unpaid booking: nothing to refund</t>
        </is>
      </c>
      <c r="E181" s="28" t="inlineStr">
        <is>
          <t>Cancel a pending-payment booking</t>
        </is>
      </c>
      <c r="F181" s="28" t="inlineStr">
        <is>
          <t>'Nothing has been paid on this booking, so there is nothing to refund. Cancelling releases the slot and the token.'</t>
        </is>
      </c>
      <c r="G181" s="29" t="inlineStr">
        <is>
          <t>P1</t>
        </is>
      </c>
      <c r="H181" s="29" t="inlineStr">
        <is>
          <t>Rule</t>
        </is>
      </c>
      <c r="I181" s="30" t="inlineStr">
        <is>
          <t>lib/features/appointments/presentation/components/cancellation_notice.dart:139</t>
        </is>
      </c>
      <c r="J181" s="29" t="n"/>
      <c r="K181" s="31" t="inlineStr">
        <is>
          <t>Not Run</t>
        </is>
      </c>
      <c r="L181" s="32" t="n"/>
      <c r="M181" s="33" t="n"/>
      <c r="N181" s="32" t="n"/>
      <c r="O181" s="32" t="n"/>
      <c r="P181" s="32" t="n"/>
      <c r="Q181" s="32" t="n"/>
    </row>
    <row r="182" ht="43" customHeight="1">
      <c r="A182" s="27" t="inlineStr">
        <is>
          <t>BL-APPT-039</t>
        </is>
      </c>
      <c r="B182" s="28" t="inlineStr">
        <is>
          <t>Appointments</t>
        </is>
      </c>
      <c r="C182" s="28" t="inlineStr">
        <is>
          <t>Cancellation preview &amp; refund</t>
        </is>
      </c>
      <c r="D182" s="28" t="inlineStr">
        <is>
          <t>Paid booking with 0% refund</t>
        </is>
      </c>
      <c r="E182" s="28" t="inlineStr">
        <is>
          <t>Cancel a paid booking past the hospital's cut-off</t>
        </is>
      </c>
      <c r="F182" s="28" t="inlineStr">
        <is>
          <t>'You are past the hospital's cut-off, so the ₹X paid is not refundable.' X equals the amount paid.</t>
        </is>
      </c>
      <c r="G182" s="29" t="inlineStr">
        <is>
          <t>P0</t>
        </is>
      </c>
      <c r="H182" s="29" t="inlineStr">
        <is>
          <t>Calculation</t>
        </is>
      </c>
      <c r="I182" s="30" t="inlineStr">
        <is>
          <t>lib/features/appointments/presentation/components/cancellation_notice.dart:143</t>
        </is>
      </c>
      <c r="J182" s="29" t="n"/>
      <c r="K182" s="31" t="inlineStr">
        <is>
          <t>Not Run</t>
        </is>
      </c>
      <c r="L182" s="32" t="n"/>
      <c r="M182" s="33" t="n"/>
      <c r="N182" s="32" t="n"/>
      <c r="O182" s="32" t="n"/>
      <c r="P182" s="32" t="n"/>
      <c r="Q182" s="32" t="n"/>
    </row>
    <row r="183" ht="56" customHeight="1">
      <c r="A183" s="27" t="inlineStr">
        <is>
          <t>BL-APPT-040</t>
        </is>
      </c>
      <c r="B183" s="28" t="inlineStr">
        <is>
          <t>Appointments</t>
        </is>
      </c>
      <c r="C183" s="28" t="inlineStr">
        <is>
          <t>Cancellation preview &amp; refund</t>
        </is>
      </c>
      <c r="D183" s="28" t="inlineStr">
        <is>
          <t>Paid booking with a refund</t>
        </is>
      </c>
      <c r="E183" s="28" t="inlineStr">
        <is>
          <t>Cancel paid bookings with a full refund, a partial refund, and one where the convenience fee is refunded</t>
        </is>
      </c>
      <c r="F183" s="28" t="inlineStr">
        <is>
          <t>'₹450 (100%) goes back to the original payment method. Refunds usually take 5–7 working days.' Partial adds '; ₹Y is not refundable'; fee-inclusive adds 'including the convenience fee'. Amounts equal the server preview.</t>
        </is>
      </c>
      <c r="G183" s="29" t="inlineStr">
        <is>
          <t>P0</t>
        </is>
      </c>
      <c r="H183" s="29" t="inlineStr">
        <is>
          <t>Calculation</t>
        </is>
      </c>
      <c r="I183" s="30" t="inlineStr">
        <is>
          <t>lib/features/appointments/presentation/components/cancellation_notice.dart:147</t>
        </is>
      </c>
      <c r="J183" s="29" t="n"/>
      <c r="K183" s="31" t="inlineStr">
        <is>
          <t>Not Run</t>
        </is>
      </c>
      <c r="L183" s="32" t="n"/>
      <c r="M183" s="33" t="n"/>
      <c r="N183" s="32" t="n"/>
      <c r="O183" s="32" t="n"/>
      <c r="P183" s="32" t="n"/>
      <c r="Q183" s="32" t="n"/>
    </row>
    <row r="184" ht="43" customHeight="1">
      <c r="A184" s="27" t="inlineStr">
        <is>
          <t>BL-APPT-041</t>
        </is>
      </c>
      <c r="B184" s="28" t="inlineStr">
        <is>
          <t>Appointments</t>
        </is>
      </c>
      <c r="C184" s="28" t="inlineStr">
        <is>
          <t>Cancellation preview &amp; refund</t>
        </is>
      </c>
      <c r="D184" s="28" t="inlineStr">
        <is>
          <t>Refund percentage display</t>
        </is>
      </c>
      <c r="E184" s="28" t="inlineStr">
        <is>
          <t>Use hospitals with 100%, 50% and 37.5% refund tiers</t>
        </is>
      </c>
      <c r="F184" s="28" t="inlineStr">
        <is>
          <t>'100%', '50%', '37.5%'.</t>
        </is>
      </c>
      <c r="G184" s="29" t="inlineStr">
        <is>
          <t>P2</t>
        </is>
      </c>
      <c r="H184" s="29" t="inlineStr">
        <is>
          <t>Calculation</t>
        </is>
      </c>
      <c r="I184" s="30" t="inlineStr">
        <is>
          <t>lib/features/appointments/domain/entities/cancellation_preview.dart:38</t>
        </is>
      </c>
      <c r="J184" s="29" t="n"/>
      <c r="K184" s="31" t="inlineStr">
        <is>
          <t>Not Run</t>
        </is>
      </c>
      <c r="L184" s="32" t="n"/>
      <c r="M184" s="33" t="n"/>
      <c r="N184" s="32" t="n"/>
      <c r="O184" s="32" t="n"/>
      <c r="P184" s="32" t="n"/>
      <c r="Q184" s="32" t="n"/>
    </row>
    <row r="185" ht="43" customHeight="1">
      <c r="A185" s="27" t="inlineStr">
        <is>
          <t>BL-APPT-042</t>
        </is>
      </c>
      <c r="B185" s="28" t="inlineStr">
        <is>
          <t>Appointments</t>
        </is>
      </c>
      <c r="C185" s="28" t="inlineStr">
        <is>
          <t>Cancellation preview &amp; refund</t>
        </is>
      </c>
      <c r="D185" s="28" t="inlineStr">
        <is>
          <t>Wording when 0% refund applies before the cut-off</t>
        </is>
      </c>
      <c r="E185" s="28" t="inlineStr">
        <is>
          <t>1. Use a hospital whose policy refunds 0% even before the cut-off
2. Tap Cancel</t>
        </is>
      </c>
      <c r="F185" s="28" t="inlineStr">
        <is>
          <t>Message should not claim the user is past the cut-off. The code always says so when refund is 0 and money was paid.</t>
        </is>
      </c>
      <c r="G185" s="29" t="inlineStr">
        <is>
          <t>P2</t>
        </is>
      </c>
      <c r="H185" s="29" t="inlineStr">
        <is>
          <t>Verify gap</t>
        </is>
      </c>
      <c r="I185" s="30" t="inlineStr">
        <is>
          <t>lib/features/appointments/presentation/components/cancellation_notice.dart:143</t>
        </is>
      </c>
      <c r="J185" s="29" t="n"/>
      <c r="K185" s="31" t="inlineStr">
        <is>
          <t>Not Run</t>
        </is>
      </c>
      <c r="L185" s="32" t="n"/>
      <c r="M185" s="33" t="n"/>
      <c r="N185" s="32" t="n"/>
      <c r="O185" s="32" t="n"/>
      <c r="P185" s="32" t="n"/>
      <c r="Q185" s="32" t="n"/>
    </row>
    <row r="186" ht="43" customHeight="1">
      <c r="A186" s="27" t="inlineStr">
        <is>
          <t>BL-APPT-043</t>
        </is>
      </c>
      <c r="B186" s="28" t="inlineStr">
        <is>
          <t>Appointments</t>
        </is>
      </c>
      <c r="C186" s="28" t="inlineStr">
        <is>
          <t>Cancellation preview &amp; refund</t>
        </is>
      </c>
      <c r="D186" s="28" t="inlineStr">
        <is>
          <t>Policy panel after 'Keep appointment'</t>
        </is>
      </c>
      <c r="E186" s="28" t="inlineStr">
        <is>
          <t>Tap Cancel, then 'Keep appointment'</t>
        </is>
      </c>
      <c r="F186" s="28" t="inlineStr">
        <is>
          <t>Detail shows 'Cancellation policy · Before the cut-off' (or 'Past the cut-off') with cut-off time and 'Refund 100% · ₹450'.</t>
        </is>
      </c>
      <c r="G186" s="29" t="inlineStr">
        <is>
          <t>P3</t>
        </is>
      </c>
      <c r="H186" s="29" t="inlineStr">
        <is>
          <t>State</t>
        </is>
      </c>
      <c r="I186" s="30" t="inlineStr">
        <is>
          <t>lib/features/appointments/presentation/screen/appointment_detail_screen.dart:163</t>
        </is>
      </c>
      <c r="J186" s="29" t="n"/>
      <c r="K186" s="31" t="inlineStr">
        <is>
          <t>Not Run</t>
        </is>
      </c>
      <c r="L186" s="32" t="n"/>
      <c r="M186" s="33" t="n"/>
      <c r="N186" s="32" t="n"/>
      <c r="O186" s="32" t="n"/>
      <c r="P186" s="32" t="n"/>
      <c r="Q186" s="32" t="n"/>
    </row>
    <row r="187" ht="43" customHeight="1">
      <c r="A187" s="27" t="inlineStr">
        <is>
          <t>BL-APPT-044</t>
        </is>
      </c>
      <c r="B187" s="28" t="inlineStr">
        <is>
          <t>Appointments</t>
        </is>
      </c>
      <c r="C187" s="28" t="inlineStr">
        <is>
          <t>Cancel submit</t>
        </is>
      </c>
      <c r="D187" s="28" t="inlineStr">
        <is>
          <t>Exactly one cancellation per confirmation</t>
        </is>
      </c>
      <c r="E187" s="28" t="inlineStr">
        <is>
          <t>1. Double-tap Cancel and 'Yes, cancel'
2. Inspect requests</t>
        </is>
      </c>
      <c r="F187" s="28" t="inlineStr">
        <is>
          <t>One policy request and one cancel request, carrying an Idempotency-Key.</t>
        </is>
      </c>
      <c r="G187" s="29" t="inlineStr">
        <is>
          <t>P0</t>
        </is>
      </c>
      <c r="H187" s="29" t="inlineStr">
        <is>
          <t>Rule</t>
        </is>
      </c>
      <c r="I187" s="30" t="inlineStr">
        <is>
          <t>lib/features/appointments/application/providers/appointments_provider.dart:290</t>
        </is>
      </c>
      <c r="J187" s="29" t="n"/>
      <c r="K187" s="31" t="inlineStr">
        <is>
          <t>Not Run</t>
        </is>
      </c>
      <c r="L187" s="32" t="n"/>
      <c r="M187" s="33" t="n"/>
      <c r="N187" s="32" t="n"/>
      <c r="O187" s="32" t="n"/>
      <c r="P187" s="32" t="n"/>
      <c r="Q187" s="32" t="n"/>
    </row>
    <row r="188" ht="56" customHeight="1">
      <c r="A188" s="27" t="inlineStr">
        <is>
          <t>BL-APPT-045</t>
        </is>
      </c>
      <c r="B188" s="28" t="inlineStr">
        <is>
          <t>Appointments</t>
        </is>
      </c>
      <c r="C188" s="28" t="inlineStr">
        <is>
          <t>Cancel submit</t>
        </is>
      </c>
      <c r="D188" s="28" t="inlineStr">
        <is>
          <t>Retry after a timeout reuses the same key</t>
        </is>
      </c>
      <c r="E188" s="28" t="inlineStr">
        <is>
          <t>1. Make the cancel request time out
2. Retry without leaving the screen
3. Repeat, but leave the screen and come back before retrying</t>
        </is>
      </c>
      <c r="F188" s="28" t="inlineStr">
        <is>
          <t>Same key on the in-screen retry (one cancellation, one refund). Check the leave-and-return case: the code creates a new key there.</t>
        </is>
      </c>
      <c r="G188" s="29" t="inlineStr">
        <is>
          <t>P1</t>
        </is>
      </c>
      <c r="H188" s="29" t="inlineStr">
        <is>
          <t>Verify gap</t>
        </is>
      </c>
      <c r="I188" s="30" t="inlineStr">
        <is>
          <t>lib/features/appointments/application/providers/appointments_provider.dart:301</t>
        </is>
      </c>
      <c r="J188" s="29" t="n"/>
      <c r="K188" s="31" t="inlineStr">
        <is>
          <t>Not Run</t>
        </is>
      </c>
      <c r="L188" s="32" t="n"/>
      <c r="M188" s="33" t="n"/>
      <c r="N188" s="32" t="n"/>
      <c r="O188" s="32" t="n"/>
      <c r="P188" s="32" t="n"/>
      <c r="Q188" s="32" t="n"/>
    </row>
    <row r="189" ht="43" customHeight="1">
      <c r="A189" s="27" t="inlineStr">
        <is>
          <t>BL-APPT-046</t>
        </is>
      </c>
      <c r="B189" s="28" t="inlineStr">
        <is>
          <t>Appointments</t>
        </is>
      </c>
      <c r="C189" s="28" t="inlineStr">
        <is>
          <t>Cancel submit</t>
        </is>
      </c>
      <c r="D189" s="28" t="inlineStr">
        <is>
          <t>Success message reflects the refund</t>
        </is>
      </c>
      <c r="E189" s="28" t="inlineStr">
        <is>
          <t>1. Cancel an unpaid booking
2. Cancel a paid refundable one</t>
        </is>
      </c>
      <c r="F189" s="28" t="inlineStr">
        <is>
          <t>'Appointment cancelled.' vs 'Appointment cancelled · ₹X refund requested'.</t>
        </is>
      </c>
      <c r="G189" s="29" t="inlineStr">
        <is>
          <t>P1</t>
        </is>
      </c>
      <c r="H189" s="29" t="inlineStr">
        <is>
          <t>Calculation</t>
        </is>
      </c>
      <c r="I189" s="30" t="inlineStr">
        <is>
          <t>lib/features/appointments/presentation/screen/appointment_detail_screen.dart:245</t>
        </is>
      </c>
      <c r="J189" s="29" t="n"/>
      <c r="K189" s="31" t="inlineStr">
        <is>
          <t>Not Run</t>
        </is>
      </c>
      <c r="L189" s="32" t="n"/>
      <c r="M189" s="33" t="n"/>
      <c r="N189" s="32" t="n"/>
      <c r="O189" s="32" t="n"/>
      <c r="P189" s="32" t="n"/>
      <c r="Q189" s="32" t="n"/>
    </row>
    <row r="190" ht="43" customHeight="1">
      <c r="A190" s="27" t="inlineStr">
        <is>
          <t>BL-APPT-047</t>
        </is>
      </c>
      <c r="B190" s="28" t="inlineStr">
        <is>
          <t>Appointments</t>
        </is>
      </c>
      <c r="C190" s="28" t="inlineStr">
        <is>
          <t>Cancel submit</t>
        </is>
      </c>
      <c r="D190" s="28" t="inlineStr">
        <is>
          <t>Everything refreshes after a cancel</t>
        </is>
      </c>
      <c r="E190" s="28" t="inlineStr">
        <is>
          <t>Cancel, then look at Upcoming, Cancelled and Home</t>
        </is>
      </c>
      <c r="F190" s="28" t="inlineStr">
        <is>
          <t>Booking leaves Upcoming and the Home token card and appears under Cancelled without a manual refresh.</t>
        </is>
      </c>
      <c r="G190" s="29" t="inlineStr">
        <is>
          <t>P0</t>
        </is>
      </c>
      <c r="H190" s="29" t="inlineStr">
        <is>
          <t>State</t>
        </is>
      </c>
      <c r="I190" s="30" t="inlineStr">
        <is>
          <t>lib/features/appointments/presentation/screen/appointment_detail_screen.dart:254</t>
        </is>
      </c>
      <c r="J190" s="29" t="n"/>
      <c r="K190" s="31" t="inlineStr">
        <is>
          <t>Not Run</t>
        </is>
      </c>
      <c r="L190" s="32" t="n"/>
      <c r="M190" s="33" t="n"/>
      <c r="N190" s="32" t="n"/>
      <c r="O190" s="32" t="n"/>
      <c r="P190" s="32" t="n"/>
      <c r="Q190" s="32" t="n"/>
    </row>
    <row r="191" ht="56" customHeight="1">
      <c r="A191" s="27" t="inlineStr">
        <is>
          <t>BL-APPT-048</t>
        </is>
      </c>
      <c r="B191" s="28" t="inlineStr">
        <is>
          <t>Appointments</t>
        </is>
      </c>
      <c r="C191" s="28" t="inlineStr">
        <is>
          <t>Cancel submit</t>
        </is>
      </c>
      <c r="D191" s="28" t="inlineStr">
        <is>
          <t>Conflict errors have specific messages</t>
        </is>
      </c>
      <c r="E191" s="28" t="inlineStr">
        <is>
          <t>Cancel a booking that another device just cancelled, and one whose token was just called</t>
        </is>
      </c>
      <c r="F191" s="28" t="inlineStr">
        <is>
          <t>'This appointment can no longer be changed.' / token messages as above; a duplicate in-flight request says 'That request is already being processed. Please wait a moment.'</t>
        </is>
      </c>
      <c r="G191" s="29" t="inlineStr">
        <is>
          <t>P1</t>
        </is>
      </c>
      <c r="H191" s="29" t="inlineStr">
        <is>
          <t>Error handling</t>
        </is>
      </c>
      <c r="I191" s="30" t="inlineStr">
        <is>
          <t>lib/core/network/network_exceptions.dart:513</t>
        </is>
      </c>
      <c r="J191" s="29" t="n"/>
      <c r="K191" s="31" t="inlineStr">
        <is>
          <t>Not Run</t>
        </is>
      </c>
      <c r="L191" s="32" t="n"/>
      <c r="M191" s="33" t="n"/>
      <c r="N191" s="32" t="n"/>
      <c r="O191" s="32" t="n"/>
      <c r="P191" s="32" t="n"/>
      <c r="Q191" s="32" t="n"/>
    </row>
    <row r="192" ht="43" customHeight="1">
      <c r="A192" s="27" t="inlineStr">
        <is>
          <t>BL-APPT-049</t>
        </is>
      </c>
      <c r="B192" s="28" t="inlineStr">
        <is>
          <t>Appointments</t>
        </is>
      </c>
      <c r="C192" s="28" t="inlineStr">
        <is>
          <t>Cancel submit</t>
        </is>
      </c>
      <c r="D192" s="28" t="inlineStr">
        <is>
          <t>Screen state after a refused cancel</t>
        </is>
      </c>
      <c r="E192" s="28" t="inlineStr">
        <is>
          <t>Trigger a 409 on cancel and stay on the screen</t>
        </is>
      </c>
      <c r="F192" s="28" t="inlineStr">
        <is>
          <t>Cancel should become disabled / status should update. The code does not re-fetch the detail after a failed cancel.</t>
        </is>
      </c>
      <c r="G192" s="29" t="inlineStr">
        <is>
          <t>P2</t>
        </is>
      </c>
      <c r="H192" s="29" t="inlineStr">
        <is>
          <t>Verify gap</t>
        </is>
      </c>
      <c r="I192" s="30" t="inlineStr">
        <is>
          <t>lib/features/appointments/application/providers/appointments_provider.dart:279</t>
        </is>
      </c>
      <c r="J192" s="29" t="n"/>
      <c r="K192" s="31" t="inlineStr">
        <is>
          <t>Not Run</t>
        </is>
      </c>
      <c r="L192" s="32" t="n"/>
      <c r="M192" s="33" t="n"/>
      <c r="N192" s="32" t="n"/>
      <c r="O192" s="32" t="n"/>
      <c r="P192" s="32" t="n"/>
      <c r="Q192" s="32" t="n"/>
    </row>
    <row r="193" ht="43" customHeight="1">
      <c r="A193" s="27" t="inlineStr">
        <is>
          <t>BL-APPT-050</t>
        </is>
      </c>
      <c r="B193" s="28" t="inlineStr">
        <is>
          <t>Appointments</t>
        </is>
      </c>
      <c r="C193" s="28" t="inlineStr">
        <is>
          <t>Cancel submit</t>
        </is>
      </c>
      <c r="D193" s="28" t="inlineStr">
        <is>
          <t>Cancellation reason</t>
        </is>
      </c>
      <c r="E193" s="28" t="inlineStr">
        <is>
          <t>Look for a reason field in the cancel dialog</t>
        </is>
      </c>
      <c r="F193" s="28" t="inlineStr">
        <is>
          <t>Confirm with the owner: the API accepts an optional reason, but the screen never collects one.</t>
        </is>
      </c>
      <c r="G193" s="29" t="inlineStr">
        <is>
          <t>P3</t>
        </is>
      </c>
      <c r="H193" s="29" t="inlineStr">
        <is>
          <t>Verify gap</t>
        </is>
      </c>
      <c r="I193" s="30" t="inlineStr">
        <is>
          <t>lib/features/appointments/presentation/screen/appointment_detail_screen.dart:235</t>
        </is>
      </c>
      <c r="J193" s="29" t="n"/>
      <c r="K193" s="31" t="inlineStr">
        <is>
          <t>Not Run</t>
        </is>
      </c>
      <c r="L193" s="32" t="n"/>
      <c r="M193" s="33" t="n"/>
      <c r="N193" s="32" t="n"/>
      <c r="O193" s="32" t="n"/>
      <c r="P193" s="32" t="n"/>
      <c r="Q193" s="32" t="n"/>
    </row>
    <row r="194" ht="43" customHeight="1">
      <c r="A194" s="27" t="inlineStr">
        <is>
          <t>BL-APPT-051</t>
        </is>
      </c>
      <c r="B194" s="28" t="inlineStr">
        <is>
          <t>Appointments</t>
        </is>
      </c>
      <c r="C194" s="28" t="inlineStr">
        <is>
          <t>Receipt</t>
        </is>
      </c>
      <c r="D194" s="28" t="inlineStr">
        <is>
          <t>No receipt until the fee is paid</t>
        </is>
      </c>
      <c r="E194" s="28" t="inlineStr">
        <is>
          <t>Open the receipt of an unpaid booking (deep link)</t>
        </is>
      </c>
      <c r="F194" s="28" t="inlineStr">
        <is>
          <t>'No receipt yet — A receipt is issued once the consultation fee is paid…' with 'Back to appointment'.</t>
        </is>
      </c>
      <c r="G194" s="29" t="inlineStr">
        <is>
          <t>P1</t>
        </is>
      </c>
      <c r="H194" s="29" t="inlineStr">
        <is>
          <t>Rule</t>
        </is>
      </c>
      <c r="I194" s="30" t="inlineStr">
        <is>
          <t>lib/features/appointments/presentation/screen/appointment_receipt_screen.dart:72</t>
        </is>
      </c>
      <c r="J194" s="29" t="n"/>
      <c r="K194" s="31" t="inlineStr">
        <is>
          <t>Not Run</t>
        </is>
      </c>
      <c r="L194" s="32" t="n"/>
      <c r="M194" s="33" t="n"/>
      <c r="N194" s="32" t="n"/>
      <c r="O194" s="32" t="n"/>
      <c r="P194" s="32" t="n"/>
      <c r="Q194" s="32" t="n"/>
    </row>
    <row r="195" ht="43" customHeight="1">
      <c r="A195" s="27" t="inlineStr">
        <is>
          <t>BL-APPT-052</t>
        </is>
      </c>
      <c r="B195" s="28" t="inlineStr">
        <is>
          <t>Appointments</t>
        </is>
      </c>
      <c r="C195" s="28" t="inlineStr">
        <is>
          <t>Receipt</t>
        </is>
      </c>
      <c r="D195" s="28" t="inlineStr">
        <is>
          <t>Line notes show supplier and tax</t>
        </is>
      </c>
      <c r="E195" s="28" t="inlineStr">
        <is>
          <t>Open a receipt with a consultation line, a discount and a convenience fee</t>
        </is>
      </c>
      <c r="F195" s="28" t="inlineStr">
        <is>
          <t>e.g. 'Hospital · tax exempt', discount in green with no tax note, 'Medibook · GST 18% (₹5)' (', included' when tax-inclusive); quantity above 1 shows '× qty'.</t>
        </is>
      </c>
      <c r="G195" s="29" t="inlineStr">
        <is>
          <t>P0</t>
        </is>
      </c>
      <c r="H195" s="29" t="inlineStr">
        <is>
          <t>Calculation</t>
        </is>
      </c>
      <c r="I195" s="30" t="inlineStr">
        <is>
          <t>lib/features/appointments/presentation/components/receipt_lines.dart:70</t>
        </is>
      </c>
      <c r="J195" s="29" t="n"/>
      <c r="K195" s="31" t="inlineStr">
        <is>
          <t>Not Run</t>
        </is>
      </c>
      <c r="L195" s="32" t="n"/>
      <c r="M195" s="33" t="n"/>
      <c r="N195" s="32" t="n"/>
      <c r="O195" s="32" t="n"/>
      <c r="P195" s="32" t="n"/>
      <c r="Q195" s="32" t="n"/>
    </row>
    <row r="196" ht="43" customHeight="1">
      <c r="A196" s="27" t="inlineStr">
        <is>
          <t>BL-APPT-053</t>
        </is>
      </c>
      <c r="B196" s="28" t="inlineStr">
        <is>
          <t>Appointments</t>
        </is>
      </c>
      <c r="C196" s="28" t="inlineStr">
        <is>
          <t>Receipt</t>
        </is>
      </c>
      <c r="D196" s="28" t="inlineStr">
        <is>
          <t>Totals are the server's, never recomputed</t>
        </is>
      </c>
      <c r="E196" s="28" t="inlineStr">
        <is>
          <t>Compare Subtotal, tax caption and 'Total paid' with the API response and the amount charged</t>
        </is>
      </c>
      <c r="F196" s="28" t="inlineStr">
        <is>
          <t>Identical; caption 'No tax applies' or 'Plus ₹X tax'.</t>
        </is>
      </c>
      <c r="G196" s="29" t="inlineStr">
        <is>
          <t>P0</t>
        </is>
      </c>
      <c r="H196" s="29" t="inlineStr">
        <is>
          <t>Calculation</t>
        </is>
      </c>
      <c r="I196" s="30" t="inlineStr">
        <is>
          <t>lib/features/appointments/presentation/screen/appointment_receipt_screen.dart:207</t>
        </is>
      </c>
      <c r="J196" s="29" t="n"/>
      <c r="K196" s="31" t="inlineStr">
        <is>
          <t>Not Run</t>
        </is>
      </c>
      <c r="L196" s="32" t="n"/>
      <c r="M196" s="33" t="n"/>
      <c r="N196" s="32" t="n"/>
      <c r="O196" s="32" t="n"/>
      <c r="P196" s="32" t="n"/>
      <c r="Q196" s="32" t="n"/>
    </row>
    <row r="197" ht="43" customHeight="1">
      <c r="A197" s="27" t="inlineStr">
        <is>
          <t>BL-APPT-054</t>
        </is>
      </c>
      <c r="B197" s="28" t="inlineStr">
        <is>
          <t>Appointments</t>
        </is>
      </c>
      <c r="C197" s="28" t="inlineStr">
        <is>
          <t>Receipt</t>
        </is>
      </c>
      <c r="D197" s="28" t="inlineStr">
        <is>
          <t>Payment method labels</t>
        </is>
      </c>
      <c r="E197" s="28" t="inlineStr">
        <is>
          <t>View receipts paid by UPI, card, net banking, wallet and at the desk</t>
        </is>
      </c>
      <c r="F197" s="28" t="inlineStr">
        <is>
          <t>'UPI', 'Card', 'Net banking', 'Wallet', 'Cash', 'Card (desk)'; reference shown beneath.</t>
        </is>
      </c>
      <c r="G197" s="29" t="inlineStr">
        <is>
          <t>P2</t>
        </is>
      </c>
      <c r="H197" s="29" t="inlineStr">
        <is>
          <t>Data mapping</t>
        </is>
      </c>
      <c r="I197" s="30" t="inlineStr">
        <is>
          <t>lib/features/appointments/presentation/screen/appointment_receipt_screen.dart:367</t>
        </is>
      </c>
      <c r="J197" s="29" t="n"/>
      <c r="K197" s="31" t="inlineStr">
        <is>
          <t>Not Run</t>
        </is>
      </c>
      <c r="L197" s="32" t="n"/>
      <c r="M197" s="33" t="n"/>
      <c r="N197" s="32" t="n"/>
      <c r="O197" s="32" t="n"/>
      <c r="P197" s="32" t="n"/>
      <c r="Q197" s="32" t="n"/>
    </row>
    <row r="198" ht="43" customHeight="1">
      <c r="A198" s="27" t="inlineStr">
        <is>
          <t>BL-APPT-055</t>
        </is>
      </c>
      <c r="B198" s="28" t="inlineStr">
        <is>
          <t>Appointments</t>
        </is>
      </c>
      <c r="C198" s="28" t="inlineStr">
        <is>
          <t>Receipt</t>
        </is>
      </c>
      <c r="D198" s="28" t="inlineStr">
        <is>
          <t>GST registration blocks</t>
        </is>
      </c>
      <c r="E198" s="28" t="inlineStr">
        <is>
          <t>View a receipt for a hospital with and without a GSTIN, and a desk receipt</t>
        </is>
      </c>
      <c r="F198" s="28" t="inlineStr">
        <is>
          <t>Missing GSTIN reads 'Not registered'; the 'Convenience fee by' block appears only when the platform charged one.</t>
        </is>
      </c>
      <c r="G198" s="29" t="inlineStr">
        <is>
          <t>P1</t>
        </is>
      </c>
      <c r="H198" s="29" t="inlineStr">
        <is>
          <t>Data mapping</t>
        </is>
      </c>
      <c r="I198" s="30" t="inlineStr">
        <is>
          <t>lib/features/appointments/presentation/screen/appointment_receipt_screen.dart:265</t>
        </is>
      </c>
      <c r="J198" s="29" t="n"/>
      <c r="K198" s="31" t="inlineStr">
        <is>
          <t>Not Run</t>
        </is>
      </c>
      <c r="L198" s="32" t="n"/>
      <c r="M198" s="33" t="n"/>
      <c r="N198" s="32" t="n"/>
      <c r="O198" s="32" t="n"/>
      <c r="P198" s="32" t="n"/>
      <c r="Q198" s="32" t="n"/>
    </row>
    <row r="199" ht="43" customHeight="1">
      <c r="A199" s="27" t="inlineStr">
        <is>
          <t>BL-APPT-056</t>
        </is>
      </c>
      <c r="B199" s="28" t="inlineStr">
        <is>
          <t>Appointments</t>
        </is>
      </c>
      <c r="C199" s="28" t="inlineStr">
        <is>
          <t>Receipt</t>
        </is>
      </c>
      <c r="D199" s="28" t="inlineStr">
        <is>
          <t>Receipt status after a refund</t>
        </is>
      </c>
      <c r="E199" s="28" t="inlineStr">
        <is>
          <t>Open the receipt of a cancelled, refunded appointment</t>
        </is>
      </c>
      <c r="F199" s="28" t="inlineStr">
        <is>
          <t>The header should reflect the refund. The code shows a fixed 'Paid' pill.</t>
        </is>
      </c>
      <c r="G199" s="29" t="inlineStr">
        <is>
          <t>P2</t>
        </is>
      </c>
      <c r="H199" s="29" t="inlineStr">
        <is>
          <t>Verify gap</t>
        </is>
      </c>
      <c r="I199" s="30" t="inlineStr">
        <is>
          <t>lib/features/appointments/presentation/screen/appointment_receipt_screen.dart:153</t>
        </is>
      </c>
      <c r="J199" s="29" t="n"/>
      <c r="K199" s="31" t="inlineStr">
        <is>
          <t>Not Run</t>
        </is>
      </c>
      <c r="L199" s="32" t="n"/>
      <c r="M199" s="33" t="n"/>
      <c r="N199" s="32" t="n"/>
      <c r="O199" s="32" t="n"/>
      <c r="P199" s="32" t="n"/>
      <c r="Q199" s="32" t="n"/>
    </row>
    <row r="200" ht="43" customHeight="1">
      <c r="A200" s="27" t="inlineStr">
        <is>
          <t>BL-APPT-057</t>
        </is>
      </c>
      <c r="B200" s="28" t="inlineStr">
        <is>
          <t>Appointments</t>
        </is>
      </c>
      <c r="C200" s="28" t="inlineStr">
        <is>
          <t>Receipt</t>
        </is>
      </c>
      <c r="D200" s="28" t="inlineStr">
        <is>
          <t>PDF download states</t>
        </is>
      </c>
      <c r="E200" s="28" t="inlineStr">
        <is>
          <t>Tap Download PDF when ready, while still generating, and with no PDF app installed</t>
        </is>
      </c>
      <c r="F200" s="28" t="inlineStr">
        <is>
          <t>Opens the PDF / 'The PDF is still being generated. Try again in a moment.' / 'Nothing on this phone can open the PDF link.'</t>
        </is>
      </c>
      <c r="G200" s="29" t="inlineStr">
        <is>
          <t>P1</t>
        </is>
      </c>
      <c r="H200" s="29" t="inlineStr">
        <is>
          <t>Error handling</t>
        </is>
      </c>
      <c r="I200" s="30" t="inlineStr">
        <is>
          <t>lib/features/appointments/presentation/screen/appointment_receipt_screen.dart:345</t>
        </is>
      </c>
      <c r="J200" s="29" t="inlineStr">
        <is>
          <t>KB-01</t>
        </is>
      </c>
      <c r="K200" s="31" t="inlineStr">
        <is>
          <t>Not Run</t>
        </is>
      </c>
      <c r="L200" s="32" t="n"/>
      <c r="M200" s="33" t="n"/>
      <c r="N200" s="32" t="n"/>
      <c r="O200" s="32" t="n"/>
      <c r="P200" s="32" t="n"/>
      <c r="Q200" s="32" t="n"/>
    </row>
    <row r="201" ht="43" customHeight="1">
      <c r="A201" s="27" t="inlineStr">
        <is>
          <t>BL-APPT-058</t>
        </is>
      </c>
      <c r="B201" s="28" t="inlineStr">
        <is>
          <t>Appointments</t>
        </is>
      </c>
      <c r="C201" s="28" t="inlineStr">
        <is>
          <t>Receipt</t>
        </is>
      </c>
      <c r="D201" s="28" t="inlineStr">
        <is>
          <t>Two receipt actions at once</t>
        </is>
      </c>
      <c r="E201" s="28" t="inlineStr">
        <is>
          <t>Tap Download PDF and immediately tap Add to calendar</t>
        </is>
      </c>
      <c r="F201" s="28" t="inlineStr">
        <is>
          <t>No false error. The code returns silently for the second action and then shows 'Could not download the calendar file.'</t>
        </is>
      </c>
      <c r="G201" s="29" t="inlineStr">
        <is>
          <t>P3</t>
        </is>
      </c>
      <c r="H201" s="29" t="inlineStr">
        <is>
          <t>Verify gap</t>
        </is>
      </c>
      <c r="I201" s="30" t="inlineStr">
        <is>
          <t>lib/features/appointments/application/providers/appointments_provider.dart:337</t>
        </is>
      </c>
      <c r="J201" s="29" t="n"/>
      <c r="K201" s="31" t="inlineStr">
        <is>
          <t>Not Run</t>
        </is>
      </c>
      <c r="L201" s="32" t="n"/>
      <c r="M201" s="33" t="n"/>
      <c r="N201" s="32" t="n"/>
      <c r="O201" s="32" t="n"/>
      <c r="P201" s="32" t="n"/>
      <c r="Q201" s="32" t="n"/>
    </row>
    <row r="202" ht="43" customHeight="1">
      <c r="A202" s="27" t="inlineStr">
        <is>
          <t>BL-APPT-059</t>
        </is>
      </c>
      <c r="B202" s="28" t="inlineStr">
        <is>
          <t>Appointments</t>
        </is>
      </c>
      <c r="C202" s="28" t="inlineStr">
        <is>
          <t>Review / rating</t>
        </is>
      </c>
      <c r="D202" s="28" t="inlineStr">
        <is>
          <t>A rating needs at least one star</t>
        </is>
      </c>
      <c r="E202" s="28" t="inlineStr">
        <is>
          <t>1. Tap Rate visit
2. Try to send with no stars
3. Pick a star</t>
        </is>
      </c>
      <c r="F202" s="28" t="inlineStr">
        <is>
          <t>'Send review' is disabled until a star is chosen; comment is optional, up to 2000 characters.</t>
        </is>
      </c>
      <c r="G202" s="29" t="inlineStr">
        <is>
          <t>P1</t>
        </is>
      </c>
      <c r="H202" s="29" t="inlineStr">
        <is>
          <t>Boundary</t>
        </is>
      </c>
      <c r="I202" s="30" t="inlineStr">
        <is>
          <t>lib/features/appointments/presentation/screen/appointment_detail_screen.dart:885</t>
        </is>
      </c>
      <c r="J202" s="29" t="n"/>
      <c r="K202" s="31" t="inlineStr">
        <is>
          <t>Not Run</t>
        </is>
      </c>
      <c r="L202" s="32" t="n"/>
      <c r="M202" s="33" t="n"/>
      <c r="N202" s="32" t="n"/>
      <c r="O202" s="32" t="n"/>
      <c r="P202" s="32" t="n"/>
      <c r="Q202" s="32" t="n"/>
    </row>
    <row r="203" ht="43" customHeight="1">
      <c r="A203" s="27" t="inlineStr">
        <is>
          <t>BL-APPT-060</t>
        </is>
      </c>
      <c r="B203" s="28" t="inlineStr">
        <is>
          <t>Appointments</t>
        </is>
      </c>
      <c r="C203" s="28" t="inlineStr">
        <is>
          <t>Review / rating</t>
        </is>
      </c>
      <c r="D203" s="28" t="inlineStr">
        <is>
          <t>Review can be sent once</t>
        </is>
      </c>
      <c r="E203" s="28" t="inlineStr">
        <is>
          <t>1. Submit a review
2. Reopen the appointment
3. Try from a second device</t>
        </is>
      </c>
      <c r="F203" s="28" t="inlineStr">
        <is>
          <t>'Thanks — your review is with the hospital for moderation.'; Rate visit disappears; the second attempt is refused with a clear message.</t>
        </is>
      </c>
      <c r="G203" s="29" t="inlineStr">
        <is>
          <t>P1</t>
        </is>
      </c>
      <c r="H203" s="29" t="inlineStr">
        <is>
          <t>State</t>
        </is>
      </c>
      <c r="I203" s="30" t="inlineStr">
        <is>
          <t>lib/features/appointments/presentation/screen/appointment_detail_screen.dart:296</t>
        </is>
      </c>
      <c r="J203" s="29" t="n"/>
      <c r="K203" s="31" t="inlineStr">
        <is>
          <t>Not Run</t>
        </is>
      </c>
      <c r="L203" s="32" t="n"/>
      <c r="M203" s="33" t="n"/>
      <c r="N203" s="32" t="n"/>
      <c r="O203" s="32" t="n"/>
      <c r="P203" s="32" t="n"/>
      <c r="Q203" s="32" t="n"/>
    </row>
    <row r="204" ht="43" customHeight="1">
      <c r="A204" s="27" t="inlineStr">
        <is>
          <t>BL-APPT-061</t>
        </is>
      </c>
      <c r="B204" s="28" t="inlineStr">
        <is>
          <t>Appointments</t>
        </is>
      </c>
      <c r="C204" s="28" t="inlineStr">
        <is>
          <t>Calendar export</t>
        </is>
      </c>
      <c r="D204" s="28" t="inlineStr">
        <is>
          <t>Calendar file is named by the booking reference</t>
        </is>
      </c>
      <c r="E204" s="28" t="inlineStr">
        <is>
          <t>1. Tap Add to calendar
2. Check the shared file name and event</t>
        </is>
      </c>
      <c r="F204" s="28" t="inlineStr">
        <is>
          <t>'&lt;booking ref&gt;.ics' (never an internal id); event date, time and hospital are correct.</t>
        </is>
      </c>
      <c r="G204" s="29" t="inlineStr">
        <is>
          <t>P2</t>
        </is>
      </c>
      <c r="H204" s="29" t="inlineStr">
        <is>
          <t>Rule</t>
        </is>
      </c>
      <c r="I204" s="30" t="inlineStr">
        <is>
          <t>lib/features/appointments/infrastructure/repositories/appointments_repository_impl.dart:171</t>
        </is>
      </c>
      <c r="J204" s="29" t="n"/>
      <c r="K204" s="31" t="inlineStr">
        <is>
          <t>Not Run</t>
        </is>
      </c>
      <c r="L204" s="32" t="n"/>
      <c r="M204" s="33" t="n"/>
      <c r="N204" s="32" t="n"/>
      <c r="O204" s="32" t="n"/>
      <c r="P204" s="32" t="n"/>
      <c r="Q204" s="32" t="n"/>
    </row>
    <row r="205" ht="43" customHeight="1">
      <c r="A205" s="27" t="inlineStr">
        <is>
          <t>BL-APPT-062</t>
        </is>
      </c>
      <c r="B205" s="28" t="inlineStr">
        <is>
          <t>Appointments</t>
        </is>
      </c>
      <c r="C205" s="28" t="inlineStr">
        <is>
          <t>Calendar export</t>
        </is>
      </c>
      <c r="D205" s="28" t="inlineStr">
        <is>
          <t>Where Add to calendar is offered</t>
        </is>
      </c>
      <c r="E205" s="28" t="inlineStr">
        <is>
          <t>Look for it on booking success, payment result, receipt and appointment detail</t>
        </is>
      </c>
      <c r="F205" s="28" t="inlineStr">
        <is>
          <t>Confirm with the owner: within Appointments it is reachable only from the Receipt screen, so unpaid/awaiting bookings cannot be exported.</t>
        </is>
      </c>
      <c r="G205" s="29" t="inlineStr">
        <is>
          <t>P3</t>
        </is>
      </c>
      <c r="H205" s="29" t="inlineStr">
        <is>
          <t>Verify gap</t>
        </is>
      </c>
      <c r="I205" s="30" t="inlineStr">
        <is>
          <t>lib/features/appointments/presentation/screen/appointment_receipt_screen.dart:321</t>
        </is>
      </c>
      <c r="J205" s="29" t="n"/>
      <c r="K205" s="31" t="inlineStr">
        <is>
          <t>Not Run</t>
        </is>
      </c>
      <c r="L205" s="32" t="n"/>
      <c r="M205" s="33" t="n"/>
      <c r="N205" s="32" t="n"/>
      <c r="O205" s="32" t="n"/>
      <c r="P205" s="32" t="n"/>
      <c r="Q205" s="32" t="n"/>
    </row>
    <row r="206" ht="43" customHeight="1">
      <c r="A206" s="27" t="inlineStr">
        <is>
          <t>BL-APPT-063</t>
        </is>
      </c>
      <c r="B206" s="28" t="inlineStr">
        <is>
          <t>Appointments</t>
        </is>
      </c>
      <c r="C206" s="28" t="inlineStr">
        <is>
          <t>Calendar export</t>
        </is>
      </c>
      <c r="D206" s="28" t="inlineStr">
        <is>
          <t>Failures are distinguished</t>
        </is>
      </c>
      <c r="E206" s="28" t="inlineStr">
        <is>
          <t>1. Force an empty/failed download
2. Use a device with no calendar-capable app</t>
        </is>
      </c>
      <c r="F206" s="28" t="inlineStr">
        <is>
          <t>'Could not download the calendar file.' vs 'No app on this device could take the calendar file.'</t>
        </is>
      </c>
      <c r="G206" s="29" t="inlineStr">
        <is>
          <t>P3</t>
        </is>
      </c>
      <c r="H206" s="29" t="inlineStr">
        <is>
          <t>Error handling</t>
        </is>
      </c>
      <c r="I206" s="30" t="inlineStr">
        <is>
          <t>lib/features/appointments/presentation/components/calendar_action.dart:25</t>
        </is>
      </c>
      <c r="J206" s="29" t="n"/>
      <c r="K206" s="31" t="inlineStr">
        <is>
          <t>Not Run</t>
        </is>
      </c>
      <c r="L206" s="32" t="n"/>
      <c r="M206" s="33" t="n"/>
      <c r="N206" s="32" t="n"/>
      <c r="O206" s="32" t="n"/>
      <c r="P206" s="32" t="n"/>
      <c r="Q206" s="32" t="n"/>
    </row>
    <row r="207" ht="43" customHeight="1">
      <c r="A207" s="27" t="inlineStr">
        <is>
          <t>BL-APPT-064</t>
        </is>
      </c>
      <c r="B207" s="28" t="inlineStr">
        <is>
          <t>Appointments</t>
        </is>
      </c>
      <c r="C207" s="28" t="inlineStr">
        <is>
          <t>Token card</t>
        </is>
      </c>
      <c r="D207" s="28" t="inlineStr">
        <is>
          <t>Token-card screen: token and desk code fallbacks</t>
        </is>
      </c>
      <c r="E207" s="28" t="inlineStr">
        <is>
          <t>Open the token card (success link) for a booking with and without a token</t>
        </is>
      </c>
      <c r="F207" s="28" t="inlineStr">
        <is>
          <t>Token label, or 'Assigned by the hospital'; the desk code resolves to the server payload, else the booking reference.</t>
        </is>
      </c>
      <c r="G207" s="29" t="inlineStr">
        <is>
          <t>P2</t>
        </is>
      </c>
      <c r="H207" s="29" t="inlineStr">
        <is>
          <t>Data mapping</t>
        </is>
      </c>
      <c r="I207" s="30" t="inlineStr">
        <is>
          <t>lib/features/booking/presentation/screen/booking_success_screen.dart:88</t>
        </is>
      </c>
      <c r="J207" s="29" t="inlineStr">
        <is>
          <t>KB-10</t>
        </is>
      </c>
      <c r="K207" s="31" t="inlineStr">
        <is>
          <t>Not Run</t>
        </is>
      </c>
      <c r="L207" s="32" t="n"/>
      <c r="M207" s="33" t="n"/>
      <c r="N207" s="32" t="n"/>
      <c r="O207" s="32" t="n"/>
      <c r="P207" s="32" t="n"/>
      <c r="Q207" s="32" t="n"/>
    </row>
    <row r="208" ht="43" customHeight="1">
      <c r="A208" s="27" t="inlineStr">
        <is>
          <t>BL-APPT-065</t>
        </is>
      </c>
      <c r="B208" s="28" t="inlineStr">
        <is>
          <t>Appointments</t>
        </is>
      </c>
      <c r="C208" s="28" t="inlineStr">
        <is>
          <t>Token card</t>
        </is>
      </c>
      <c r="D208" s="28" t="inlineStr">
        <is>
          <t>Token card for someone else's booking</t>
        </is>
      </c>
      <c r="E208" s="28" t="inlineStr">
        <is>
          <t>Open the success link with another user's appointment id, and with none</t>
        </is>
      </c>
      <c r="F208" s="28" t="inlineStr">
        <is>
          <t>'That booking is not on this account' with 'See my appointments'.</t>
        </is>
      </c>
      <c r="G208" s="29" t="inlineStr">
        <is>
          <t>P1</t>
        </is>
      </c>
      <c r="H208" s="29" t="inlineStr">
        <is>
          <t>Error handling</t>
        </is>
      </c>
      <c r="I208" s="30" t="inlineStr">
        <is>
          <t>lib/features/booking/presentation/screen/booking_success_screen.dart:35</t>
        </is>
      </c>
      <c r="J208" s="29" t="n"/>
      <c r="K208" s="31" t="inlineStr">
        <is>
          <t>Not Run</t>
        </is>
      </c>
      <c r="L208" s="32" t="n"/>
      <c r="M208" s="33" t="n"/>
      <c r="N208" s="32" t="n"/>
      <c r="O208" s="32" t="n"/>
      <c r="P208" s="32" t="n"/>
      <c r="Q208" s="32" t="n"/>
    </row>
    <row r="209" ht="56" customHeight="1">
      <c r="A209" s="27" t="inlineStr">
        <is>
          <t>BL-QUEUE-001</t>
        </is>
      </c>
      <c r="B209" s="28" t="inlineStr">
        <is>
          <t>Live queue</t>
        </is>
      </c>
      <c r="C209" s="28" t="inlineStr">
        <is>
          <t>Queue state</t>
        </is>
      </c>
      <c r="D209" s="28" t="inlineStr">
        <is>
          <t>Headline follows the session state in a fixed order</t>
        </is>
      </c>
      <c r="E209" s="28" t="inlineStr">
        <is>
          <t>Have the desk: keep the session unopened, open it, call tokens, pause, call your token, close</t>
        </is>
      </c>
      <c r="F209" s="28" t="inlineStr">
        <is>
          <t>'The desk has not opened yet' → 'Desk is open' / 'Queue is moving' / 'Waiting for the next patient' → 'Doctor on a break' → 'You are being seen' → 'This session has ended'. A break outranks everything else.</t>
        </is>
      </c>
      <c r="G209" s="29" t="inlineStr">
        <is>
          <t>P0</t>
        </is>
      </c>
      <c r="H209" s="29" t="inlineStr">
        <is>
          <t>State</t>
        </is>
      </c>
      <c r="I209" s="30" t="inlineStr">
        <is>
          <t>lib/features/appointments/presentation/screen/live_queue_screen.dart:359</t>
        </is>
      </c>
      <c r="J209" s="29" t="inlineStr">
        <is>
          <t>KB-08</t>
        </is>
      </c>
      <c r="K209" s="31" t="inlineStr">
        <is>
          <t>Not Run</t>
        </is>
      </c>
      <c r="L209" s="32" t="n"/>
      <c r="M209" s="33" t="n"/>
      <c r="N209" s="32" t="n"/>
      <c r="O209" s="32" t="n"/>
      <c r="P209" s="32" t="n"/>
      <c r="Q209" s="32" t="n"/>
    </row>
    <row r="210" ht="43" customHeight="1">
      <c r="A210" s="27" t="inlineStr">
        <is>
          <t>BL-QUEUE-002</t>
        </is>
      </c>
      <c r="B210" s="28" t="inlineStr">
        <is>
          <t>Live queue</t>
        </is>
      </c>
      <c r="C210" s="28" t="inlineStr">
        <is>
          <t>Queue state</t>
        </is>
      </c>
      <c r="D210" s="28" t="inlineStr">
        <is>
          <t>Estimated wait is the server's figure</t>
        </is>
      </c>
      <c r="E210" s="28" t="inlineStr">
        <is>
          <t>Compare with the API for a wait of 40 min, 0 min and a paused session</t>
        </is>
      </c>
      <c r="F210" s="28" t="inlineStr">
        <is>
          <t>'~40 min', 'Next', 'Paused'.</t>
        </is>
      </c>
      <c r="G210" s="29" t="inlineStr">
        <is>
          <t>P1</t>
        </is>
      </c>
      <c r="H210" s="29" t="inlineStr">
        <is>
          <t>Data mapping</t>
        </is>
      </c>
      <c r="I210" s="30" t="inlineStr">
        <is>
          <t>lib/features/appointments/presentation/screen/live_queue_screen.dart:324</t>
        </is>
      </c>
      <c r="J210" s="29" t="inlineStr">
        <is>
          <t>KB-08</t>
        </is>
      </c>
      <c r="K210" s="31" t="inlineStr">
        <is>
          <t>Not Run</t>
        </is>
      </c>
      <c r="L210" s="32" t="n"/>
      <c r="M210" s="33" t="n"/>
      <c r="N210" s="32" t="n"/>
      <c r="O210" s="32" t="n"/>
      <c r="P210" s="32" t="n"/>
      <c r="Q210" s="32" t="n"/>
    </row>
    <row r="211" ht="43" customHeight="1">
      <c r="A211" s="27" t="inlineStr">
        <is>
          <t>BL-QUEUE-003</t>
        </is>
      </c>
      <c r="B211" s="28" t="inlineStr">
        <is>
          <t>Live queue</t>
        </is>
      </c>
      <c r="C211" s="28" t="inlineStr">
        <is>
          <t>Queue state</t>
        </is>
      </c>
      <c r="D211" s="28" t="inlineStr">
        <is>
          <t>'Next' when the session is not running</t>
        </is>
      </c>
      <c r="E211" s="28" t="inlineStr">
        <is>
          <t>Open the queue before the desk opens and after it closes</t>
        </is>
      </c>
      <c r="F211" s="28" t="inlineStr">
        <is>
          <t>Wait should not read 'Next'. The code shows 'Next' whenever the estimate is 0, including closed / not-opened sessions.</t>
        </is>
      </c>
      <c r="G211" s="29" t="inlineStr">
        <is>
          <t>P2</t>
        </is>
      </c>
      <c r="H211" s="29" t="inlineStr">
        <is>
          <t>Verify gap</t>
        </is>
      </c>
      <c r="I211" s="30" t="inlineStr">
        <is>
          <t>lib/features/appointments/presentation/screen/live_queue_screen.dart:326</t>
        </is>
      </c>
      <c r="J211" s="29" t="inlineStr">
        <is>
          <t>KB-08</t>
        </is>
      </c>
      <c r="K211" s="31" t="inlineStr">
        <is>
          <t>Not Run</t>
        </is>
      </c>
      <c r="L211" s="32" t="n"/>
      <c r="M211" s="33" t="n"/>
      <c r="N211" s="32" t="n"/>
      <c r="O211" s="32" t="n"/>
      <c r="P211" s="32" t="n"/>
      <c r="Q211" s="32" t="n"/>
    </row>
    <row r="212" ht="43" customHeight="1">
      <c r="A212" s="27" t="inlineStr">
        <is>
          <t>BL-QUEUE-004</t>
        </is>
      </c>
      <c r="B212" s="28" t="inlineStr">
        <is>
          <t>Live queue</t>
        </is>
      </c>
      <c r="C212" s="28" t="inlineStr">
        <is>
          <t>Queue state</t>
        </is>
      </c>
      <c r="D212" s="28" t="inlineStr">
        <is>
          <t>Missing values</t>
        </is>
      </c>
      <c r="E212" s="28" t="inlineStr">
        <is>
          <t>Open the queue when nobody has been called yet</t>
        </is>
      </c>
      <c r="F212" s="28" t="inlineStr">
        <is>
          <t>'Now seeing —'; 'Ahead of you 0'.</t>
        </is>
      </c>
      <c r="G212" s="29" t="inlineStr">
        <is>
          <t>P3</t>
        </is>
      </c>
      <c r="H212" s="29" t="inlineStr">
        <is>
          <t>Data mapping</t>
        </is>
      </c>
      <c r="I212" s="30" t="inlineStr">
        <is>
          <t>lib/features/appointments/infrastructure/repositories/appointment_mappers.dart:239</t>
        </is>
      </c>
      <c r="J212" s="29" t="inlineStr">
        <is>
          <t>KB-08</t>
        </is>
      </c>
      <c r="K212" s="31" t="inlineStr">
        <is>
          <t>Not Run</t>
        </is>
      </c>
      <c r="L212" s="32" t="n"/>
      <c r="M212" s="33" t="n"/>
      <c r="N212" s="32" t="n"/>
      <c r="O212" s="32" t="n"/>
      <c r="P212" s="32" t="n"/>
      <c r="Q212" s="32" t="n"/>
    </row>
    <row r="213" ht="43" customHeight="1">
      <c r="A213" s="27" t="inlineStr">
        <is>
          <t>BL-QUEUE-005</t>
        </is>
      </c>
      <c r="B213" s="28" t="inlineStr">
        <is>
          <t>Live queue</t>
        </is>
      </c>
      <c r="C213" s="28" t="inlineStr">
        <is>
          <t>Queue state</t>
        </is>
      </c>
      <c r="D213" s="28" t="inlineStr">
        <is>
          <t>Queue is always read fresh</t>
        </is>
      </c>
      <c r="E213" s="28" t="inlineStr">
        <is>
          <t>Open the queue online, then offline with and without an earlier reading</t>
        </is>
      </c>
      <c r="F213" s="28" t="inlineStr">
        <is>
          <t>Fresh values online; offline with a reading: last values plus 'Could not update — …'; offline without: error view with retry.</t>
        </is>
      </c>
      <c r="G213" s="29" t="inlineStr">
        <is>
          <t>P1</t>
        </is>
      </c>
      <c r="H213" s="29" t="inlineStr">
        <is>
          <t>Rule</t>
        </is>
      </c>
      <c r="I213" s="30" t="inlineStr">
        <is>
          <t>lib/features/appointments/presentation/screen/live_queue_screen.dart:103</t>
        </is>
      </c>
      <c r="J213" s="29" t="n"/>
      <c r="K213" s="31" t="inlineStr">
        <is>
          <t>Not Run</t>
        </is>
      </c>
      <c r="L213" s="32" t="n"/>
      <c r="M213" s="33" t="n"/>
      <c r="N213" s="32" t="n"/>
      <c r="O213" s="32" t="n"/>
      <c r="P213" s="32" t="n"/>
      <c r="Q213" s="32" t="n"/>
    </row>
    <row r="214" ht="43" customHeight="1">
      <c r="A214" s="27" t="inlineStr">
        <is>
          <t>BL-QUEUE-006</t>
        </is>
      </c>
      <c r="B214" s="28" t="inlineStr">
        <is>
          <t>Live queue</t>
        </is>
      </c>
      <c r="C214" s="28" t="inlineStr">
        <is>
          <t>Queue state</t>
        </is>
      </c>
      <c r="D214" s="28" t="inlineStr">
        <is>
          <t>'Live' label is honest</t>
        </is>
      </c>
      <c r="E214" s="28" t="inlineStr">
        <is>
          <t>Watch the footer while connected, then block the socket</t>
        </is>
      </c>
      <c r="F214" s="28" t="inlineStr">
        <is>
          <t>'Live · updated Just now' becomes 'Last update · updated 2 minutes ago'.</t>
        </is>
      </c>
      <c r="G214" s="29" t="inlineStr">
        <is>
          <t>P2</t>
        </is>
      </c>
      <c r="H214" s="29" t="inlineStr">
        <is>
          <t>State</t>
        </is>
      </c>
      <c r="I214" s="30" t="inlineStr">
        <is>
          <t>lib/features/appointments/presentation/screen/live_queue_screen.dart:344</t>
        </is>
      </c>
      <c r="J214" s="29" t="inlineStr">
        <is>
          <t>KB-08</t>
        </is>
      </c>
      <c r="K214" s="31" t="inlineStr">
        <is>
          <t>Not Run</t>
        </is>
      </c>
      <c r="L214" s="32" t="n"/>
      <c r="M214" s="33" t="n"/>
      <c r="N214" s="32" t="n"/>
      <c r="O214" s="32" t="n"/>
      <c r="P214" s="32" t="n"/>
      <c r="Q214" s="32" t="n"/>
    </row>
    <row r="215" ht="43" customHeight="1">
      <c r="A215" s="27" t="inlineStr">
        <is>
          <t>BL-QUEUE-007</t>
        </is>
      </c>
      <c r="B215" s="28" t="inlineStr">
        <is>
          <t>Live queue</t>
        </is>
      </c>
      <c r="C215" s="28" t="inlineStr">
        <is>
          <t>Realtime (WebSocket)</t>
        </is>
      </c>
      <c r="D215" s="28" t="inlineStr">
        <is>
          <t>Queue moves without pulling</t>
        </is>
      </c>
      <c r="E215" s="28" t="inlineStr">
        <is>
          <t>Desk calls the next token while the screen is open</t>
        </is>
      </c>
      <c r="F215" s="28" t="inlineStr">
        <is>
          <t>Tokens ahead and wait update within seconds.</t>
        </is>
      </c>
      <c r="G215" s="29" t="inlineStr">
        <is>
          <t>P0</t>
        </is>
      </c>
      <c r="H215" s="29" t="inlineStr">
        <is>
          <t>Rule</t>
        </is>
      </c>
      <c r="I215" s="30" t="inlineStr">
        <is>
          <t>lib/features/appointments/application/providers/appointments_provider.dart:484</t>
        </is>
      </c>
      <c r="J215" s="29" t="inlineStr">
        <is>
          <t>KB-08</t>
        </is>
      </c>
      <c r="K215" s="31" t="inlineStr">
        <is>
          <t>Not Run</t>
        </is>
      </c>
      <c r="L215" s="32" t="n"/>
      <c r="M215" s="33" t="n"/>
      <c r="N215" s="32" t="n"/>
      <c r="O215" s="32" t="n"/>
      <c r="P215" s="32" t="n"/>
      <c r="Q215" s="32" t="n"/>
    </row>
    <row r="216" ht="43" customHeight="1">
      <c r="A216" s="27" t="inlineStr">
        <is>
          <t>BL-QUEUE-008</t>
        </is>
      </c>
      <c r="B216" s="28" t="inlineStr">
        <is>
          <t>Live queue</t>
        </is>
      </c>
      <c r="C216" s="28" t="inlineStr">
        <is>
          <t>Realtime (WebSocket)</t>
        </is>
      </c>
      <c r="D216" s="28" t="inlineStr">
        <is>
          <t>'It's your turn' only for your own token</t>
        </is>
      </c>
      <c r="E216" s="28" t="inlineStr">
        <is>
          <t>Desk calls another patient's token, then yours</t>
        </is>
      </c>
      <c r="F216" s="28" t="inlineStr">
        <is>
          <t>Nothing for the other token; then the green card 'It's your turn — Token T-026 has been called — please go to the doctor's room now.'</t>
        </is>
      </c>
      <c r="G216" s="29" t="inlineStr">
        <is>
          <t>P0</t>
        </is>
      </c>
      <c r="H216" s="29" t="inlineStr">
        <is>
          <t>Rule</t>
        </is>
      </c>
      <c r="I216" s="30" t="inlineStr">
        <is>
          <t>lib/features/appointments/application/providers/appointments_provider.dart:486</t>
        </is>
      </c>
      <c r="J216" s="29" t="inlineStr">
        <is>
          <t>KB-08</t>
        </is>
      </c>
      <c r="K216" s="31" t="inlineStr">
        <is>
          <t>Not Run</t>
        </is>
      </c>
      <c r="L216" s="32" t="n"/>
      <c r="M216" s="33" t="n"/>
      <c r="N216" s="32" t="n"/>
      <c r="O216" s="32" t="n"/>
      <c r="P216" s="32" t="n"/>
      <c r="Q216" s="32" t="n"/>
    </row>
    <row r="217" ht="43" customHeight="1">
      <c r="A217" s="27" t="inlineStr">
        <is>
          <t>BL-QUEUE-009</t>
        </is>
      </c>
      <c r="B217" s="28" t="inlineStr">
        <is>
          <t>Live queue</t>
        </is>
      </c>
      <c r="C217" s="28" t="inlineStr">
        <is>
          <t>Realtime (WebSocket)</t>
        </is>
      </c>
      <c r="D217" s="28" t="inlineStr">
        <is>
          <t>'Your turn' when opening the screen late</t>
        </is>
      </c>
      <c r="E217" s="28" t="inlineStr">
        <is>
          <t>1. Have your token called while the app is closed
2. Open the queue</t>
        </is>
      </c>
      <c r="F217" s="28" t="inlineStr">
        <is>
          <t>User should still see it is their turn. The code shows the card only from a live event, so a late open shows no card (headline 'You are being seen' may cover it).</t>
        </is>
      </c>
      <c r="G217" s="29" t="inlineStr">
        <is>
          <t>P1</t>
        </is>
      </c>
      <c r="H217" s="29" t="inlineStr">
        <is>
          <t>Verify gap</t>
        </is>
      </c>
      <c r="I217" s="30" t="inlineStr">
        <is>
          <t>lib/features/appointments/application/providers/appointments_provider.dart:429</t>
        </is>
      </c>
      <c r="J217" s="29" t="inlineStr">
        <is>
          <t>KB-08</t>
        </is>
      </c>
      <c r="K217" s="31" t="inlineStr">
        <is>
          <t>Not Run</t>
        </is>
      </c>
      <c r="L217" s="32" t="n"/>
      <c r="M217" s="33" t="n"/>
      <c r="N217" s="32" t="n"/>
      <c r="O217" s="32" t="n"/>
      <c r="P217" s="32" t="n"/>
      <c r="Q217" s="32" t="n"/>
    </row>
    <row r="218" ht="43" customHeight="1">
      <c r="A218" s="27" t="inlineStr">
        <is>
          <t>BL-QUEUE-010</t>
        </is>
      </c>
      <c r="B218" s="28" t="inlineStr">
        <is>
          <t>Live queue</t>
        </is>
      </c>
      <c r="C218" s="28" t="inlineStr">
        <is>
          <t>Realtime (WebSocket)</t>
        </is>
      </c>
      <c r="D218" s="28" t="inlineStr">
        <is>
          <t>'Your turn' card clears</t>
        </is>
      </c>
      <c r="E218" s="28" t="inlineStr">
        <is>
          <t>After being called, have the desk move to the next token, then close the session</t>
        </is>
      </c>
      <c r="F218" s="28" t="inlineStr">
        <is>
          <t>Card should clear when it no longer applies. The code clears it only when the session closes.</t>
        </is>
      </c>
      <c r="G218" s="29" t="inlineStr">
        <is>
          <t>P2</t>
        </is>
      </c>
      <c r="H218" s="29" t="inlineStr">
        <is>
          <t>Verify gap</t>
        </is>
      </c>
      <c r="I218" s="30" t="inlineStr">
        <is>
          <t>lib/features/appointments/application/providers/appointments_provider.dart:429</t>
        </is>
      </c>
      <c r="J218" s="29" t="inlineStr">
        <is>
          <t>KB-08</t>
        </is>
      </c>
      <c r="K218" s="31" t="inlineStr">
        <is>
          <t>Not Run</t>
        </is>
      </c>
      <c r="L218" s="32" t="n"/>
      <c r="M218" s="33" t="n"/>
      <c r="N218" s="32" t="n"/>
      <c r="O218" s="32" t="n"/>
      <c r="P218" s="32" t="n"/>
      <c r="Q218" s="32" t="n"/>
    </row>
    <row r="219" ht="30" customHeight="1">
      <c r="A219" s="27" t="inlineStr">
        <is>
          <t>BL-QUEUE-011</t>
        </is>
      </c>
      <c r="B219" s="28" t="inlineStr">
        <is>
          <t>Live queue</t>
        </is>
      </c>
      <c r="C219" s="28" t="inlineStr">
        <is>
          <t>Realtime (WebSocket)</t>
        </is>
      </c>
      <c r="D219" s="28" t="inlineStr">
        <is>
          <t>Keep-alive</t>
        </is>
      </c>
      <c r="E219" s="28" t="inlineStr">
        <is>
          <t>Leave the queue open for 6+ minutes and watch frames</t>
        </is>
      </c>
      <c r="F219" s="28" t="inlineStr">
        <is>
          <t>A ping every 30 s; the connection is not dropped for idleness.</t>
        </is>
      </c>
      <c r="G219" s="29" t="inlineStr">
        <is>
          <t>P2</t>
        </is>
      </c>
      <c r="H219" s="29" t="inlineStr">
        <is>
          <t>Boundary</t>
        </is>
      </c>
      <c r="I219" s="30" t="inlineStr">
        <is>
          <t>lib/core/realtime/ws_client.dart:83</t>
        </is>
      </c>
      <c r="J219" s="29" t="inlineStr">
        <is>
          <t>KB-08</t>
        </is>
      </c>
      <c r="K219" s="31" t="inlineStr">
        <is>
          <t>Not Run</t>
        </is>
      </c>
      <c r="L219" s="32" t="n"/>
      <c r="M219" s="33" t="n"/>
      <c r="N219" s="32" t="n"/>
      <c r="O219" s="32" t="n"/>
      <c r="P219" s="32" t="n"/>
      <c r="Q219" s="32" t="n"/>
    </row>
    <row r="220" ht="43" customHeight="1">
      <c r="A220" s="27" t="inlineStr">
        <is>
          <t>BL-QUEUE-012</t>
        </is>
      </c>
      <c r="B220" s="28" t="inlineStr">
        <is>
          <t>Live queue</t>
        </is>
      </c>
      <c r="C220" s="28" t="inlineStr">
        <is>
          <t>Realtime (WebSocket)</t>
        </is>
      </c>
      <c r="D220" s="28" t="inlineStr">
        <is>
          <t>Reconnect with back-off, then give up</t>
        </is>
      </c>
      <c r="E220" s="28" t="inlineStr">
        <is>
          <t>1. Block the socket endpoint while the screen is open
2. Time the banners</t>
        </is>
      </c>
      <c r="F220" s="28" t="inlineStr">
        <is>
          <t>'Live updates dropped — reconnecting…' while it retries after 2, 4, 8, 16 and 32 s; then 'Live updates unavailable. Pull down to refresh.'</t>
        </is>
      </c>
      <c r="G220" s="29" t="inlineStr">
        <is>
          <t>P1</t>
        </is>
      </c>
      <c r="H220" s="29" t="inlineStr">
        <is>
          <t>Boundary</t>
        </is>
      </c>
      <c r="I220" s="30" t="inlineStr">
        <is>
          <t>lib/features/appointments/application/providers/appointments_provider.dart:512</t>
        </is>
      </c>
      <c r="J220" s="29" t="inlineStr">
        <is>
          <t>KB-08</t>
        </is>
      </c>
      <c r="K220" s="31" t="inlineStr">
        <is>
          <t>Not Run</t>
        </is>
      </c>
      <c r="L220" s="32" t="n"/>
      <c r="M220" s="33" t="n"/>
      <c r="N220" s="32" t="n"/>
      <c r="O220" s="32" t="n"/>
      <c r="P220" s="32" t="n"/>
      <c r="Q220" s="32" t="n"/>
    </row>
    <row r="221" ht="43" customHeight="1">
      <c r="A221" s="27" t="inlineStr">
        <is>
          <t>BL-QUEUE-013</t>
        </is>
      </c>
      <c r="B221" s="28" t="inlineStr">
        <is>
          <t>Live queue</t>
        </is>
      </c>
      <c r="C221" s="28" t="inlineStr">
        <is>
          <t>Realtime (WebSocket)</t>
        </is>
      </c>
      <c r="D221" s="28" t="inlineStr">
        <is>
          <t>Recovery after giving up</t>
        </is>
      </c>
      <c r="E221" s="28" t="inlineStr">
        <is>
          <t>1. After 'Live updates unavailable', restore the network
2. Pull to refresh</t>
        </is>
      </c>
      <c r="F221" s="28" t="inlineStr">
        <is>
          <t>Live updates should resume. The code only re-reads the numbers; the socket stays off until the screen is reopened.</t>
        </is>
      </c>
      <c r="G221" s="29" t="inlineStr">
        <is>
          <t>P2</t>
        </is>
      </c>
      <c r="H221" s="29" t="inlineStr">
        <is>
          <t>Verify gap</t>
        </is>
      </c>
      <c r="I221" s="30" t="inlineStr">
        <is>
          <t>lib/features/appointments/application/providers/appointments_provider.dart:420</t>
        </is>
      </c>
      <c r="J221" s="29" t="inlineStr">
        <is>
          <t>KB-08</t>
        </is>
      </c>
      <c r="K221" s="31" t="inlineStr">
        <is>
          <t>Not Run</t>
        </is>
      </c>
      <c r="L221" s="32" t="n"/>
      <c r="M221" s="33" t="n"/>
      <c r="N221" s="32" t="n"/>
      <c r="O221" s="32" t="n"/>
      <c r="P221" s="32" t="n"/>
      <c r="Q221" s="32" t="n"/>
    </row>
    <row r="222" ht="43" customHeight="1">
      <c r="A222" s="27" t="inlineStr">
        <is>
          <t>BL-QUEUE-014</t>
        </is>
      </c>
      <c r="B222" s="28" t="inlineStr">
        <is>
          <t>Live queue</t>
        </is>
      </c>
      <c r="C222" s="28" t="inlineStr">
        <is>
          <t>Realtime (WebSocket)</t>
        </is>
      </c>
      <c r="D222" s="28" t="inlineStr">
        <is>
          <t>Expired token while connected</t>
        </is>
      </c>
      <c r="E222" s="28" t="inlineStr">
        <is>
          <t>Stay on the queue past the access-token lifetime (15 min)</t>
        </is>
      </c>
      <c r="F222" s="28" t="inlineStr">
        <is>
          <t>Reconnects silently with a fresh token; no banner sticks.</t>
        </is>
      </c>
      <c r="G222" s="29" t="inlineStr">
        <is>
          <t>P1</t>
        </is>
      </c>
      <c r="H222" s="29" t="inlineStr">
        <is>
          <t>State</t>
        </is>
      </c>
      <c r="I222" s="30" t="inlineStr">
        <is>
          <t>lib/features/appointments/application/providers/appointments_provider.dart:502</t>
        </is>
      </c>
      <c r="J222" s="29" t="inlineStr">
        <is>
          <t>KB-08</t>
        </is>
      </c>
      <c r="K222" s="31" t="inlineStr">
        <is>
          <t>Not Run</t>
        </is>
      </c>
      <c r="L222" s="32" t="n"/>
      <c r="M222" s="33" t="n"/>
      <c r="N222" s="32" t="n"/>
      <c r="O222" s="32" t="n"/>
      <c r="P222" s="32" t="n"/>
      <c r="Q222" s="32" t="n"/>
    </row>
    <row r="223" ht="43" customHeight="1">
      <c r="A223" s="27" t="inlineStr">
        <is>
          <t>BL-QUEUE-015</t>
        </is>
      </c>
      <c r="B223" s="28" t="inlineStr">
        <is>
          <t>Live queue</t>
        </is>
      </c>
      <c r="C223" s="28" t="inlineStr">
        <is>
          <t>Realtime (WebSocket)</t>
        </is>
      </c>
      <c r="D223" s="28" t="inlineStr">
        <is>
          <t>Socket repeatedly refused</t>
        </is>
      </c>
      <c r="E223" s="28" t="inlineStr">
        <is>
          <t>Open the queue for an appointment the server refuses (e.g. another user's) and watch the proxy for 2 minutes</t>
        </is>
      </c>
      <c r="F223" s="28" t="inlineStr">
        <is>
          <t>Retries must stop. Check for an endless refresh-and-reconnect loop on repeated 4401 closes.</t>
        </is>
      </c>
      <c r="G223" s="29" t="inlineStr">
        <is>
          <t>P1</t>
        </is>
      </c>
      <c r="H223" s="29" t="inlineStr">
        <is>
          <t>Verify gap</t>
        </is>
      </c>
      <c r="I223" s="30" t="inlineStr">
        <is>
          <t>lib/features/appointments/application/providers/appointments_provider.dart:502</t>
        </is>
      </c>
      <c r="J223" s="29" t="n"/>
      <c r="K223" s="31" t="inlineStr">
        <is>
          <t>Not Run</t>
        </is>
      </c>
      <c r="L223" s="32" t="n"/>
      <c r="M223" s="33" t="n"/>
      <c r="N223" s="32" t="n"/>
      <c r="O223" s="32" t="n"/>
      <c r="P223" s="32" t="n"/>
      <c r="Q223" s="32" t="n"/>
    </row>
    <row r="224" ht="30" customHeight="1">
      <c r="A224" s="27" t="inlineStr">
        <is>
          <t>BL-QUEUE-016</t>
        </is>
      </c>
      <c r="B224" s="28" t="inlineStr">
        <is>
          <t>Live queue</t>
        </is>
      </c>
      <c r="C224" s="28" t="inlineStr">
        <is>
          <t>Realtime (WebSocket)</t>
        </is>
      </c>
      <c r="D224" s="28" t="inlineStr">
        <is>
          <t>Socket closes with the screen</t>
        </is>
      </c>
      <c r="E224" s="28" t="inlineStr">
        <is>
          <t>Open the queue, leave it, watch the proxy</t>
        </is>
      </c>
      <c r="F224" s="28" t="inlineStr">
        <is>
          <t>Socket closes; no reconnect attempts continue.</t>
        </is>
      </c>
      <c r="G224" s="29" t="inlineStr">
        <is>
          <t>P1</t>
        </is>
      </c>
      <c r="H224" s="29" t="inlineStr">
        <is>
          <t>State</t>
        </is>
      </c>
      <c r="I224" s="30" t="inlineStr">
        <is>
          <t>lib/core/realtime/ws_client.dart:117</t>
        </is>
      </c>
      <c r="J224" s="29" t="n"/>
      <c r="K224" s="31" t="inlineStr">
        <is>
          <t>Not Run</t>
        </is>
      </c>
      <c r="L224" s="32" t="n"/>
      <c r="M224" s="33" t="n"/>
      <c r="N224" s="32" t="n"/>
      <c r="O224" s="32" t="n"/>
      <c r="P224" s="32" t="n"/>
      <c r="Q224" s="32" t="n"/>
    </row>
    <row r="225" ht="43" customHeight="1">
      <c r="A225" s="27" t="inlineStr">
        <is>
          <t>BL-HOME-001</t>
        </is>
      </c>
      <c r="B225" s="28" t="inlineStr">
        <is>
          <t>Home &amp; search</t>
        </is>
      </c>
      <c r="C225" s="28" t="inlineStr">
        <is>
          <t>Your Token card</t>
        </is>
      </c>
      <c r="D225" s="28" t="inlineStr">
        <is>
          <t>The card is the soonest upcoming booking</t>
        </is>
      </c>
      <c r="E225" s="28" t="inlineStr">
        <is>
          <t>Use accounts with 0, 1 and 3 upcoming bookings</t>
        </is>
      </c>
      <c r="F225" s="28" t="inlineStr">
        <is>
          <t>No card / that booking / the soonest one.</t>
        </is>
      </c>
      <c r="G225" s="29" t="inlineStr">
        <is>
          <t>P1</t>
        </is>
      </c>
      <c r="H225" s="29" t="inlineStr">
        <is>
          <t>Rule</t>
        </is>
      </c>
      <c r="I225" s="30" t="inlineStr">
        <is>
          <t>lib/features/appointments/application/providers/appointments_provider.dart:575</t>
        </is>
      </c>
      <c r="J225" s="29" t="n"/>
      <c r="K225" s="31" t="inlineStr">
        <is>
          <t>Not Run</t>
        </is>
      </c>
      <c r="L225" s="32" t="n"/>
      <c r="M225" s="33" t="n"/>
      <c r="N225" s="32" t="n"/>
      <c r="O225" s="32" t="n"/>
      <c r="P225" s="32" t="n"/>
      <c r="Q225" s="32" t="n"/>
    </row>
    <row r="226" ht="43" customHeight="1">
      <c r="A226" s="27" t="inlineStr">
        <is>
          <t>BL-HOME-002</t>
        </is>
      </c>
      <c r="B226" s="28" t="inlineStr">
        <is>
          <t>Home &amp; search</t>
        </is>
      </c>
      <c r="C226" s="28" t="inlineStr">
        <is>
          <t>Your Token card</t>
        </is>
      </c>
      <c r="D226" s="28" t="inlineStr">
        <is>
          <t>Card content</t>
        </is>
      </c>
      <c r="E226" s="28" t="inlineStr">
        <is>
          <t>Have an upcoming booking with a token and one without</t>
        </is>
      </c>
      <c r="F226" s="28" t="inlineStr">
        <is>
          <t>Token label (else booking reference), doctor name, 'Today · 10:30 AM' in hospital time; tap opens the appointment.</t>
        </is>
      </c>
      <c r="G226" s="29" t="inlineStr">
        <is>
          <t>P2</t>
        </is>
      </c>
      <c r="H226" s="29" t="inlineStr">
        <is>
          <t>Data mapping</t>
        </is>
      </c>
      <c r="I226" s="30" t="inlineStr">
        <is>
          <t>lib/features/dashboard/presentation/screen/home_screen.dart:89</t>
        </is>
      </c>
      <c r="J226" s="29" t="n"/>
      <c r="K226" s="31" t="inlineStr">
        <is>
          <t>Not Run</t>
        </is>
      </c>
      <c r="L226" s="32" t="n"/>
      <c r="M226" s="33" t="n"/>
      <c r="N226" s="32" t="n"/>
      <c r="O226" s="32" t="n"/>
      <c r="P226" s="32" t="n"/>
      <c r="Q226" s="32" t="n"/>
    </row>
    <row r="227" ht="30" customHeight="1">
      <c r="A227" s="27" t="inlineStr">
        <is>
          <t>BL-HOME-003</t>
        </is>
      </c>
      <c r="B227" s="28" t="inlineStr">
        <is>
          <t>Home &amp; search</t>
        </is>
      </c>
      <c r="C227" s="28" t="inlineStr">
        <is>
          <t>Your Token card</t>
        </is>
      </c>
      <c r="D227" s="28" t="inlineStr">
        <is>
          <t>Unpaid booking under 'Your Token'</t>
        </is>
      </c>
      <c r="E227" s="28" t="inlineStr">
        <is>
          <t>Leave a booking unpaid and open Home</t>
        </is>
      </c>
      <c r="F227" s="28" t="inlineStr">
        <is>
          <t>Decide what is correct: the card can show a pending-payment booking's reference under the 'Your Token' title.</t>
        </is>
      </c>
      <c r="G227" s="29" t="inlineStr">
        <is>
          <t>P2</t>
        </is>
      </c>
      <c r="H227" s="29" t="inlineStr">
        <is>
          <t>Verify gap</t>
        </is>
      </c>
      <c r="I227" s="30" t="inlineStr">
        <is>
          <t>lib/features/dashboard/presentation/screen/home_screen.dart:50</t>
        </is>
      </c>
      <c r="J227" s="29" t="n"/>
      <c r="K227" s="31" t="inlineStr">
        <is>
          <t>Not Run</t>
        </is>
      </c>
      <c r="L227" s="32" t="n"/>
      <c r="M227" s="33" t="n"/>
      <c r="N227" s="32" t="n"/>
      <c r="O227" s="32" t="n"/>
      <c r="P227" s="32" t="n"/>
      <c r="Q227" s="32" t="n"/>
    </row>
    <row r="228" ht="56" customHeight="1">
      <c r="A228" s="27" t="inlineStr">
        <is>
          <t>BL-HOME-004</t>
        </is>
      </c>
      <c r="B228" s="28" t="inlineStr">
        <is>
          <t>Home &amp; search</t>
        </is>
      </c>
      <c r="C228" s="28" t="inlineStr">
        <is>
          <t>Your Token card</t>
        </is>
      </c>
      <c r="D228" s="28" t="inlineStr">
        <is>
          <t>Card refreshes after changes</t>
        </is>
      </c>
      <c r="E228" s="28" t="inlineStr">
        <is>
          <t>1. Book, then return Home
2. Cancel in the app, then return Home
3. Have the hospital cancel, then pull to refresh on Home</t>
        </is>
      </c>
      <c r="F228" s="28" t="inlineStr">
        <is>
          <t>Card updates in all three cases. The code does not refresh the card on pull-to-refresh, so a hospital-side change may linger.</t>
        </is>
      </c>
      <c r="G228" s="29" t="inlineStr">
        <is>
          <t>P1</t>
        </is>
      </c>
      <c r="H228" s="29" t="inlineStr">
        <is>
          <t>Verify gap</t>
        </is>
      </c>
      <c r="I228" s="30" t="inlineStr">
        <is>
          <t>lib/features/dashboard/presentation/screen/home_screen.dart:50</t>
        </is>
      </c>
      <c r="J228" s="29" t="n"/>
      <c r="K228" s="31" t="inlineStr">
        <is>
          <t>Not Run</t>
        </is>
      </c>
      <c r="L228" s="32" t="n"/>
      <c r="M228" s="33" t="n"/>
      <c r="N228" s="32" t="n"/>
      <c r="O228" s="32" t="n"/>
      <c r="P228" s="32" t="n"/>
      <c r="Q228" s="32" t="n"/>
    </row>
    <row r="229" ht="30" customHeight="1">
      <c r="A229" s="27" t="inlineStr">
        <is>
          <t>BL-HOME-005</t>
        </is>
      </c>
      <c r="B229" s="28" t="inlineStr">
        <is>
          <t>Home &amp; search</t>
        </is>
      </c>
      <c r="C229" s="28" t="inlineStr">
        <is>
          <t>Services</t>
        </is>
      </c>
      <c r="D229" s="28" t="inlineStr">
        <is>
          <t>Departments are ordered by how many hospitals offer them</t>
        </is>
      </c>
      <c r="E229" s="28" t="inlineStr">
        <is>
          <t>Compare the Available Services order with the departments API</t>
        </is>
      </c>
      <c r="F229" s="28" t="inlineStr">
        <is>
          <t>Highest hospital count first; a tile opens booking for that department.</t>
        </is>
      </c>
      <c r="G229" s="29" t="inlineStr">
        <is>
          <t>P2</t>
        </is>
      </c>
      <c r="H229" s="29" t="inlineStr">
        <is>
          <t>Rule</t>
        </is>
      </c>
      <c r="I229" s="30" t="inlineStr">
        <is>
          <t>lib/features/dashboard/presentation/screen/home_screen.dart:204</t>
        </is>
      </c>
      <c r="J229" s="29" t="n"/>
      <c r="K229" s="31" t="inlineStr">
        <is>
          <t>Not Run</t>
        </is>
      </c>
      <c r="L229" s="32" t="n"/>
      <c r="M229" s="33" t="n"/>
      <c r="N229" s="32" t="n"/>
      <c r="O229" s="32" t="n"/>
      <c r="P229" s="32" t="n"/>
      <c r="Q229" s="32" t="n"/>
    </row>
    <row r="230" ht="43" customHeight="1">
      <c r="A230" s="27" t="inlineStr">
        <is>
          <t>BL-HOME-006</t>
        </is>
      </c>
      <c r="B230" s="28" t="inlineStr">
        <is>
          <t>Home &amp; search</t>
        </is>
      </c>
      <c r="C230" s="28" t="inlineStr">
        <is>
          <t>Services</t>
        </is>
      </c>
      <c r="D230" s="28" t="inlineStr">
        <is>
          <t>View All / View Less</t>
        </is>
      </c>
      <c r="E230" s="28" t="inlineStr">
        <is>
          <t>1. Open Home on an account/location with 7+ departments
2. Toggle the link</t>
        </is>
      </c>
      <c r="F230" s="28" t="inlineStr">
        <is>
          <t>Confirm intended: the section opens expanded with up to 6 tiles and the link reads 'View Less'; 'View All' never shows more than 6.</t>
        </is>
      </c>
      <c r="G230" s="29" t="inlineStr">
        <is>
          <t>P3</t>
        </is>
      </c>
      <c r="H230" s="29" t="inlineStr">
        <is>
          <t>Verify gap</t>
        </is>
      </c>
      <c r="I230" s="30" t="inlineStr">
        <is>
          <t>lib/features/dashboard/presentation/screen/home_screen.dart:204</t>
        </is>
      </c>
      <c r="J230" s="29" t="n"/>
      <c r="K230" s="31" t="inlineStr">
        <is>
          <t>Not Run</t>
        </is>
      </c>
      <c r="L230" s="32" t="n"/>
      <c r="M230" s="33" t="n"/>
      <c r="N230" s="32" t="n"/>
      <c r="O230" s="32" t="n"/>
      <c r="P230" s="32" t="n"/>
      <c r="Q230" s="32" t="n"/>
    </row>
    <row r="231" ht="43" customHeight="1">
      <c r="A231" s="27" t="inlineStr">
        <is>
          <t>BL-HOME-007</t>
        </is>
      </c>
      <c r="B231" s="28" t="inlineStr">
        <is>
          <t>Home &amp; search</t>
        </is>
      </c>
      <c r="C231" s="28" t="inlineStr">
        <is>
          <t>Hospitals</t>
        </is>
      </c>
      <c r="D231" s="28" t="inlineStr">
        <is>
          <t>'Hospitals Near You' shows two hospitals</t>
        </is>
      </c>
      <c r="E231" s="28" t="inlineStr">
        <is>
          <t>Open Home with 3+ live hospitals</t>
        </is>
      </c>
      <c r="F231" s="28" t="inlineStr">
        <is>
          <t>First two by name (not by distance — see KB-10); empty: 'No hospital is live and accepting patients right now.'</t>
        </is>
      </c>
      <c r="G231" s="29" t="inlineStr">
        <is>
          <t>P2</t>
        </is>
      </c>
      <c r="H231" s="29" t="inlineStr">
        <is>
          <t>Rule</t>
        </is>
      </c>
      <c r="I231" s="30" t="inlineStr">
        <is>
          <t>lib/features/dashboard/application/providers/home_providers.dart:35</t>
        </is>
      </c>
      <c r="J231" s="29" t="inlineStr">
        <is>
          <t>KB-10</t>
        </is>
      </c>
      <c r="K231" s="31" t="inlineStr">
        <is>
          <t>Not Run</t>
        </is>
      </c>
      <c r="L231" s="32" t="n"/>
      <c r="M231" s="33" t="n"/>
      <c r="N231" s="32" t="n"/>
      <c r="O231" s="32" t="n"/>
      <c r="P231" s="32" t="n"/>
      <c r="Q231" s="32" t="n"/>
    </row>
    <row r="232" ht="30" customHeight="1">
      <c r="A232" s="27" t="inlineStr">
        <is>
          <t>BL-HOME-008</t>
        </is>
      </c>
      <c r="B232" s="28" t="inlineStr">
        <is>
          <t>Home &amp; search</t>
        </is>
      </c>
      <c r="C232" s="28" t="inlineStr">
        <is>
          <t>Banners</t>
        </is>
      </c>
      <c r="D232" s="28" t="inlineStr">
        <is>
          <t>Promo strip is built from the first five hospitals' banners</t>
        </is>
      </c>
      <c r="E232" s="28" t="inlineStr">
        <is>
          <t>1. Use hospitals with and without banners
2. Tap a banner</t>
        </is>
      </c>
      <c r="F232" s="28" t="inlineStr">
        <is>
          <t>Banners in hospital order; strip hidden when none; tap opens that hospital.</t>
        </is>
      </c>
      <c r="G232" s="29" t="inlineStr">
        <is>
          <t>P3</t>
        </is>
      </c>
      <c r="H232" s="29" t="inlineStr">
        <is>
          <t>Rule</t>
        </is>
      </c>
      <c r="I232" s="30" t="inlineStr">
        <is>
          <t>lib/features/dashboard/application/providers/home_providers.dart:50</t>
        </is>
      </c>
      <c r="J232" s="29" t="n"/>
      <c r="K232" s="31" t="inlineStr">
        <is>
          <t>Not Run</t>
        </is>
      </c>
      <c r="L232" s="32" t="n"/>
      <c r="M232" s="33" t="n"/>
      <c r="N232" s="32" t="n"/>
      <c r="O232" s="32" t="n"/>
      <c r="P232" s="32" t="n"/>
      <c r="Q232" s="32" t="n"/>
    </row>
    <row r="233" ht="30" customHeight="1">
      <c r="A233" s="27" t="inlineStr">
        <is>
          <t>BL-HOME-009</t>
        </is>
      </c>
      <c r="B233" s="28" t="inlineStr">
        <is>
          <t>Home &amp; search</t>
        </is>
      </c>
      <c r="C233" s="28" t="inlineStr">
        <is>
          <t>Greeting</t>
        </is>
      </c>
      <c r="D233" s="28" t="inlineStr">
        <is>
          <t>Greeting uses the first name only</t>
        </is>
      </c>
      <c r="E233" s="28" t="inlineStr">
        <is>
          <t>Sign in with an account whose first name is blank</t>
        </is>
      </c>
      <c r="F233" s="28" t="inlineStr">
        <is>
          <t>Greeting without a name — never a placeholder name.</t>
        </is>
      </c>
      <c r="G233" s="29" t="inlineStr">
        <is>
          <t>P3</t>
        </is>
      </c>
      <c r="H233" s="29" t="inlineStr">
        <is>
          <t>Data mapping</t>
        </is>
      </c>
      <c r="I233" s="30" t="inlineStr">
        <is>
          <t>lib/features/dashboard/application/providers/home_providers.dart:16</t>
        </is>
      </c>
      <c r="J233" s="29" t="n"/>
      <c r="K233" s="31" t="inlineStr">
        <is>
          <t>Not Run</t>
        </is>
      </c>
      <c r="L233" s="32" t="n"/>
      <c r="M233" s="33" t="n"/>
      <c r="N233" s="32" t="n"/>
      <c r="O233" s="32" t="n"/>
      <c r="P233" s="32" t="n"/>
      <c r="Q233" s="32" t="n"/>
    </row>
    <row r="234" ht="30" customHeight="1">
      <c r="A234" s="27" t="inlineStr">
        <is>
          <t>BL-HOME-010</t>
        </is>
      </c>
      <c r="B234" s="28" t="inlineStr">
        <is>
          <t>Home &amp; search</t>
        </is>
      </c>
      <c r="C234" s="28" t="inlineStr">
        <is>
          <t>Global search</t>
        </is>
      </c>
      <c r="D234" s="28" t="inlineStr">
        <is>
          <t>Query must be 2–100 characters</t>
        </is>
      </c>
      <c r="E234" s="28" t="inlineStr">
        <is>
          <t>1. Type 1 character
2. Paste 150 characters</t>
        </is>
      </c>
      <c r="F234" s="28" t="inlineStr">
        <is>
          <t>'Type at least 2 characters to search.'; only the first 100 are sent.</t>
        </is>
      </c>
      <c r="G234" s="29" t="inlineStr">
        <is>
          <t>P1</t>
        </is>
      </c>
      <c r="H234" s="29" t="inlineStr">
        <is>
          <t>Boundary</t>
        </is>
      </c>
      <c r="I234" s="30" t="inlineStr">
        <is>
          <t>lib/features/search/application/providers/search_providers.dart:25</t>
        </is>
      </c>
      <c r="J234" s="29" t="n"/>
      <c r="K234" s="31" t="inlineStr">
        <is>
          <t>Not Run</t>
        </is>
      </c>
      <c r="L234" s="32" t="n"/>
      <c r="M234" s="33" t="n"/>
      <c r="N234" s="32" t="n"/>
      <c r="O234" s="32" t="n"/>
      <c r="P234" s="32" t="n"/>
      <c r="Q234" s="32" t="n"/>
    </row>
    <row r="235" ht="30" customHeight="1">
      <c r="A235" s="27" t="inlineStr">
        <is>
          <t>BL-HOME-011</t>
        </is>
      </c>
      <c r="B235" s="28" t="inlineStr">
        <is>
          <t>Home &amp; search</t>
        </is>
      </c>
      <c r="C235" s="28" t="inlineStr">
        <is>
          <t>Global search</t>
        </is>
      </c>
      <c r="D235" s="28" t="inlineStr">
        <is>
          <t>One request per pause</t>
        </is>
      </c>
      <c r="E235" s="28" t="inlineStr">
        <is>
          <t>Type 'card', pause, then type 'io' quickly (watch the proxy)</t>
        </is>
      </c>
      <c r="F235" s="28" t="inlineStr">
        <is>
          <t>One request per pause (300 ms); earlier results stay until the new ones arrive.</t>
        </is>
      </c>
      <c r="G235" s="29" t="inlineStr">
        <is>
          <t>P2</t>
        </is>
      </c>
      <c r="H235" s="29" t="inlineStr">
        <is>
          <t>Rule</t>
        </is>
      </c>
      <c r="I235" s="30" t="inlineStr">
        <is>
          <t>lib/features/search/application/providers/search_providers.dart:83</t>
        </is>
      </c>
      <c r="J235" s="29" t="n"/>
      <c r="K235" s="31" t="inlineStr">
        <is>
          <t>Not Run</t>
        </is>
      </c>
      <c r="L235" s="32" t="n"/>
      <c r="M235" s="33" t="n"/>
      <c r="N235" s="32" t="n"/>
      <c r="O235" s="32" t="n"/>
      <c r="P235" s="32" t="n"/>
      <c r="Q235" s="32" t="n"/>
    </row>
    <row r="236" ht="43" customHeight="1">
      <c r="A236" s="27" t="inlineStr">
        <is>
          <t>BL-HOME-012</t>
        </is>
      </c>
      <c r="B236" s="28" t="inlineStr">
        <is>
          <t>Home &amp; search</t>
        </is>
      </c>
      <c r="C236" s="28" t="inlineStr">
        <is>
          <t>Global search</t>
        </is>
      </c>
      <c r="D236" s="28" t="inlineStr">
        <is>
          <t>Recent searches</t>
        </is>
      </c>
      <c r="E236" s="28" t="inlineStr">
        <is>
          <t>1. Search 7 different terms, plus 'Cardio' and 'cardio'
2. Restart the app</t>
        </is>
      </c>
      <c r="F236" s="28" t="inlineStr">
        <is>
          <t>At most 6 chips, newest first, one 'cardio'; tapping a chip searches at once; chips are gone after restart; 'Clear' empties them.</t>
        </is>
      </c>
      <c r="G236" s="29" t="inlineStr">
        <is>
          <t>P3</t>
        </is>
      </c>
      <c r="H236" s="29" t="inlineStr">
        <is>
          <t>Boundary</t>
        </is>
      </c>
      <c r="I236" s="30" t="inlineStr">
        <is>
          <t>lib/features/search/application/providers/search_providers.dart:145</t>
        </is>
      </c>
      <c r="J236" s="29" t="n"/>
      <c r="K236" s="31" t="inlineStr">
        <is>
          <t>Not Run</t>
        </is>
      </c>
      <c r="L236" s="32" t="n"/>
      <c r="M236" s="33" t="n"/>
      <c r="N236" s="32" t="n"/>
      <c r="O236" s="32" t="n"/>
      <c r="P236" s="32" t="n"/>
      <c r="Q236" s="32" t="n"/>
    </row>
    <row r="237" ht="43" customHeight="1">
      <c r="A237" s="27" t="inlineStr">
        <is>
          <t>BL-HOME-013</t>
        </is>
      </c>
      <c r="B237" s="28" t="inlineStr">
        <is>
          <t>Home &amp; search</t>
        </is>
      </c>
      <c r="C237" s="28" t="inlineStr">
        <is>
          <t>Global search</t>
        </is>
      </c>
      <c r="D237" s="28" t="inlineStr">
        <is>
          <t>Result grouping and count</t>
        </is>
      </c>
      <c r="E237" s="28" t="inlineStr">
        <is>
          <t>Search a term matching specialities, hospitals and doctors</t>
        </is>
      </c>
      <c r="F237" s="28" t="inlineStr">
        <is>
          <t>Groups in the order Specialities, Hospitals, Doctors; empty groups hidden; 'N results for "q"' counts all three.</t>
        </is>
      </c>
      <c r="G237" s="29" t="inlineStr">
        <is>
          <t>P1</t>
        </is>
      </c>
      <c r="H237" s="29" t="inlineStr">
        <is>
          <t>Rule</t>
        </is>
      </c>
      <c r="I237" s="30" t="inlineStr">
        <is>
          <t>lib/features/search/presentation/screen/search_screen.dart:259</t>
        </is>
      </c>
      <c r="J237" s="29" t="n"/>
      <c r="K237" s="31" t="inlineStr">
        <is>
          <t>Not Run</t>
        </is>
      </c>
      <c r="L237" s="32" t="n"/>
      <c r="M237" s="33" t="n"/>
      <c r="N237" s="32" t="n"/>
      <c r="O237" s="32" t="n"/>
      <c r="P237" s="32" t="n"/>
      <c r="Q237" s="32" t="n"/>
    </row>
    <row r="238" ht="43" customHeight="1">
      <c r="A238" s="27" t="inlineStr">
        <is>
          <t>BL-HOME-014</t>
        </is>
      </c>
      <c r="B238" s="28" t="inlineStr">
        <is>
          <t>Home &amp; search</t>
        </is>
      </c>
      <c r="C238" s="28" t="inlineStr">
        <is>
          <t>Global search</t>
        </is>
      </c>
      <c r="D238" s="28" t="inlineStr">
        <is>
          <t>Result taps go to the right place</t>
        </is>
      </c>
      <c r="E238" s="28" t="inlineStr">
        <is>
          <t>Tap a speciality, a hospital and a doctor</t>
        </is>
      </c>
      <c r="F238" s="28" t="inlineStr">
        <is>
          <t>Booking for that department / hospital page / doctor page (Back returns to search).</t>
        </is>
      </c>
      <c r="G238" s="29" t="inlineStr">
        <is>
          <t>P1</t>
        </is>
      </c>
      <c r="H238" s="29" t="inlineStr">
        <is>
          <t>Rule</t>
        </is>
      </c>
      <c r="I238" s="30" t="inlineStr">
        <is>
          <t>lib/features/search/infrastructure/data_sources/remote/search_api.dart:16</t>
        </is>
      </c>
      <c r="J238" s="29" t="n"/>
      <c r="K238" s="31" t="inlineStr">
        <is>
          <t>Not Run</t>
        </is>
      </c>
      <c r="L238" s="32" t="n"/>
      <c r="M238" s="33" t="n"/>
      <c r="N238" s="32" t="n"/>
      <c r="O238" s="32" t="n"/>
      <c r="P238" s="32" t="n"/>
      <c r="Q238" s="32" t="n"/>
    </row>
    <row r="239" ht="43" customHeight="1">
      <c r="A239" s="27" t="inlineStr">
        <is>
          <t>BL-HOME-015</t>
        </is>
      </c>
      <c r="B239" s="28" t="inlineStr">
        <is>
          <t>Home &amp; search</t>
        </is>
      </c>
      <c r="C239" s="28" t="inlineStr">
        <is>
          <t>Global search</t>
        </is>
      </c>
      <c r="D239" s="28" t="inlineStr">
        <is>
          <t>Works signed out, never cached</t>
        </is>
      </c>
      <c r="E239" s="28" t="inlineStr">
        <is>
          <t>1. Search while signed out
2. Search offline after a successful search</t>
        </is>
      </c>
      <c r="F239" s="28" t="inlineStr">
        <is>
          <t>Signed out works; offline shows an error with retry, not old results.</t>
        </is>
      </c>
      <c r="G239" s="29" t="inlineStr">
        <is>
          <t>P2</t>
        </is>
      </c>
      <c r="H239" s="29" t="inlineStr">
        <is>
          <t>Rule</t>
        </is>
      </c>
      <c r="I239" s="30" t="inlineStr">
        <is>
          <t>lib/features/search/infrastructure/data_sources/remote/search_api.dart:16</t>
        </is>
      </c>
      <c r="J239" s="29" t="n"/>
      <c r="K239" s="31" t="inlineStr">
        <is>
          <t>Not Run</t>
        </is>
      </c>
      <c r="L239" s="32" t="n"/>
      <c r="M239" s="33" t="n"/>
      <c r="N239" s="32" t="n"/>
      <c r="O239" s="32" t="n"/>
      <c r="P239" s="32" t="n"/>
      <c r="Q239" s="32" t="n"/>
    </row>
    <row r="240" ht="43" customHeight="1">
      <c r="A240" s="27" t="inlineStr">
        <is>
          <t>BL-REC-001</t>
        </is>
      </c>
      <c r="B240" s="28" t="inlineStr">
        <is>
          <t>Records &amp; uploads</t>
        </is>
      </c>
      <c r="C240" s="28" t="inlineStr">
        <is>
          <t>Document form</t>
        </is>
      </c>
      <c r="D240" s="28" t="inlineStr">
        <is>
          <t>Title: required, 3–200 characters</t>
        </is>
      </c>
      <c r="E240" s="28" t="inlineStr">
        <is>
          <t>1. Save with the title blank
2. Type 'ab' and leave the field</t>
        </is>
      </c>
      <c r="F240" s="28" t="inlineStr">
        <is>
          <t>'Enter a title so you can find this later' / 'Use at least 3 characters'; errors appear on leaving the field or on Save.</t>
        </is>
      </c>
      <c r="G240" s="29" t="inlineStr">
        <is>
          <t>P1</t>
        </is>
      </c>
      <c r="H240" s="29" t="inlineStr">
        <is>
          <t>Boundary</t>
        </is>
      </c>
      <c r="I240" s="30" t="inlineStr">
        <is>
          <t>lib/features/records/application/states/document_form_state.dart:56</t>
        </is>
      </c>
      <c r="J240" s="29" t="n"/>
      <c r="K240" s="31" t="inlineStr">
        <is>
          <t>Not Run</t>
        </is>
      </c>
      <c r="L240" s="32" t="n"/>
      <c r="M240" s="33" t="n"/>
      <c r="N240" s="32" t="n"/>
      <c r="O240" s="32" t="n"/>
      <c r="P240" s="32" t="n"/>
      <c r="Q240" s="32" t="n"/>
    </row>
    <row r="241" ht="30" customHeight="1">
      <c r="A241" s="27" t="inlineStr">
        <is>
          <t>BL-REC-002</t>
        </is>
      </c>
      <c r="B241" s="28" t="inlineStr">
        <is>
          <t>Records &amp; uploads</t>
        </is>
      </c>
      <c r="C241" s="28" t="inlineStr">
        <is>
          <t>Document form</t>
        </is>
      </c>
      <c r="D241" s="28" t="inlineStr">
        <is>
          <t>Document date cannot be in the future or older than 30 years</t>
        </is>
      </c>
      <c r="E241" s="28" t="inlineStr">
        <is>
          <t>Open the date picker</t>
        </is>
      </c>
      <c r="F241" s="28" t="inlineStr">
        <is>
          <t>Only today back to 30 years ago can be picked; default is today.</t>
        </is>
      </c>
      <c r="G241" s="29" t="inlineStr">
        <is>
          <t>P1</t>
        </is>
      </c>
      <c r="H241" s="29" t="inlineStr">
        <is>
          <t>Boundary</t>
        </is>
      </c>
      <c r="I241" s="30" t="inlineStr">
        <is>
          <t>lib/features/records/presentation/components/document_form.dart:138</t>
        </is>
      </c>
      <c r="J241" s="29" t="n"/>
      <c r="K241" s="31" t="inlineStr">
        <is>
          <t>Not Run</t>
        </is>
      </c>
      <c r="L241" s="32" t="n"/>
      <c r="M241" s="33" t="n"/>
      <c r="N241" s="32" t="n"/>
      <c r="O241" s="32" t="n"/>
      <c r="P241" s="32" t="n"/>
      <c r="Q241" s="32" t="n"/>
    </row>
    <row r="242" ht="43" customHeight="1">
      <c r="A242" s="27" t="inlineStr">
        <is>
          <t>BL-REC-003</t>
        </is>
      </c>
      <c r="B242" s="28" t="inlineStr">
        <is>
          <t>Records &amp; uploads</t>
        </is>
      </c>
      <c r="C242" s="28" t="inlineStr">
        <is>
          <t>Document form</t>
        </is>
      </c>
      <c r="D242" s="28" t="inlineStr">
        <is>
          <t>Every document belongs to a person</t>
        </is>
      </c>
      <c r="E242" s="28" t="inlineStr">
        <is>
          <t>Open upload on accounts with self + family, with one person, and with none</t>
        </is>
      </c>
      <c r="F242" s="28" t="inlineStr">
        <is>
          <t>Self (or the only person) prefilled; otherwise 'Select a person' and 'Choose who this document is for' on Save; with nobody: 'Add a family member first'.</t>
        </is>
      </c>
      <c r="G242" s="29" t="inlineStr">
        <is>
          <t>P0</t>
        </is>
      </c>
      <c r="H242" s="29" t="inlineStr">
        <is>
          <t>Rule</t>
        </is>
      </c>
      <c r="I242" s="30" t="inlineStr">
        <is>
          <t>lib/features/records/presentation/components/document_form.dart:83</t>
        </is>
      </c>
      <c r="J242" s="29" t="n"/>
      <c r="K242" s="31" t="inlineStr">
        <is>
          <t>Not Run</t>
        </is>
      </c>
      <c r="L242" s="32" t="n"/>
      <c r="M242" s="33" t="n"/>
      <c r="N242" s="32" t="n"/>
      <c r="O242" s="32" t="n"/>
      <c r="P242" s="32" t="n"/>
      <c r="Q242" s="32" t="n"/>
    </row>
    <row r="243" ht="43" customHeight="1">
      <c r="A243" s="27" t="inlineStr">
        <is>
          <t>BL-REC-004</t>
        </is>
      </c>
      <c r="B243" s="28" t="inlineStr">
        <is>
          <t>Records &amp; uploads</t>
        </is>
      </c>
      <c r="C243" s="28" t="inlineStr">
        <is>
          <t>Document form</t>
        </is>
      </c>
      <c r="D243" s="28" t="inlineStr">
        <is>
          <t>Seven document types, default Lab Report</t>
        </is>
      </c>
      <c r="E243" s="28" t="inlineStr">
        <is>
          <t>Open the type picker</t>
        </is>
      </c>
      <c r="F243" s="28" t="inlineStr">
        <is>
          <t>Lab report, Prescription, Scan, Discharge summary, Invoice, Vaccination, Other; an unknown server type shows as Other.</t>
        </is>
      </c>
      <c r="G243" s="29" t="inlineStr">
        <is>
          <t>P2</t>
        </is>
      </c>
      <c r="H243" s="29" t="inlineStr">
        <is>
          <t>Data mapping</t>
        </is>
      </c>
      <c r="I243" s="30" t="inlineStr">
        <is>
          <t>lib/features/records/domain/entities/medical_document.dart:5</t>
        </is>
      </c>
      <c r="J243" s="29" t="n"/>
      <c r="K243" s="31" t="inlineStr">
        <is>
          <t>Not Run</t>
        </is>
      </c>
      <c r="L243" s="32" t="n"/>
      <c r="M243" s="33" t="n"/>
      <c r="N243" s="32" t="n"/>
      <c r="O243" s="32" t="n"/>
      <c r="P243" s="32" t="n"/>
      <c r="Q243" s="32" t="n"/>
    </row>
    <row r="244" ht="43" customHeight="1">
      <c r="A244" s="27" t="inlineStr">
        <is>
          <t>BL-REC-005</t>
        </is>
      </c>
      <c r="B244" s="28" t="inlineStr">
        <is>
          <t>Records &amp; uploads</t>
        </is>
      </c>
      <c r="C244" s="28" t="inlineStr">
        <is>
          <t>Document form</t>
        </is>
      </c>
      <c r="D244" s="28" t="inlineStr">
        <is>
          <t>Save needs a clean, scanned file</t>
        </is>
      </c>
      <c r="E244" s="28" t="inlineStr">
        <is>
          <t>1. Tap Save with no file
2. During upload/scan
3. With a rejected file</t>
        </is>
      </c>
      <c r="F244" s="28" t="inlineStr">
        <is>
          <t>'Choose a file to upload' / button reads 'Waiting for the file…' and is disabled / cannot save.</t>
        </is>
      </c>
      <c r="G244" s="29" t="inlineStr">
        <is>
          <t>P0</t>
        </is>
      </c>
      <c r="H244" s="29" t="inlineStr">
        <is>
          <t>Rule</t>
        </is>
      </c>
      <c r="I244" s="30" t="inlineStr">
        <is>
          <t>lib/features/records/presentation/screen/document_upload_screen.dart:88</t>
        </is>
      </c>
      <c r="J244" s="29" t="inlineStr">
        <is>
          <t>KB-01</t>
        </is>
      </c>
      <c r="K244" s="31" t="inlineStr">
        <is>
          <t>Not Run</t>
        </is>
      </c>
      <c r="L244" s="32" t="n"/>
      <c r="M244" s="33" t="n"/>
      <c r="N244" s="32" t="n"/>
      <c r="O244" s="32" t="n"/>
      <c r="P244" s="32" t="n"/>
      <c r="Q244" s="32" t="n"/>
    </row>
    <row r="245" ht="30" customHeight="1">
      <c r="A245" s="27" t="inlineStr">
        <is>
          <t>BL-REC-006</t>
        </is>
      </c>
      <c r="B245" s="28" t="inlineStr">
        <is>
          <t>Records &amp; uploads</t>
        </is>
      </c>
      <c r="C245" s="28" t="inlineStr">
        <is>
          <t>Document form</t>
        </is>
      </c>
      <c r="D245" s="28" t="inlineStr">
        <is>
          <t>Notes optional, up to 2000 characters</t>
        </is>
      </c>
      <c r="E245" s="28" t="inlineStr">
        <is>
          <t>Paste more than 2000 characters</t>
        </is>
      </c>
      <c r="F245" s="28" t="inlineStr">
        <is>
          <t>Input stops at 2000; blank notes are not saved.</t>
        </is>
      </c>
      <c r="G245" s="29" t="inlineStr">
        <is>
          <t>P3</t>
        </is>
      </c>
      <c r="H245" s="29" t="inlineStr">
        <is>
          <t>Boundary</t>
        </is>
      </c>
      <c r="I245" s="30" t="inlineStr">
        <is>
          <t>lib/features/records/application/states/document_form_state.dart:64</t>
        </is>
      </c>
      <c r="J245" s="29" t="n"/>
      <c r="K245" s="31" t="inlineStr">
        <is>
          <t>Not Run</t>
        </is>
      </c>
      <c r="L245" s="32" t="n"/>
      <c r="M245" s="33" t="n"/>
      <c r="N245" s="32" t="n"/>
      <c r="O245" s="32" t="n"/>
      <c r="P245" s="32" t="n"/>
      <c r="Q245" s="32" t="n"/>
    </row>
    <row r="246" ht="43" customHeight="1">
      <c r="A246" s="27" t="inlineStr">
        <is>
          <t>BL-REC-007</t>
        </is>
      </c>
      <c r="B246" s="28" t="inlineStr">
        <is>
          <t>Records &amp; uploads</t>
        </is>
      </c>
      <c r="C246" s="28" t="inlineStr">
        <is>
          <t>Document form</t>
        </is>
      </c>
      <c r="D246" s="28" t="inlineStr">
        <is>
          <t>Server field errors clear when the field is fixed</t>
        </is>
      </c>
      <c r="E246" s="28" t="inlineStr">
        <is>
          <t>1. Get a server error on the date or the file
2. Change the date / replace the file
3. Save</t>
        </is>
      </c>
      <c r="F246" s="28" t="inlineStr">
        <is>
          <t>Save should go through. The code clears server errors only when title, person or appointment is edited, so Save stays blocked.</t>
        </is>
      </c>
      <c r="G246" s="29" t="inlineStr">
        <is>
          <t>P2</t>
        </is>
      </c>
      <c r="H246" s="29" t="inlineStr">
        <is>
          <t>Verify gap</t>
        </is>
      </c>
      <c r="I246" s="30" t="inlineStr">
        <is>
          <t>lib/features/records/application/providers/records_provider.dart:296</t>
        </is>
      </c>
      <c r="J246" s="29" t="n"/>
      <c r="K246" s="31" t="inlineStr">
        <is>
          <t>Not Run</t>
        </is>
      </c>
      <c r="L246" s="32" t="n"/>
      <c r="M246" s="33" t="n"/>
      <c r="N246" s="32" t="n"/>
      <c r="O246" s="32" t="n"/>
      <c r="P246" s="32" t="n"/>
      <c r="Q246" s="32" t="n"/>
    </row>
    <row r="247" ht="43" customHeight="1">
      <c r="A247" s="27" t="inlineStr">
        <is>
          <t>BL-REC-008</t>
        </is>
      </c>
      <c r="B247" s="28" t="inlineStr">
        <is>
          <t>Records &amp; uploads</t>
        </is>
      </c>
      <c r="C247" s="28" t="inlineStr">
        <is>
          <t>Document form</t>
        </is>
      </c>
      <c r="D247" s="28" t="inlineStr">
        <is>
          <t>After saving</t>
        </is>
      </c>
      <c r="E247" s="28" t="inlineStr">
        <is>
          <t>Save a valid document</t>
        </is>
      </c>
      <c r="F247" s="28" t="inlineStr">
        <is>
          <t>'“&lt;title&gt;” added to your records' and the document's detail opens; it is in the list.</t>
        </is>
      </c>
      <c r="G247" s="29" t="inlineStr">
        <is>
          <t>P1</t>
        </is>
      </c>
      <c r="H247" s="29" t="inlineStr">
        <is>
          <t>State</t>
        </is>
      </c>
      <c r="I247" s="30" t="inlineStr">
        <is>
          <t>lib/features/records/presentation/screen/document_upload_screen.dart:133</t>
        </is>
      </c>
      <c r="J247" s="29" t="inlineStr">
        <is>
          <t>KB-01</t>
        </is>
      </c>
      <c r="K247" s="31" t="inlineStr">
        <is>
          <t>Not Run</t>
        </is>
      </c>
      <c r="L247" s="32" t="n"/>
      <c r="M247" s="33" t="n"/>
      <c r="N247" s="32" t="n"/>
      <c r="O247" s="32" t="n"/>
      <c r="P247" s="32" t="n"/>
      <c r="Q247" s="32" t="n"/>
    </row>
    <row r="248" ht="43" customHeight="1">
      <c r="A248" s="27" t="inlineStr">
        <is>
          <t>BL-REC-009</t>
        </is>
      </c>
      <c r="B248" s="28" t="inlineStr">
        <is>
          <t>Records &amp; uploads</t>
        </is>
      </c>
      <c r="C248" s="28" t="inlineStr">
        <is>
          <t>Document form</t>
        </is>
      </c>
      <c r="D248" s="28" t="inlineStr">
        <is>
          <t>Unsaved-changes guard</t>
        </is>
      </c>
      <c r="E248" s="28" t="inlineStr">
        <is>
          <t>1. Type a title or pick a file
2. Press Back</t>
        </is>
      </c>
      <c r="F248" s="28" t="inlineStr">
        <is>
          <t>'Discard this document?' confirmation.</t>
        </is>
      </c>
      <c r="G248" s="29" t="inlineStr">
        <is>
          <t>P2</t>
        </is>
      </c>
      <c r="H248" s="29" t="inlineStr">
        <is>
          <t>Rule</t>
        </is>
      </c>
      <c r="I248" s="30" t="inlineStr">
        <is>
          <t>lib/features/records/presentation/screen/document_upload_screen.dart:38</t>
        </is>
      </c>
      <c r="J248" s="29" t="n"/>
      <c r="K248" s="31" t="inlineStr">
        <is>
          <t>Not Run</t>
        </is>
      </c>
      <c r="L248" s="32" t="n"/>
      <c r="M248" s="33" t="n"/>
      <c r="N248" s="32" t="n"/>
      <c r="O248" s="32" t="n"/>
      <c r="P248" s="32" t="n"/>
      <c r="Q248" s="32" t="n"/>
    </row>
    <row r="249" ht="30" customHeight="1">
      <c r="A249" s="27" t="inlineStr">
        <is>
          <t>BL-REC-010</t>
        </is>
      </c>
      <c r="B249" s="28" t="inlineStr">
        <is>
          <t>Records &amp; uploads</t>
        </is>
      </c>
      <c r="C249" s="28" t="inlineStr">
        <is>
          <t>List &amp; filters</t>
        </is>
      </c>
      <c r="D249" s="28" t="inlineStr">
        <is>
          <t>Sort: Newest (default) / Oldest by document date</t>
        </is>
      </c>
      <c r="E249" s="28" t="inlineStr">
        <is>
          <t>Toggle the sort</t>
        </is>
      </c>
      <c r="F249" s="28" t="inlineStr">
        <is>
          <t>List reloads in the other order from page 1.</t>
        </is>
      </c>
      <c r="G249" s="29" t="inlineStr">
        <is>
          <t>P2</t>
        </is>
      </c>
      <c r="H249" s="29" t="inlineStr">
        <is>
          <t>Rule</t>
        </is>
      </c>
      <c r="I249" s="30" t="inlineStr">
        <is>
          <t>lib/features/records/application/providers/records_provider.dart:80</t>
        </is>
      </c>
      <c r="J249" s="29" t="n"/>
      <c r="K249" s="31" t="inlineStr">
        <is>
          <t>Not Run</t>
        </is>
      </c>
      <c r="L249" s="32" t="n"/>
      <c r="M249" s="33" t="n"/>
      <c r="N249" s="32" t="n"/>
      <c r="O249" s="32" t="n"/>
      <c r="P249" s="32" t="n"/>
      <c r="Q249" s="32" t="n"/>
    </row>
    <row r="250" ht="30" customHeight="1">
      <c r="A250" s="27" t="inlineStr">
        <is>
          <t>BL-REC-011</t>
        </is>
      </c>
      <c r="B250" s="28" t="inlineStr">
        <is>
          <t>Records &amp; uploads</t>
        </is>
      </c>
      <c r="C250" s="28" t="inlineStr">
        <is>
          <t>List &amp; filters</t>
        </is>
      </c>
      <c r="D250" s="28" t="inlineStr">
        <is>
          <t>Type filter is single-select</t>
        </is>
      </c>
      <c r="E250" s="28" t="inlineStr">
        <is>
          <t>Tap Scan, then Invoice, then Invoice again</t>
        </is>
      </c>
      <c r="F250" s="28" t="inlineStr">
        <is>
          <t>One type at a time; the third tap clears it.</t>
        </is>
      </c>
      <c r="G250" s="29" t="inlineStr">
        <is>
          <t>P2</t>
        </is>
      </c>
      <c r="H250" s="29" t="inlineStr">
        <is>
          <t>Rule</t>
        </is>
      </c>
      <c r="I250" s="30" t="inlineStr">
        <is>
          <t>lib/features/records/application/providers/records_provider.dart:46</t>
        </is>
      </c>
      <c r="J250" s="29" t="n"/>
      <c r="K250" s="31" t="inlineStr">
        <is>
          <t>Not Run</t>
        </is>
      </c>
      <c r="L250" s="32" t="n"/>
      <c r="M250" s="33" t="n"/>
      <c r="N250" s="32" t="n"/>
      <c r="O250" s="32" t="n"/>
      <c r="P250" s="32" t="n"/>
      <c r="Q250" s="32" t="n"/>
    </row>
    <row r="251" ht="43" customHeight="1">
      <c r="A251" s="27" t="inlineStr">
        <is>
          <t>BL-REC-012</t>
        </is>
      </c>
      <c r="B251" s="28" t="inlineStr">
        <is>
          <t>Records &amp; uploads</t>
        </is>
      </c>
      <c r="C251" s="28" t="inlineStr">
        <is>
          <t>List &amp; filters</t>
        </is>
      </c>
      <c r="D251" s="28" t="inlineStr">
        <is>
          <t>Date range keeps From ≤ To</t>
        </is>
      </c>
      <c r="E251" s="28" t="inlineStr">
        <is>
          <t>Set To = 1 Jan, then From = 1 Feb</t>
        </is>
      </c>
      <c r="F251" s="28" t="inlineStr">
        <is>
          <t>Both become 1 Feb; chips read 'From …', 'Until …' or a range.</t>
        </is>
      </c>
      <c r="G251" s="29" t="inlineStr">
        <is>
          <t>P3</t>
        </is>
      </c>
      <c r="H251" s="29" t="inlineStr">
        <is>
          <t>Boundary</t>
        </is>
      </c>
      <c r="I251" s="30" t="inlineStr">
        <is>
          <t>lib/features/records/presentation/screen/documents_filter_sheet.dart:235</t>
        </is>
      </c>
      <c r="J251" s="29" t="n"/>
      <c r="K251" s="31" t="inlineStr">
        <is>
          <t>Not Run</t>
        </is>
      </c>
      <c r="L251" s="32" t="n"/>
      <c r="M251" s="33" t="n"/>
      <c r="N251" s="32" t="n"/>
      <c r="O251" s="32" t="n"/>
      <c r="P251" s="32" t="n"/>
      <c r="Q251" s="32" t="n"/>
    </row>
    <row r="252" ht="43" customHeight="1">
      <c r="A252" s="27" t="inlineStr">
        <is>
          <t>BL-REC-013</t>
        </is>
      </c>
      <c r="B252" s="28" t="inlineStr">
        <is>
          <t>Records &amp; uploads</t>
        </is>
      </c>
      <c r="C252" s="28" t="inlineStr">
        <is>
          <t>List &amp; filters</t>
        </is>
      </c>
      <c r="D252" s="28" t="inlineStr">
        <is>
          <t>Filter count and chips</t>
        </is>
      </c>
      <c r="E252" s="28" t="inlineStr">
        <is>
          <t>1. Apply type + person + date range
2. Remove one chip</t>
        </is>
      </c>
      <c r="F252" s="28" t="inlineStr">
        <is>
          <t>'Filters · 3'; removing a chip drops only that facet.</t>
        </is>
      </c>
      <c r="G252" s="29" t="inlineStr">
        <is>
          <t>P3</t>
        </is>
      </c>
      <c r="H252" s="29" t="inlineStr">
        <is>
          <t>Calculation</t>
        </is>
      </c>
      <c r="I252" s="30" t="inlineStr">
        <is>
          <t>lib/features/records/application/states/documents_list_state.dart:107</t>
        </is>
      </c>
      <c r="J252" s="29" t="n"/>
      <c r="K252" s="31" t="inlineStr">
        <is>
          <t>Not Run</t>
        </is>
      </c>
      <c r="L252" s="32" t="n"/>
      <c r="M252" s="33" t="n"/>
      <c r="N252" s="32" t="n"/>
      <c r="O252" s="32" t="n"/>
      <c r="P252" s="32" t="n"/>
      <c r="Q252" s="32" t="n"/>
    </row>
    <row r="253" ht="43" customHeight="1">
      <c r="A253" s="27" t="inlineStr">
        <is>
          <t>BL-REC-014</t>
        </is>
      </c>
      <c r="B253" s="28" t="inlineStr">
        <is>
          <t>Records &amp; uploads</t>
        </is>
      </c>
      <c r="C253" s="28" t="inlineStr">
        <is>
          <t>List &amp; filters</t>
        </is>
      </c>
      <c r="D253" s="28" t="inlineStr">
        <is>
          <t>Heading and count</t>
        </is>
      </c>
      <c r="E253" s="28" t="inlineStr">
        <is>
          <t>Filter by Prescription, by Discharge summary, and to exactly one result</t>
        </is>
      </c>
      <c r="F253" s="28" t="inlineStr">
        <is>
          <t>'Prescriptions', '1 record' / 'N records'. Check the Discharge summary heading — the code appends 's' ('Discharge Summarys').</t>
        </is>
      </c>
      <c r="G253" s="29" t="inlineStr">
        <is>
          <t>P3</t>
        </is>
      </c>
      <c r="H253" s="29" t="inlineStr">
        <is>
          <t>Verify gap</t>
        </is>
      </c>
      <c r="I253" s="30" t="inlineStr">
        <is>
          <t>lib/features/records/presentation/screen/records_screen.dart:49</t>
        </is>
      </c>
      <c r="J253" s="29" t="n"/>
      <c r="K253" s="31" t="inlineStr">
        <is>
          <t>Not Run</t>
        </is>
      </c>
      <c r="L253" s="32" t="n"/>
      <c r="M253" s="33" t="n"/>
      <c r="N253" s="32" t="n"/>
      <c r="O253" s="32" t="n"/>
      <c r="P253" s="32" t="n"/>
      <c r="Q253" s="32" t="n"/>
    </row>
    <row r="254" ht="43" customHeight="1">
      <c r="A254" s="27" t="inlineStr">
        <is>
          <t>BL-REC-015</t>
        </is>
      </c>
      <c r="B254" s="28" t="inlineStr">
        <is>
          <t>Records &amp; uploads</t>
        </is>
      </c>
      <c r="C254" s="28" t="inlineStr">
        <is>
          <t>List &amp; filters</t>
        </is>
      </c>
      <c r="D254" s="28" t="inlineStr">
        <is>
          <t>Banner precedence</t>
        </is>
      </c>
      <c r="E254" s="28" t="inlineStr">
        <is>
          <t>1. Go offline with saved records
2. Open with a day-old cache
3. Fail a refresh</t>
        </is>
      </c>
      <c r="F254" s="28" t="inlineStr">
        <is>
          <t>'You are offline — showing your saved records' / 'Data from N hours ago • Tap to refresh' / failure banner (tap to retry) / 'Updating…'.</t>
        </is>
      </c>
      <c r="G254" s="29" t="inlineStr">
        <is>
          <t>P1</t>
        </is>
      </c>
      <c r="H254" s="29" t="inlineStr">
        <is>
          <t>State</t>
        </is>
      </c>
      <c r="I254" s="30" t="inlineStr">
        <is>
          <t>lib/features/records/presentation/screen/records_screen.dart:180</t>
        </is>
      </c>
      <c r="J254" s="29" t="n"/>
      <c r="K254" s="31" t="inlineStr">
        <is>
          <t>Not Run</t>
        </is>
      </c>
      <c r="L254" s="32" t="n"/>
      <c r="M254" s="33" t="n"/>
      <c r="N254" s="32" t="n"/>
      <c r="O254" s="32" t="n"/>
      <c r="P254" s="32" t="n"/>
      <c r="Q254" s="32" t="n"/>
    </row>
    <row r="255" ht="43" customHeight="1">
      <c r="A255" s="27" t="inlineStr">
        <is>
          <t>BL-REC-016</t>
        </is>
      </c>
      <c r="B255" s="28" t="inlineStr">
        <is>
          <t>Records &amp; uploads</t>
        </is>
      </c>
      <c r="C255" s="28" t="inlineStr">
        <is>
          <t>List &amp; filters</t>
        </is>
      </c>
      <c r="D255" s="28" t="inlineStr">
        <is>
          <t>Search records by title</t>
        </is>
      </c>
      <c r="E255" s="28" t="inlineStr">
        <is>
          <t>Look for a title search on Records</t>
        </is>
      </c>
      <c r="F255" s="28" t="inlineStr">
        <is>
          <t>Confirm with the owner: the API and query model support it, but no screen exposes it.</t>
        </is>
      </c>
      <c r="G255" s="29" t="inlineStr">
        <is>
          <t>P3</t>
        </is>
      </c>
      <c r="H255" s="29" t="inlineStr">
        <is>
          <t>Verify gap</t>
        </is>
      </c>
      <c r="I255" s="30" t="inlineStr">
        <is>
          <t>lib/features/records/application/states/documents_list_state.dart:113</t>
        </is>
      </c>
      <c r="J255" s="29" t="n"/>
      <c r="K255" s="31" t="inlineStr">
        <is>
          <t>Not Run</t>
        </is>
      </c>
      <c r="L255" s="32" t="n"/>
      <c r="M255" s="33" t="n"/>
      <c r="N255" s="32" t="n"/>
      <c r="O255" s="32" t="n"/>
      <c r="P255" s="32" t="n"/>
      <c r="Q255" s="32" t="n"/>
    </row>
    <row r="256" ht="56" customHeight="1">
      <c r="A256" s="27" t="inlineStr">
        <is>
          <t>BL-REC-017</t>
        </is>
      </c>
      <c r="B256" s="28" t="inlineStr">
        <is>
          <t>Records &amp; uploads</t>
        </is>
      </c>
      <c r="C256" s="28" t="inlineStr">
        <is>
          <t>Edit / delete</t>
        </is>
      </c>
      <c r="D256" s="28" t="inlineStr">
        <is>
          <t>Save is enabled only after a change; only changed fields are sent</t>
        </is>
      </c>
      <c r="E256" s="28" t="inlineStr">
        <is>
          <t>1. Open Edit details and touch nothing
2. Change the title
3. Clear the notes
4. Unlink the appointment</t>
        </is>
      </c>
      <c r="F256" s="28" t="inlineStr">
        <is>
          <t>Save disabled until a change; clearing notes / unlinking is saved; the file cannot be replaced ('delete the document to replace it').</t>
        </is>
      </c>
      <c r="G256" s="29" t="inlineStr">
        <is>
          <t>P1</t>
        </is>
      </c>
      <c r="H256" s="29" t="inlineStr">
        <is>
          <t>Rule</t>
        </is>
      </c>
      <c r="I256" s="30" t="inlineStr">
        <is>
          <t>lib/features/records/application/providers/records_provider.dart:353</t>
        </is>
      </c>
      <c r="J256" s="29" t="n"/>
      <c r="K256" s="31" t="inlineStr">
        <is>
          <t>Not Run</t>
        </is>
      </c>
      <c r="L256" s="32" t="n"/>
      <c r="M256" s="33" t="n"/>
      <c r="N256" s="32" t="n"/>
      <c r="O256" s="32" t="n"/>
      <c r="P256" s="32" t="n"/>
      <c r="Q256" s="32" t="n"/>
    </row>
    <row r="257" ht="56" customHeight="1">
      <c r="A257" s="27" t="inlineStr">
        <is>
          <t>BL-REC-018</t>
        </is>
      </c>
      <c r="B257" s="28" t="inlineStr">
        <is>
          <t>Records &amp; uploads</t>
        </is>
      </c>
      <c r="C257" s="28" t="inlineStr">
        <is>
          <t>Edit / delete</t>
        </is>
      </c>
      <c r="D257" s="28" t="inlineStr">
        <is>
          <t>Edit conflict</t>
        </is>
      </c>
      <c r="E257" s="28" t="inlineStr">
        <is>
          <t>1. Edit the same document on a second device
2. Save on the first
3. Close and reopen the document, save again</t>
        </is>
      </c>
      <c r="F257" s="28" t="inlineStr">
        <is>
          <t>'This document changed elsewhere. Reload and try again.' The reopen should load the new version — the code appears to serve the stale cached copy, so the conflict repeats.</t>
        </is>
      </c>
      <c r="G257" s="29" t="inlineStr">
        <is>
          <t>P1</t>
        </is>
      </c>
      <c r="H257" s="29" t="inlineStr">
        <is>
          <t>Verify gap</t>
        </is>
      </c>
      <c r="I257" s="30" t="inlineStr">
        <is>
          <t>lib/features/records/infrastructure/repositories/documents_repository_impl.dart:149</t>
        </is>
      </c>
      <c r="J257" s="29" t="n"/>
      <c r="K257" s="31" t="inlineStr">
        <is>
          <t>Not Run</t>
        </is>
      </c>
      <c r="L257" s="32" t="n"/>
      <c r="M257" s="33" t="n"/>
      <c r="N257" s="32" t="n"/>
      <c r="O257" s="32" t="n"/>
      <c r="P257" s="32" t="n"/>
      <c r="Q257" s="32" t="n"/>
    </row>
    <row r="258" ht="43" customHeight="1">
      <c r="A258" s="27" t="inlineStr">
        <is>
          <t>BL-REC-019</t>
        </is>
      </c>
      <c r="B258" s="28" t="inlineStr">
        <is>
          <t>Records &amp; uploads</t>
        </is>
      </c>
      <c r="C258" s="28" t="inlineStr">
        <is>
          <t>Edit / delete</t>
        </is>
      </c>
      <c r="D258" s="28" t="inlineStr">
        <is>
          <t>Delete</t>
        </is>
      </c>
      <c r="E258" s="28" t="inlineStr">
        <is>
          <t>1. Delete a document
2. Delete one already removed on another device
3. Delete offline</t>
        </is>
      </c>
      <c r="F258" s="28" t="inlineStr">
        <is>
          <t>Confirmation 'Delete “&lt;title&gt;”?'; '“&lt;title&gt;” deleted' / 'That document was already removed' / failure message and stay on screen.</t>
        </is>
      </c>
      <c r="G258" s="29" t="inlineStr">
        <is>
          <t>P1</t>
        </is>
      </c>
      <c r="H258" s="29" t="inlineStr">
        <is>
          <t>State</t>
        </is>
      </c>
      <c r="I258" s="30" t="inlineStr">
        <is>
          <t>lib/features/records/presentation/screen/document_detail_screen.dart:260</t>
        </is>
      </c>
      <c r="J258" s="29" t="n"/>
      <c r="K258" s="31" t="inlineStr">
        <is>
          <t>Not Run</t>
        </is>
      </c>
      <c r="L258" s="32" t="n"/>
      <c r="M258" s="33" t="n"/>
      <c r="N258" s="32" t="n"/>
      <c r="O258" s="32" t="n"/>
      <c r="P258" s="32" t="n"/>
      <c r="Q258" s="32" t="n"/>
    </row>
    <row r="259" ht="43" customHeight="1">
      <c r="A259" s="27" t="inlineStr">
        <is>
          <t>BL-REC-020</t>
        </is>
      </c>
      <c r="B259" s="28" t="inlineStr">
        <is>
          <t>Records &amp; uploads</t>
        </is>
      </c>
      <c r="C259" s="28" t="inlineStr">
        <is>
          <t>Edit / delete</t>
        </is>
      </c>
      <c r="D259" s="28" t="inlineStr">
        <is>
          <t>List after deleting an already-removed document</t>
        </is>
      </c>
      <c r="E259" s="28" t="inlineStr">
        <is>
          <t>1. Trigger the 'already removed' case
2. Return to Records</t>
        </is>
      </c>
      <c r="F259" s="28" t="inlineStr">
        <is>
          <t>Row should be gone. The code may keep it until pull-to-refresh.</t>
        </is>
      </c>
      <c r="G259" s="29" t="inlineStr">
        <is>
          <t>P3</t>
        </is>
      </c>
      <c r="H259" s="29" t="inlineStr">
        <is>
          <t>Verify gap</t>
        </is>
      </c>
      <c r="I259" s="30" t="inlineStr">
        <is>
          <t>lib/features/records/presentation/screen/document_detail_screen.dart:284</t>
        </is>
      </c>
      <c r="J259" s="29" t="n"/>
      <c r="K259" s="31" t="inlineStr">
        <is>
          <t>Not Run</t>
        </is>
      </c>
      <c r="L259" s="32" t="n"/>
      <c r="M259" s="33" t="n"/>
      <c r="N259" s="32" t="n"/>
      <c r="O259" s="32" t="n"/>
      <c r="P259" s="32" t="n"/>
      <c r="Q259" s="32" t="n"/>
    </row>
    <row r="260" ht="43" customHeight="1">
      <c r="A260" s="27" t="inlineStr">
        <is>
          <t>BL-REC-021</t>
        </is>
      </c>
      <c r="B260" s="28" t="inlineStr">
        <is>
          <t>Records &amp; uploads</t>
        </is>
      </c>
      <c r="C260" s="28" t="inlineStr">
        <is>
          <t>Edit / delete</t>
        </is>
      </c>
      <c r="D260" s="28" t="inlineStr">
        <is>
          <t>Missing document</t>
        </is>
      </c>
      <c r="E260" s="28" t="inlineStr">
        <is>
          <t>Open the link of a deleted document</t>
        </is>
      </c>
      <c r="F260" s="28" t="inlineStr">
        <is>
          <t>'Document not found — It may have been deleted from your records.'</t>
        </is>
      </c>
      <c r="G260" s="29" t="inlineStr">
        <is>
          <t>P2</t>
        </is>
      </c>
      <c r="H260" s="29" t="inlineStr">
        <is>
          <t>Error handling</t>
        </is>
      </c>
      <c r="I260" s="30" t="inlineStr">
        <is>
          <t>lib/features/records/presentation/screen/document_detail_screen.dart:69</t>
        </is>
      </c>
      <c r="J260" s="29" t="n"/>
      <c r="K260" s="31" t="inlineStr">
        <is>
          <t>Not Run</t>
        </is>
      </c>
      <c r="L260" s="32" t="n"/>
      <c r="M260" s="33" t="n"/>
      <c r="N260" s="32" t="n"/>
      <c r="O260" s="32" t="n"/>
      <c r="P260" s="32" t="n"/>
      <c r="Q260" s="32" t="n"/>
    </row>
    <row r="261" ht="43" customHeight="1">
      <c r="A261" s="27" t="inlineStr">
        <is>
          <t>BL-REC-022</t>
        </is>
      </c>
      <c r="B261" s="28" t="inlineStr">
        <is>
          <t>Records &amp; uploads</t>
        </is>
      </c>
      <c r="C261" s="28" t="inlineStr">
        <is>
          <t>Linking to appointments</t>
        </is>
      </c>
      <c r="D261" s="28" t="inlineStr">
        <is>
          <t>Link choices and display</t>
        </is>
      </c>
      <c r="E261" s="28" t="inlineStr">
        <is>
          <t>1. Open 'Linked appointment (optional)'
2. Link one
3. Open the document</t>
        </is>
      </c>
      <c r="F261" s="28" t="inlineStr">
        <is>
          <t>'Not linked' plus your appointments (newest first); detail shows '&lt;Doctor&gt; · &lt;date&gt;' and opens that appointment; 'Not linked to a visit' otherwise.</t>
        </is>
      </c>
      <c r="G261" s="29" t="inlineStr">
        <is>
          <t>P2</t>
        </is>
      </c>
      <c r="H261" s="29" t="inlineStr">
        <is>
          <t>Rule</t>
        </is>
      </c>
      <c r="I261" s="30" t="inlineStr">
        <is>
          <t>lib/features/appointments/application/providers/appointments_provider.dart:614</t>
        </is>
      </c>
      <c r="J261" s="29" t="n"/>
      <c r="K261" s="31" t="inlineStr">
        <is>
          <t>Not Run</t>
        </is>
      </c>
      <c r="L261" s="32" t="n"/>
      <c r="M261" s="33" t="n"/>
      <c r="N261" s="32" t="n"/>
      <c r="O261" s="32" t="n"/>
      <c r="P261" s="32" t="n"/>
      <c r="Q261" s="32" t="n"/>
    </row>
    <row r="262" ht="43" customHeight="1">
      <c r="A262" s="27" t="inlineStr">
        <is>
          <t>BL-REC-023</t>
        </is>
      </c>
      <c r="B262" s="28" t="inlineStr">
        <is>
          <t>Records &amp; uploads</t>
        </is>
      </c>
      <c r="C262" s="28" t="inlineStr">
        <is>
          <t>Upload policy</t>
        </is>
      </c>
      <c r="D262" s="28" t="inlineStr">
        <is>
          <t>Allowed types per purpose</t>
        </is>
      </c>
      <c r="E262" s="28" t="inlineStr">
        <is>
          <t>Pick a .docx for a record; a .webp from the gallery; report.PDF (capital extension)</t>
        </is>
      </c>
      <c r="F262" s="28" t="inlineStr">
        <is>
          <t>'That file type is not accepted. Use a PDF, a JPEG or PNG or a HEIC photo.' for the first two; .PDF accepted. Records and insurance: PDF/JPEG/PNG/HEIC.</t>
        </is>
      </c>
      <c r="G262" s="29" t="inlineStr">
        <is>
          <t>P0</t>
        </is>
      </c>
      <c r="H262" s="29" t="inlineStr">
        <is>
          <t>Rule</t>
        </is>
      </c>
      <c r="I262" s="30" t="inlineStr">
        <is>
          <t>lib/features/common/attachments/domain/policies/upload_policy.dart:24</t>
        </is>
      </c>
      <c r="J262" s="29" t="n"/>
      <c r="K262" s="31" t="inlineStr">
        <is>
          <t>Not Run</t>
        </is>
      </c>
      <c r="L262" s="32" t="n"/>
      <c r="M262" s="33" t="n"/>
      <c r="N262" s="32" t="n"/>
      <c r="O262" s="32" t="n"/>
      <c r="P262" s="32" t="n"/>
      <c r="Q262" s="32" t="n"/>
    </row>
    <row r="263" ht="43" customHeight="1">
      <c r="A263" s="27" t="inlineStr">
        <is>
          <t>BL-REC-024</t>
        </is>
      </c>
      <c r="B263" s="28" t="inlineStr">
        <is>
          <t>Records &amp; uploads</t>
        </is>
      </c>
      <c r="C263" s="28" t="inlineStr">
        <is>
          <t>Upload policy</t>
        </is>
      </c>
      <c r="D263" s="28" t="inlineStr">
        <is>
          <t>Size limit is exactly 10 MB</t>
        </is>
      </c>
      <c r="E263" s="28" t="inlineStr">
        <is>
          <t>Pick files of 10,485,760 bytes, 10,485,761 bytes and 0 bytes</t>
        </is>
      </c>
      <c r="F263" s="28" t="inlineStr">
        <is>
          <t>First accepted; 'That file is too large. The limit is 10 MB.'; 'That file is empty. Choose another one.'</t>
        </is>
      </c>
      <c r="G263" s="29" t="inlineStr">
        <is>
          <t>P0</t>
        </is>
      </c>
      <c r="H263" s="29" t="inlineStr">
        <is>
          <t>Boundary</t>
        </is>
      </c>
      <c r="I263" s="30" t="inlineStr">
        <is>
          <t>lib/features/common/attachments/domain/policies/upload_policy.dart:82</t>
        </is>
      </c>
      <c r="J263" s="29" t="n"/>
      <c r="K263" s="31" t="inlineStr">
        <is>
          <t>Not Run</t>
        </is>
      </c>
      <c r="L263" s="32" t="n"/>
      <c r="M263" s="33" t="n"/>
      <c r="N263" s="32" t="n"/>
      <c r="O263" s="32" t="n"/>
      <c r="P263" s="32" t="n"/>
      <c r="Q263" s="32" t="n"/>
    </row>
    <row r="264" ht="30" customHeight="1">
      <c r="A264" s="27" t="inlineStr">
        <is>
          <t>BL-REC-025</t>
        </is>
      </c>
      <c r="B264" s="28" t="inlineStr">
        <is>
          <t>Records &amp; uploads</t>
        </is>
      </c>
      <c r="C264" s="28" t="inlineStr">
        <is>
          <t>Upload policy</t>
        </is>
      </c>
      <c r="D264" s="28" t="inlineStr">
        <is>
          <t>Server-side refusals</t>
        </is>
      </c>
      <c r="E264" s="28" t="inlineStr">
        <is>
          <t>Have the server refuse a size or type the app allowed</t>
        </is>
      </c>
      <c r="F264" s="28" t="inlineStr">
        <is>
          <t>'That file is too large.' / 'That file type is not allowed.' on the tile.</t>
        </is>
      </c>
      <c r="G264" s="29" t="inlineStr">
        <is>
          <t>P2</t>
        </is>
      </c>
      <c r="H264" s="29" t="inlineStr">
        <is>
          <t>Error handling</t>
        </is>
      </c>
      <c r="I264" s="30" t="inlineStr">
        <is>
          <t>lib/core/network/network_exceptions.dart:535</t>
        </is>
      </c>
      <c r="J264" s="29" t="n"/>
      <c r="K264" s="31" t="inlineStr">
        <is>
          <t>Not Run</t>
        </is>
      </c>
      <c r="L264" s="32" t="n"/>
      <c r="M264" s="33" t="n"/>
      <c r="N264" s="32" t="n"/>
      <c r="O264" s="32" t="n"/>
      <c r="P264" s="32" t="n"/>
      <c r="Q264" s="32" t="n"/>
    </row>
    <row r="265" ht="43" customHeight="1">
      <c r="A265" s="27" t="inlineStr">
        <is>
          <t>BL-REC-026</t>
        </is>
      </c>
      <c r="B265" s="28" t="inlineStr">
        <is>
          <t>Records &amp; uploads</t>
        </is>
      </c>
      <c r="C265" s="28" t="inlineStr">
        <is>
          <t>Upload pipeline &amp; scan</t>
        </is>
      </c>
      <c r="D265" s="28" t="inlineStr">
        <is>
          <t>Upload stages</t>
        </is>
      </c>
      <c r="E265" s="28" t="inlineStr">
        <is>
          <t>Upload a file and watch the tile</t>
        </is>
      </c>
      <c r="F265" s="28" t="inlineStr">
        <is>
          <t>'Preparing…' → 'Uploading N%' → 'Checking the file for viruses…' → '&lt;size&gt; · Scanned, ready'.</t>
        </is>
      </c>
      <c r="G265" s="29" t="inlineStr">
        <is>
          <t>P0</t>
        </is>
      </c>
      <c r="H265" s="29" t="inlineStr">
        <is>
          <t>State</t>
        </is>
      </c>
      <c r="I265" s="30" t="inlineStr">
        <is>
          <t>lib/features/common/attachments/infrastructure/repositories/file_upload_service_impl.dart:117</t>
        </is>
      </c>
      <c r="J265" s="29" t="inlineStr">
        <is>
          <t>KB-01</t>
        </is>
      </c>
      <c r="K265" s="31" t="inlineStr">
        <is>
          <t>Not Run</t>
        </is>
      </c>
      <c r="L265" s="32" t="n"/>
      <c r="M265" s="33" t="n"/>
      <c r="N265" s="32" t="n"/>
      <c r="O265" s="32" t="n"/>
      <c r="P265" s="32" t="n"/>
      <c r="Q265" s="32" t="n"/>
    </row>
    <row r="266" ht="56" customHeight="1">
      <c r="A266" s="27" t="inlineStr">
        <is>
          <t>BL-REC-027</t>
        </is>
      </c>
      <c r="B266" s="28" t="inlineStr">
        <is>
          <t>Records &amp; uploads</t>
        </is>
      </c>
      <c r="C266" s="28" t="inlineStr">
        <is>
          <t>Upload pipeline &amp; scan</t>
        </is>
      </c>
      <c r="D266" s="28" t="inlineStr">
        <is>
          <t>Only a clean file can be used</t>
        </is>
      </c>
      <c r="E266" s="28" t="inlineStr">
        <is>
          <t>1. Upload the EICAR test file
2. Force a failed scan</t>
        </is>
      </c>
      <c r="F266" s="28" t="inlineStr">
        <is>
          <t>'This file was rejected by the virus check and cannot be stored.' / 'The virus check could not be completed, so this file was rejected. Try a different file.'; only 'Choose another file'.</t>
        </is>
      </c>
      <c r="G266" s="29" t="inlineStr">
        <is>
          <t>P0</t>
        </is>
      </c>
      <c r="H266" s="29" t="inlineStr">
        <is>
          <t>Rule</t>
        </is>
      </c>
      <c r="I266" s="30" t="inlineStr">
        <is>
          <t>lib/features/common/attachments/infrastructure/repositories/file_upload_service_impl.dart:193</t>
        </is>
      </c>
      <c r="J266" s="29" t="inlineStr">
        <is>
          <t>KB-01</t>
        </is>
      </c>
      <c r="K266" s="31" t="inlineStr">
        <is>
          <t>Not Run</t>
        </is>
      </c>
      <c r="L266" s="32" t="n"/>
      <c r="M266" s="33" t="n"/>
      <c r="N266" s="32" t="n"/>
      <c r="O266" s="32" t="n"/>
      <c r="P266" s="32" t="n"/>
      <c r="Q266" s="32" t="n"/>
    </row>
    <row r="267" ht="43" customHeight="1">
      <c r="A267" s="27" t="inlineStr">
        <is>
          <t>BL-REC-028</t>
        </is>
      </c>
      <c r="B267" s="28" t="inlineStr">
        <is>
          <t>Records &amp; uploads</t>
        </is>
      </c>
      <c r="C267" s="28" t="inlineStr">
        <is>
          <t>Upload pipeline &amp; scan</t>
        </is>
      </c>
      <c r="D267" s="28" t="inlineStr">
        <is>
          <t>Scan taking longer than 30 seconds</t>
        </is>
      </c>
      <c r="E267" s="28" t="inlineStr">
        <is>
          <t>1. Keep a file in 'scanning' for over 30 s
2. Tap 'Keep waiting'
3. Tap 'Discard'</t>
        </is>
      </c>
      <c r="F267" s="28" t="inlineStr">
        <is>
          <t>'Uploaded, but the virus check is taking longer than usual. It cannot be attached until it passes.'; Keep waiting polls again; Discard resets to 'No file chosen'.</t>
        </is>
      </c>
      <c r="G267" s="29" t="inlineStr">
        <is>
          <t>P1</t>
        </is>
      </c>
      <c r="H267" s="29" t="inlineStr">
        <is>
          <t>Boundary</t>
        </is>
      </c>
      <c r="I267" s="30" t="inlineStr">
        <is>
          <t>lib/features/common/attachments/infrastructure/repositories/file_upload_service_impl.dart:174</t>
        </is>
      </c>
      <c r="J267" s="29" t="inlineStr">
        <is>
          <t>KB-01</t>
        </is>
      </c>
      <c r="K267" s="31" t="inlineStr">
        <is>
          <t>Not Run</t>
        </is>
      </c>
      <c r="L267" s="32" t="n"/>
      <c r="M267" s="33" t="n"/>
      <c r="N267" s="32" t="n"/>
      <c r="O267" s="32" t="n"/>
      <c r="P267" s="32" t="n"/>
      <c r="Q267" s="32" t="n"/>
    </row>
    <row r="268" ht="43" customHeight="1">
      <c r="A268" s="27" t="inlineStr">
        <is>
          <t>BL-REC-029</t>
        </is>
      </c>
      <c r="B268" s="28" t="inlineStr">
        <is>
          <t>Records &amp; uploads</t>
        </is>
      </c>
      <c r="C268" s="28" t="inlineStr">
        <is>
          <t>Upload pipeline &amp; scan</t>
        </is>
      </c>
      <c r="D268" s="28" t="inlineStr">
        <is>
          <t>Failure keeps the chosen file</t>
        </is>
      </c>
      <c r="E268" s="28" t="inlineStr">
        <is>
          <t>1. Drop the network mid-upload
2. Tap 'Try again'</t>
        </is>
      </c>
      <c r="F268" s="28" t="inlineStr">
        <is>
          <t>Upload restarts without reopening the picker.</t>
        </is>
      </c>
      <c r="G268" s="29" t="inlineStr">
        <is>
          <t>P1</t>
        </is>
      </c>
      <c r="H268" s="29" t="inlineStr">
        <is>
          <t>State</t>
        </is>
      </c>
      <c r="I268" s="30" t="inlineStr">
        <is>
          <t>lib/features/common/attachments/application/providers/attachments_provider.dart:105</t>
        </is>
      </c>
      <c r="J268" s="29" t="inlineStr">
        <is>
          <t>KB-01</t>
        </is>
      </c>
      <c r="K268" s="31" t="inlineStr">
        <is>
          <t>Not Run</t>
        </is>
      </c>
      <c r="L268" s="32" t="n"/>
      <c r="M268" s="33" t="n"/>
      <c r="N268" s="32" t="n"/>
      <c r="O268" s="32" t="n"/>
      <c r="P268" s="32" t="n"/>
      <c r="Q268" s="32" t="n"/>
    </row>
    <row r="269" ht="43" customHeight="1">
      <c r="A269" s="27" t="inlineStr">
        <is>
          <t>BL-REC-030</t>
        </is>
      </c>
      <c r="B269" s="28" t="inlineStr">
        <is>
          <t>Records &amp; uploads</t>
        </is>
      </c>
      <c r="C269" s="28" t="inlineStr">
        <is>
          <t>Upload pipeline &amp; scan</t>
        </is>
      </c>
      <c r="D269" s="28" t="inlineStr">
        <is>
          <t>Cancelling the picker changes nothing</t>
        </is>
      </c>
      <c r="E269" s="28" t="inlineStr">
        <is>
          <t>1. With a ready file tap Replace
2. Cancel the picker</t>
        </is>
      </c>
      <c r="F269" s="28" t="inlineStr">
        <is>
          <t>Tile returns to 'Scanned, ready'.</t>
        </is>
      </c>
      <c r="G269" s="29" t="inlineStr">
        <is>
          <t>P3</t>
        </is>
      </c>
      <c r="H269" s="29" t="inlineStr">
        <is>
          <t>State</t>
        </is>
      </c>
      <c r="I269" s="30" t="inlineStr">
        <is>
          <t>lib/features/common/attachments/application/providers/attachments_provider.dart:208</t>
        </is>
      </c>
      <c r="J269" s="29" t="n"/>
      <c r="K269" s="31" t="inlineStr">
        <is>
          <t>Not Run</t>
        </is>
      </c>
      <c r="L269" s="32" t="n"/>
      <c r="M269" s="33" t="n"/>
      <c r="N269" s="32" t="n"/>
      <c r="O269" s="32" t="n"/>
      <c r="P269" s="32" t="n"/>
      <c r="Q269" s="32" t="n"/>
    </row>
    <row r="270" ht="43" customHeight="1">
      <c r="A270" s="27" t="inlineStr">
        <is>
          <t>BL-REC-031</t>
        </is>
      </c>
      <c r="B270" s="28" t="inlineStr">
        <is>
          <t>Records &amp; uploads</t>
        </is>
      </c>
      <c r="C270" s="28" t="inlineStr">
        <is>
          <t>Upload pipeline &amp; scan</t>
        </is>
      </c>
      <c r="D270" s="28" t="inlineStr">
        <is>
          <t>Replaced and retried files are cleaned up</t>
        </is>
      </c>
      <c r="E270" s="28" t="inlineStr">
        <is>
          <t>1. Upload a file
2. Tap Replace and upload another
3. Check the files on the backend</t>
        </is>
      </c>
      <c r="F270" s="28" t="inlineStr">
        <is>
          <t>The first file should be removed. The code deletes only on Remove/Discard, so replaced and retried files are left behind on the server.</t>
        </is>
      </c>
      <c r="G270" s="29" t="inlineStr">
        <is>
          <t>P2</t>
        </is>
      </c>
      <c r="H270" s="29" t="inlineStr">
        <is>
          <t>Verify gap</t>
        </is>
      </c>
      <c r="I270" s="30" t="inlineStr">
        <is>
          <t>lib/features/common/attachments/application/providers/attachments_provider.dart:156</t>
        </is>
      </c>
      <c r="J270" s="29" t="inlineStr">
        <is>
          <t>KB-01</t>
        </is>
      </c>
      <c r="K270" s="31" t="inlineStr">
        <is>
          <t>Not Run</t>
        </is>
      </c>
      <c r="L270" s="32" t="n"/>
      <c r="M270" s="33" t="n"/>
      <c r="N270" s="32" t="n"/>
      <c r="O270" s="32" t="n"/>
      <c r="P270" s="32" t="n"/>
      <c r="Q270" s="32" t="n"/>
    </row>
    <row r="271" ht="43" customHeight="1">
      <c r="A271" s="27" t="inlineStr">
        <is>
          <t>BL-REC-032</t>
        </is>
      </c>
      <c r="B271" s="28" t="inlineStr">
        <is>
          <t>Records &amp; uploads</t>
        </is>
      </c>
      <c r="C271" s="28" t="inlineStr">
        <is>
          <t>File access</t>
        </is>
      </c>
      <c r="D271" s="28" t="inlineStr">
        <is>
          <t>View and Download need a clean file</t>
        </is>
      </c>
      <c r="E271" s="28" t="inlineStr">
        <is>
          <t>Open a document whose file is still scanning</t>
        </is>
      </c>
      <c r="F271" s="28" t="inlineStr">
        <is>
          <t>Both buttons disabled with a 'File scanning' tag.</t>
        </is>
      </c>
      <c r="G271" s="29" t="inlineStr">
        <is>
          <t>P1</t>
        </is>
      </c>
      <c r="H271" s="29" t="inlineStr">
        <is>
          <t>Rule</t>
        </is>
      </c>
      <c r="I271" s="30" t="inlineStr">
        <is>
          <t>lib/features/records/presentation/screen/document_detail_screen.dart:360</t>
        </is>
      </c>
      <c r="J271" s="29" t="n"/>
      <c r="K271" s="31" t="inlineStr">
        <is>
          <t>Not Run</t>
        </is>
      </c>
      <c r="L271" s="32" t="n"/>
      <c r="M271" s="33" t="n"/>
      <c r="N271" s="32" t="n"/>
      <c r="O271" s="32" t="n"/>
      <c r="P271" s="32" t="n"/>
      <c r="Q271" s="32" t="n"/>
    </row>
    <row r="272" ht="43" customHeight="1">
      <c r="A272" s="27" t="inlineStr">
        <is>
          <t>BL-REC-033</t>
        </is>
      </c>
      <c r="B272" s="28" t="inlineStr">
        <is>
          <t>Records &amp; uploads</t>
        </is>
      </c>
      <c r="C272" s="28" t="inlineStr">
        <is>
          <t>File access</t>
        </is>
      </c>
      <c r="D272" s="28" t="inlineStr">
        <is>
          <t>Each open uses a fresh link</t>
        </is>
      </c>
      <c r="E272" s="28" t="inlineStr">
        <is>
          <t>1. Tap View twice
2. Tap with no viewer app installed
3. Tap offline</t>
        </is>
      </c>
      <c r="F272" s="28" t="inlineStr">
        <is>
          <t>A new link each time; 'No app on this device could open the file'; inline error offline.</t>
        </is>
      </c>
      <c r="G272" s="29" t="inlineStr">
        <is>
          <t>P1</t>
        </is>
      </c>
      <c r="H272" s="29" t="inlineStr">
        <is>
          <t>Rule</t>
        </is>
      </c>
      <c r="I272" s="30" t="inlineStr">
        <is>
          <t>lib/features/records/presentation/screen/document_detail_screen.dart:405</t>
        </is>
      </c>
      <c r="J272" s="29" t="inlineStr">
        <is>
          <t>KB-01</t>
        </is>
      </c>
      <c r="K272" s="31" t="inlineStr">
        <is>
          <t>Not Run</t>
        </is>
      </c>
      <c r="L272" s="32" t="n"/>
      <c r="M272" s="33" t="n"/>
      <c r="N272" s="32" t="n"/>
      <c r="O272" s="32" t="n"/>
      <c r="P272" s="32" t="n"/>
      <c r="Q272" s="32" t="n"/>
    </row>
    <row r="273" ht="43" customHeight="1">
      <c r="A273" s="27" t="inlineStr">
        <is>
          <t>BL-REC-034</t>
        </is>
      </c>
      <c r="B273" s="28" t="inlineStr">
        <is>
          <t>Records &amp; uploads</t>
        </is>
      </c>
      <c r="C273" s="28" t="inlineStr">
        <is>
          <t>File access</t>
        </is>
      </c>
      <c r="D273" s="28" t="inlineStr">
        <is>
          <t>Download vs View</t>
        </is>
      </c>
      <c r="E273" s="28" t="inlineStr">
        <is>
          <t>Tap Download and compare with View</t>
        </is>
      </c>
      <c r="F273" s="28" t="inlineStr">
        <is>
          <t>Confirm intended: both open the file in an external app; nothing is saved by the app itself.</t>
        </is>
      </c>
      <c r="G273" s="29" t="inlineStr">
        <is>
          <t>P3</t>
        </is>
      </c>
      <c r="H273" s="29" t="inlineStr">
        <is>
          <t>Verify gap</t>
        </is>
      </c>
      <c r="I273" s="30" t="inlineStr">
        <is>
          <t>lib/features/records/presentation/screen/document_detail_screen.dart:385</t>
        </is>
      </c>
      <c r="J273" s="29" t="inlineStr">
        <is>
          <t>KB-01</t>
        </is>
      </c>
      <c r="K273" s="31" t="inlineStr">
        <is>
          <t>Not Run</t>
        </is>
      </c>
      <c r="L273" s="32" t="n"/>
      <c r="M273" s="33" t="n"/>
      <c r="N273" s="32" t="n"/>
      <c r="O273" s="32" t="n"/>
      <c r="P273" s="32" t="n"/>
      <c r="Q273" s="32" t="n"/>
    </row>
    <row r="274" ht="43" customHeight="1">
      <c r="A274" s="27" t="inlineStr">
        <is>
          <t>BL-REC-035</t>
        </is>
      </c>
      <c r="B274" s="28" t="inlineStr">
        <is>
          <t>Records &amp; uploads</t>
        </is>
      </c>
      <c r="C274" s="28" t="inlineStr">
        <is>
          <t>File access</t>
        </is>
      </c>
      <c r="D274" s="28" t="inlineStr">
        <is>
          <t>File size display</t>
        </is>
      </c>
      <c r="E274" s="28" t="inlineStr">
        <is>
          <t>View files of 500 bytes, about 420 KB and about 1.2 MB</t>
        </is>
      </c>
      <c r="F274" s="28" t="inlineStr">
        <is>
          <t>'500 B', '410 KB', '1.2 MB'.</t>
        </is>
      </c>
      <c r="G274" s="29" t="inlineStr">
        <is>
          <t>P3</t>
        </is>
      </c>
      <c r="H274" s="29" t="inlineStr">
        <is>
          <t>Calculation</t>
        </is>
      </c>
      <c r="I274" s="30" t="inlineStr">
        <is>
          <t>lib/features/common/attachments/presentation/components/attachment_upload_tile.dart:18</t>
        </is>
      </c>
      <c r="J274" s="29" t="n"/>
      <c r="K274" s="31" t="inlineStr">
        <is>
          <t>Not Run</t>
        </is>
      </c>
      <c r="L274" s="32" t="n"/>
      <c r="M274" s="33" t="n"/>
      <c r="N274" s="32" t="n"/>
      <c r="O274" s="32" t="n"/>
      <c r="P274" s="32" t="n"/>
      <c r="Q274" s="32" t="n"/>
    </row>
    <row r="275" ht="43" customHeight="1">
      <c r="A275" s="27" t="inlineStr">
        <is>
          <t>BL-CACHE-001</t>
        </is>
      </c>
      <c r="B275" s="28" t="inlineStr">
        <is>
          <t>Cache, offline &amp; pagination</t>
        </is>
      </c>
      <c r="C275" s="28" t="inlineStr">
        <is>
          <t>Freshness</t>
        </is>
      </c>
      <c r="D275" s="28" t="inlineStr">
        <is>
          <t>Under 12 hours and already loaded: no network call</t>
        </is>
      </c>
      <c r="E275" s="28" t="inlineStr">
        <is>
          <t>1. Open Records
2. Leave and return in the same session (proxy attached)</t>
        </is>
      </c>
      <c r="F275" s="28" t="inlineStr">
        <is>
          <t>No request, no 'Updating…'.</t>
        </is>
      </c>
      <c r="G275" s="29" t="inlineStr">
        <is>
          <t>P2</t>
        </is>
      </c>
      <c r="H275" s="29" t="inlineStr">
        <is>
          <t>Boundary</t>
        </is>
      </c>
      <c r="I275" s="30" t="inlineStr">
        <is>
          <t>lib/core/storage/cache/cached_fetcher.dart:148</t>
        </is>
      </c>
      <c r="J275" s="29" t="n"/>
      <c r="K275" s="31" t="inlineStr">
        <is>
          <t>Not Run</t>
        </is>
      </c>
      <c r="L275" s="32" t="n"/>
      <c r="M275" s="33" t="n"/>
      <c r="N275" s="32" t="n"/>
      <c r="O275" s="32" t="n"/>
      <c r="P275" s="32" t="n"/>
      <c r="Q275" s="32" t="n"/>
    </row>
    <row r="276" ht="30" customHeight="1">
      <c r="A276" s="27" t="inlineStr">
        <is>
          <t>BL-CACHE-002</t>
        </is>
      </c>
      <c r="B276" s="28" t="inlineStr">
        <is>
          <t>Cache, offline &amp; pagination</t>
        </is>
      </c>
      <c r="C276" s="28" t="inlineStr">
        <is>
          <t>Freshness</t>
        </is>
      </c>
      <c r="D276" s="28" t="inlineStr">
        <is>
          <t>After a restart, saved data shows first and then refreshes</t>
        </is>
      </c>
      <c r="E276" s="28" t="inlineStr">
        <is>
          <t>1. Kill and relaunch
2. Open Records</t>
        </is>
      </c>
      <c r="F276" s="28" t="inlineStr">
        <is>
          <t>Rows at once with 'Updating…', then refreshed (request carries If-None-Match).</t>
        </is>
      </c>
      <c r="G276" s="29" t="inlineStr">
        <is>
          <t>P0</t>
        </is>
      </c>
      <c r="H276" s="29" t="inlineStr">
        <is>
          <t>Rule</t>
        </is>
      </c>
      <c r="I276" s="30" t="inlineStr">
        <is>
          <t>lib/core/storage/cache/cached_fetcher.dart:156</t>
        </is>
      </c>
      <c r="J276" s="29" t="n"/>
      <c r="K276" s="31" t="inlineStr">
        <is>
          <t>Not Run</t>
        </is>
      </c>
      <c r="L276" s="32" t="n"/>
      <c r="M276" s="33" t="n"/>
      <c r="N276" s="32" t="n"/>
      <c r="O276" s="32" t="n"/>
      <c r="P276" s="32" t="n"/>
      <c r="Q276" s="32" t="n"/>
    </row>
    <row r="277" ht="30" customHeight="1">
      <c r="A277" s="27" t="inlineStr">
        <is>
          <t>BL-CACHE-003</t>
        </is>
      </c>
      <c r="B277" s="28" t="inlineStr">
        <is>
          <t>Cache, offline &amp; pagination</t>
        </is>
      </c>
      <c r="C277" s="28" t="inlineStr">
        <is>
          <t>Freshness</t>
        </is>
      </c>
      <c r="D277" s="28" t="inlineStr">
        <is>
          <t>Older than 24 hours is marked stale</t>
        </is>
      </c>
      <c r="E277" s="28" t="inlineStr">
        <is>
          <t>1. Advance the device clock by 25 hours
2. Open a cached screen</t>
        </is>
      </c>
      <c r="F277" s="28" t="inlineStr">
        <is>
          <t>'Data from &lt;N&gt; ago • Tap to refresh'; refresh clears it.</t>
        </is>
      </c>
      <c r="G277" s="29" t="inlineStr">
        <is>
          <t>P1</t>
        </is>
      </c>
      <c r="H277" s="29" t="inlineStr">
        <is>
          <t>Boundary</t>
        </is>
      </c>
      <c r="I277" s="30" t="inlineStr">
        <is>
          <t>lib/core/storage/cache/cached_fetcher.dart:195</t>
        </is>
      </c>
      <c r="J277" s="29" t="n"/>
      <c r="K277" s="31" t="inlineStr">
        <is>
          <t>Not Run</t>
        </is>
      </c>
      <c r="L277" s="32" t="n"/>
      <c r="M277" s="33" t="n"/>
      <c r="N277" s="32" t="n"/>
      <c r="O277" s="32" t="n"/>
      <c r="P277" s="32" t="n"/>
      <c r="Q277" s="32" t="n"/>
    </row>
    <row r="278" ht="30" customHeight="1">
      <c r="A278" s="27" t="inlineStr">
        <is>
          <t>BL-CACHE-004</t>
        </is>
      </c>
      <c r="B278" s="28" t="inlineStr">
        <is>
          <t>Cache, offline &amp; pagination</t>
        </is>
      </c>
      <c r="C278" s="28" t="inlineStr">
        <is>
          <t>Freshness</t>
        </is>
      </c>
      <c r="D278" s="28" t="inlineStr">
        <is>
          <t>Unchanged data (304) clears the stale state</t>
        </is>
      </c>
      <c r="E278" s="28" t="inlineStr">
        <is>
          <t>Refresh data that has not changed</t>
        </is>
      </c>
      <c r="F278" s="28" t="inlineStr">
        <is>
          <t>No visible change except the bar and 'Updating…' disappear.</t>
        </is>
      </c>
      <c r="G278" s="29" t="inlineStr">
        <is>
          <t>P2</t>
        </is>
      </c>
      <c r="H278" s="29" t="inlineStr">
        <is>
          <t>Rule</t>
        </is>
      </c>
      <c r="I278" s="30" t="inlineStr">
        <is>
          <t>lib/core/storage/cache/cached_fetcher.dart:253</t>
        </is>
      </c>
      <c r="J278" s="29" t="n"/>
      <c r="K278" s="31" t="inlineStr">
        <is>
          <t>Not Run</t>
        </is>
      </c>
      <c r="L278" s="32" t="n"/>
      <c r="M278" s="33" t="n"/>
      <c r="N278" s="32" t="n"/>
      <c r="O278" s="32" t="n"/>
      <c r="P278" s="32" t="n"/>
      <c r="Q278" s="32" t="n"/>
    </row>
    <row r="279" ht="30" customHeight="1">
      <c r="A279" s="27" t="inlineStr">
        <is>
          <t>BL-CACHE-005</t>
        </is>
      </c>
      <c r="B279" s="28" t="inlineStr">
        <is>
          <t>Cache, offline &amp; pagination</t>
        </is>
      </c>
      <c r="C279" s="28" t="inlineStr">
        <is>
          <t>Freshness</t>
        </is>
      </c>
      <c r="D279" s="28" t="inlineStr">
        <is>
          <t>Background refresh failure is silent; manual refresh failure is shown</t>
        </is>
      </c>
      <c r="E279" s="28" t="inlineStr">
        <is>
          <t>1. With cached rows, take the server down and reopen
2. Then pull to refresh</t>
        </is>
      </c>
      <c r="F279" s="28" t="inlineStr">
        <is>
          <t>Silent: rows stay, no error. Manual: failure banner above the kept rows.</t>
        </is>
      </c>
      <c r="G279" s="29" t="inlineStr">
        <is>
          <t>P1</t>
        </is>
      </c>
      <c r="H279" s="29" t="inlineStr">
        <is>
          <t>Rule</t>
        </is>
      </c>
      <c r="I279" s="30" t="inlineStr">
        <is>
          <t>lib/core/storage/cache/cached_fetcher.dart:199</t>
        </is>
      </c>
      <c r="J279" s="29" t="n"/>
      <c r="K279" s="31" t="inlineStr">
        <is>
          <t>Not Run</t>
        </is>
      </c>
      <c r="L279" s="32" t="n"/>
      <c r="M279" s="33" t="n"/>
      <c r="N279" s="32" t="n"/>
      <c r="O279" s="32" t="n"/>
      <c r="P279" s="32" t="n"/>
      <c r="Q279" s="32" t="n"/>
    </row>
    <row r="280" ht="30" customHeight="1">
      <c r="A280" s="27" t="inlineStr">
        <is>
          <t>BL-CACHE-006</t>
        </is>
      </c>
      <c r="B280" s="28" t="inlineStr">
        <is>
          <t>Cache, offline &amp; pagination</t>
        </is>
      </c>
      <c r="C280" s="28" t="inlineStr">
        <is>
          <t>Freshness</t>
        </is>
      </c>
      <c r="D280" s="28" t="inlineStr">
        <is>
          <t>Retry policy</t>
        </is>
      </c>
      <c r="E280" s="28" t="inlineStr">
        <is>
          <t>Return 500, then 404, on a stale-cache refresh (proxy)</t>
        </is>
      </c>
      <c r="F280" s="28" t="inlineStr">
        <is>
          <t>Up to 4 attempts with growing waits for the 500; a single attempt for the 404.</t>
        </is>
      </c>
      <c r="G280" s="29" t="inlineStr">
        <is>
          <t>P3</t>
        </is>
      </c>
      <c r="H280" s="29" t="inlineStr">
        <is>
          <t>Boundary</t>
        </is>
      </c>
      <c r="I280" s="30" t="inlineStr">
        <is>
          <t>lib/core/storage/cache/cached_fetcher.dart:195</t>
        </is>
      </c>
      <c r="J280" s="29" t="n"/>
      <c r="K280" s="31" t="inlineStr">
        <is>
          <t>Not Run</t>
        </is>
      </c>
      <c r="L280" s="32" t="n"/>
      <c r="M280" s="33" t="n"/>
      <c r="N280" s="32" t="n"/>
      <c r="O280" s="32" t="n"/>
      <c r="P280" s="32" t="n"/>
      <c r="Q280" s="32" t="n"/>
    </row>
    <row r="281" ht="43" customHeight="1">
      <c r="A281" s="27" t="inlineStr">
        <is>
          <t>BL-CACHE-007</t>
        </is>
      </c>
      <c r="B281" s="28" t="inlineStr">
        <is>
          <t>Cache, offline &amp; pagination</t>
        </is>
      </c>
      <c r="C281" s="28" t="inlineStr">
        <is>
          <t>Freshness</t>
        </is>
      </c>
      <c r="D281" s="28" t="inlineStr">
        <is>
          <t>Offline with and without a saved copy</t>
        </is>
      </c>
      <c r="E281" s="28" t="inlineStr">
        <is>
          <t>1. Cold start offline on a never-loaded list and on a previously loaded one
2. Reconnect</t>
        </is>
      </c>
      <c r="F281" s="28" t="inlineStr">
        <is>
          <t>Error view with the offline message vs saved rows that refresh once the connection returns.</t>
        </is>
      </c>
      <c r="G281" s="29" t="inlineStr">
        <is>
          <t>P0</t>
        </is>
      </c>
      <c r="H281" s="29" t="inlineStr">
        <is>
          <t>Rule</t>
        </is>
      </c>
      <c r="I281" s="30" t="inlineStr">
        <is>
          <t>lib/core/storage/cache/cached_fetcher.dart:166</t>
        </is>
      </c>
      <c r="J281" s="29" t="n"/>
      <c r="K281" s="31" t="inlineStr">
        <is>
          <t>Not Run</t>
        </is>
      </c>
      <c r="L281" s="32" t="n"/>
      <c r="M281" s="33" t="n"/>
      <c r="N281" s="32" t="n"/>
      <c r="O281" s="32" t="n"/>
      <c r="P281" s="32" t="n"/>
      <c r="Q281" s="32" t="n"/>
    </row>
    <row r="282" ht="56" customHeight="1">
      <c r="A282" s="27" t="inlineStr">
        <is>
          <t>BL-CACHE-008</t>
        </is>
      </c>
      <c r="B282" s="28" t="inlineStr">
        <is>
          <t>Cache, offline &amp; pagination</t>
        </is>
      </c>
      <c r="C282" s="28" t="inlineStr">
        <is>
          <t>Freshness</t>
        </is>
      </c>
      <c r="D282" s="28" t="inlineStr">
        <is>
          <t>Detail screens offline after a cold start</t>
        </is>
      </c>
      <c r="E282" s="28" t="inlineStr">
        <is>
          <t>1. Load a document detail and more pages of a list
2. Kill the app
3. Relaunch offline
4. Open the same detail</t>
        </is>
      </c>
      <c r="F282" s="28" t="inlineStr">
        <is>
          <t>The saved copy should show. The code may sit on the loading skeleton for these one-shot reads.</t>
        </is>
      </c>
      <c r="G282" s="29" t="inlineStr">
        <is>
          <t>P1</t>
        </is>
      </c>
      <c r="H282" s="29" t="inlineStr">
        <is>
          <t>Verify gap</t>
        </is>
      </c>
      <c r="I282" s="30" t="inlineStr">
        <is>
          <t>lib/core/storage/cache/cached_fetcher.dart:175</t>
        </is>
      </c>
      <c r="J282" s="29" t="n"/>
      <c r="K282" s="31" t="inlineStr">
        <is>
          <t>Not Run</t>
        </is>
      </c>
      <c r="L282" s="32" t="n"/>
      <c r="M282" s="33" t="n"/>
      <c r="N282" s="32" t="n"/>
      <c r="O282" s="32" t="n"/>
      <c r="P282" s="32" t="n"/>
      <c r="Q282" s="32" t="n"/>
    </row>
    <row r="283" ht="43" customHeight="1">
      <c r="A283" s="27" t="inlineStr">
        <is>
          <t>BL-CACHE-009</t>
        </is>
      </c>
      <c r="B283" s="28" t="inlineStr">
        <is>
          <t>Cache, offline &amp; pagination</t>
        </is>
      </c>
      <c r="C283" s="28" t="inlineStr">
        <is>
          <t>Freshness</t>
        </is>
      </c>
      <c r="D283" s="28" t="inlineStr">
        <is>
          <t>Bad responses are never cached</t>
        </is>
      </c>
      <c r="E283" s="28" t="inlineStr">
        <is>
          <t>1. Return a row missing a required field (proxy)
2. Reopen the screen</t>
        </is>
      </c>
      <c r="F283" s="28" t="inlineStr">
        <is>
          <t>'We could not read the response from our server. Please try again.'; the previous good data is still used next time.</t>
        </is>
      </c>
      <c r="G283" s="29" t="inlineStr">
        <is>
          <t>P1</t>
        </is>
      </c>
      <c r="H283" s="29" t="inlineStr">
        <is>
          <t>Rule</t>
        </is>
      </c>
      <c r="I283" s="30" t="inlineStr">
        <is>
          <t>lib/core/storage/cache/cached_fetcher.dart:186</t>
        </is>
      </c>
      <c r="J283" s="29" t="n"/>
      <c r="K283" s="31" t="inlineStr">
        <is>
          <t>Not Run</t>
        </is>
      </c>
      <c r="L283" s="32" t="n"/>
      <c r="M283" s="33" t="n"/>
      <c r="N283" s="32" t="n"/>
      <c r="O283" s="32" t="n"/>
      <c r="P283" s="32" t="n"/>
      <c r="Q283" s="32" t="n"/>
    </row>
    <row r="284" ht="43" customHeight="1">
      <c r="A284" s="27" t="inlineStr">
        <is>
          <t>BL-CACHE-010</t>
        </is>
      </c>
      <c r="B284" s="28" t="inlineStr">
        <is>
          <t>Cache, offline &amp; pagination</t>
        </is>
      </c>
      <c r="C284" s="28" t="inlineStr">
        <is>
          <t>Freshness</t>
        </is>
      </c>
      <c r="D284" s="28" t="inlineStr">
        <is>
          <t>Saved data still reachable after a token refresh</t>
        </is>
      </c>
      <c r="E284" s="28" t="inlineStr">
        <is>
          <t>1. Load data
2. Wait for the access token to refresh (15+ min)
3. Relaunch offline</t>
        </is>
      </c>
      <c r="F284" s="28" t="inlineStr">
        <is>
          <t>Saved data should still appear. The cache key includes the access token, so entries may be unreachable after a refresh.</t>
        </is>
      </c>
      <c r="G284" s="29" t="inlineStr">
        <is>
          <t>P1</t>
        </is>
      </c>
      <c r="H284" s="29" t="inlineStr">
        <is>
          <t>Verify gap</t>
        </is>
      </c>
      <c r="I284" s="30" t="inlineStr">
        <is>
          <t>lib/core/storage/hive/keys.dart:132</t>
        </is>
      </c>
      <c r="J284" s="29" t="n"/>
      <c r="K284" s="31" t="inlineStr">
        <is>
          <t>Not Run</t>
        </is>
      </c>
      <c r="L284" s="32" t="n"/>
      <c r="M284" s="33" t="n"/>
      <c r="N284" s="32" t="n"/>
      <c r="O284" s="32" t="n"/>
      <c r="P284" s="32" t="n"/>
      <c r="Q284" s="32" t="n"/>
    </row>
    <row r="285" ht="30" customHeight="1">
      <c r="A285" s="27" t="inlineStr">
        <is>
          <t>BL-CACHE-011</t>
        </is>
      </c>
      <c r="B285" s="28" t="inlineStr">
        <is>
          <t>Cache, offline &amp; pagination</t>
        </is>
      </c>
      <c r="C285" s="28" t="inlineStr">
        <is>
          <t>Eviction &amp; corruption</t>
        </is>
      </c>
      <c r="D285" s="28" t="inlineStr">
        <is>
          <t>Storage ceiling</t>
        </is>
      </c>
      <c r="E285" s="28" t="inlineStr">
        <is>
          <t>1. Browse heavily until app storage approaches 180 MB
2. Wait 5 minutes</t>
        </is>
      </c>
      <c r="F285" s="28" t="inlineStr">
        <is>
          <t>Oldest fifth of entries is dropped; app keeps working.</t>
        </is>
      </c>
      <c r="G285" s="29" t="inlineStr">
        <is>
          <t>P3</t>
        </is>
      </c>
      <c r="H285" s="29" t="inlineStr">
        <is>
          <t>Boundary</t>
        </is>
      </c>
      <c r="I285" s="30" t="inlineStr">
        <is>
          <t>lib/core/storage/cache/cached_fetcher.dart:397</t>
        </is>
      </c>
      <c r="J285" s="29" t="n"/>
      <c r="K285" s="31" t="inlineStr">
        <is>
          <t>Not Run</t>
        </is>
      </c>
      <c r="L285" s="32" t="n"/>
      <c r="M285" s="33" t="n"/>
      <c r="N285" s="32" t="n"/>
      <c r="O285" s="32" t="n"/>
      <c r="P285" s="32" t="n"/>
      <c r="Q285" s="32" t="n"/>
    </row>
    <row r="286" ht="30" customHeight="1">
      <c r="A286" s="27" t="inlineStr">
        <is>
          <t>BL-CACHE-012</t>
        </is>
      </c>
      <c r="B286" s="28" t="inlineStr">
        <is>
          <t>Cache, offline &amp; pagination</t>
        </is>
      </c>
      <c r="C286" s="28" t="inlineStr">
        <is>
          <t>Eviction &amp; corruption</t>
        </is>
      </c>
      <c r="D286" s="28" t="inlineStr">
        <is>
          <t>Corrupt entry recovery</t>
        </is>
      </c>
      <c r="E286" s="28" t="inlineStr">
        <is>
          <t>1. Corrupt a cache entry on a debug build
2. Reopen the screen</t>
        </is>
      </c>
      <c r="F286" s="28" t="inlineStr">
        <is>
          <t>Loads from the network as if new; no crash.</t>
        </is>
      </c>
      <c r="G286" s="29" t="inlineStr">
        <is>
          <t>P1</t>
        </is>
      </c>
      <c r="H286" s="29" t="inlineStr">
        <is>
          <t>Error handling</t>
        </is>
      </c>
      <c r="I286" s="30" t="inlineStr">
        <is>
          <t>lib/core/storage/cache/cached_fetcher.dart:380</t>
        </is>
      </c>
      <c r="J286" s="29" t="n"/>
      <c r="K286" s="31" t="inlineStr">
        <is>
          <t>Not Run</t>
        </is>
      </c>
      <c r="L286" s="32" t="n"/>
      <c r="M286" s="33" t="n"/>
      <c r="N286" s="32" t="n"/>
      <c r="O286" s="32" t="n"/>
      <c r="P286" s="32" t="n"/>
      <c r="Q286" s="32" t="n"/>
    </row>
    <row r="287" ht="30" customHeight="1">
      <c r="A287" s="27" t="inlineStr">
        <is>
          <t>BL-CACHE-013</t>
        </is>
      </c>
      <c r="B287" s="28" t="inlineStr">
        <is>
          <t>Cache, offline &amp; pagination</t>
        </is>
      </c>
      <c r="C287" s="28" t="inlineStr">
        <is>
          <t>Eviction &amp; corruption</t>
        </is>
      </c>
      <c r="D287" s="28" t="inlineStr">
        <is>
          <t>Storage unavailable</t>
        </is>
      </c>
      <c r="E287" s="28" t="inlineStr">
        <is>
          <t>1. Fill the device storage or corrupt a box file
2. Relaunch</t>
        </is>
      </c>
      <c r="F287" s="28" t="inlineStr">
        <is>
          <t>App still works online; nothing is saved; no error shown.</t>
        </is>
      </c>
      <c r="G287" s="29" t="inlineStr">
        <is>
          <t>P2</t>
        </is>
      </c>
      <c r="H287" s="29" t="inlineStr">
        <is>
          <t>Error handling</t>
        </is>
      </c>
      <c r="I287" s="30" t="inlineStr">
        <is>
          <t>lib/core/storage/hive_local_store.dart:109</t>
        </is>
      </c>
      <c r="J287" s="29" t="n"/>
      <c r="K287" s="31" t="inlineStr">
        <is>
          <t>Not Run</t>
        </is>
      </c>
      <c r="L287" s="32" t="n"/>
      <c r="M287" s="33" t="n"/>
      <c r="N287" s="32" t="n"/>
      <c r="O287" s="32" t="n"/>
      <c r="P287" s="32" t="n"/>
      <c r="Q287" s="32" t="n"/>
    </row>
    <row r="288" ht="56" customHeight="1">
      <c r="A288" s="27" t="inlineStr">
        <is>
          <t>BL-CACHE-014</t>
        </is>
      </c>
      <c r="B288" s="28" t="inlineStr">
        <is>
          <t>Cache, offline &amp; pagination</t>
        </is>
      </c>
      <c r="C288" s="28" t="inlineStr">
        <is>
          <t>Isolation &amp; logout</t>
        </is>
      </c>
      <c r="D288" s="28" t="inlineStr">
        <is>
          <t>User B never sees user A's saved data</t>
        </is>
      </c>
      <c r="E288" s="28" t="inlineStr">
        <is>
          <t>1. Sign in as A and browse
2. Log out
3. Sign in as B
4. Go offline</t>
        </is>
      </c>
      <c r="F288" s="28" t="inlineStr">
        <is>
          <t>Nothing of A's appears.</t>
        </is>
      </c>
      <c r="G288" s="29" t="inlineStr">
        <is>
          <t>P0</t>
        </is>
      </c>
      <c r="H288" s="29" t="inlineStr">
        <is>
          <t>Rule</t>
        </is>
      </c>
      <c r="I288" s="30" t="inlineStr">
        <is>
          <t>lib/core/storage/hive/keys.dart:123</t>
        </is>
      </c>
      <c r="J288" s="29" t="n"/>
      <c r="K288" s="31" t="inlineStr">
        <is>
          <t>Not Run</t>
        </is>
      </c>
      <c r="L288" s="32" t="n"/>
      <c r="M288" s="33" t="n"/>
      <c r="N288" s="32" t="n"/>
      <c r="O288" s="32" t="n"/>
      <c r="P288" s="32" t="n"/>
      <c r="Q288" s="32" t="n"/>
    </row>
    <row r="289" ht="30" customHeight="1">
      <c r="A289" s="27" t="inlineStr">
        <is>
          <t>BL-CACHE-015</t>
        </is>
      </c>
      <c r="B289" s="28" t="inlineStr">
        <is>
          <t>Cache, offline &amp; pagination</t>
        </is>
      </c>
      <c r="C289" s="28" t="inlineStr">
        <is>
          <t>Isolation &amp; logout</t>
        </is>
      </c>
      <c r="D289" s="28" t="inlineStr">
        <is>
          <t>Logout clears saved data but keeps device settings</t>
        </is>
      </c>
      <c r="E289" s="28" t="inlineStr">
        <is>
          <t>1. Log out
2. Inspect storage</t>
        </is>
      </c>
      <c r="F289" s="28" t="inlineStr">
        <is>
          <t>Tokens and all cached data gone; onboarding flag kept.</t>
        </is>
      </c>
      <c r="G289" s="29" t="inlineStr">
        <is>
          <t>P0</t>
        </is>
      </c>
      <c r="H289" s="29" t="inlineStr">
        <is>
          <t>State</t>
        </is>
      </c>
      <c r="I289" s="30" t="inlineStr">
        <is>
          <t>lib/core/storage/hive/boxes.dart:83</t>
        </is>
      </c>
      <c r="J289" s="29" t="n"/>
      <c r="K289" s="31" t="inlineStr">
        <is>
          <t>Not Run</t>
        </is>
      </c>
      <c r="L289" s="32" t="n"/>
      <c r="M289" s="33" t="n"/>
      <c r="N289" s="32" t="n"/>
      <c r="O289" s="32" t="n"/>
      <c r="P289" s="32" t="n"/>
      <c r="Q289" s="32" t="n"/>
    </row>
    <row r="290" ht="30" customHeight="1">
      <c r="A290" s="27" t="inlineStr">
        <is>
          <t>BL-CACHE-016</t>
        </is>
      </c>
      <c r="B290" s="28" t="inlineStr">
        <is>
          <t>Cache, offline &amp; pagination</t>
        </is>
      </c>
      <c r="C290" s="28" t="inlineStr">
        <is>
          <t>Isolation &amp; logout</t>
        </is>
      </c>
      <c r="D290" s="28" t="inlineStr">
        <is>
          <t>Any change empties the whole response cache</t>
        </is>
      </c>
      <c r="E290" s="28" t="inlineStr">
        <is>
          <t>1. Edit a document
2. Open Appointments (proxy attached)</t>
        </is>
      </c>
      <c r="F290" s="28" t="inlineStr">
        <is>
          <t>Appointments reload from the network. Confirm this breadth is acceptable for performance.</t>
        </is>
      </c>
      <c r="G290" s="29" t="inlineStr">
        <is>
          <t>P3</t>
        </is>
      </c>
      <c r="H290" s="29" t="inlineStr">
        <is>
          <t>Verify gap</t>
        </is>
      </c>
      <c r="I290" s="30" t="inlineStr">
        <is>
          <t>lib/core/storage/cache/cached_fetcher.dart:430</t>
        </is>
      </c>
      <c r="J290" s="29" t="n"/>
      <c r="K290" s="31" t="inlineStr">
        <is>
          <t>Not Run</t>
        </is>
      </c>
      <c r="L290" s="32" t="n"/>
      <c r="M290" s="33" t="n"/>
      <c r="N290" s="32" t="n"/>
      <c r="O290" s="32" t="n"/>
      <c r="P290" s="32" t="n"/>
      <c r="Q290" s="32" t="n"/>
    </row>
    <row r="291" ht="30" customHeight="1">
      <c r="A291" s="27" t="inlineStr">
        <is>
          <t>BL-CACHE-017</t>
        </is>
      </c>
      <c r="B291" s="28" t="inlineStr">
        <is>
          <t>Cache, offline &amp; pagination</t>
        </is>
      </c>
      <c r="C291" s="28" t="inlineStr">
        <is>
          <t>Connectivity</t>
        </is>
      </c>
      <c r="D291" s="28" t="inlineStr">
        <is>
          <t>Offline indicators appear and clear</t>
        </is>
      </c>
      <c r="E291" s="28" t="inlineStr">
        <is>
          <t>Toggle airplane mode on shared lists and on Notifications</t>
        </is>
      </c>
      <c r="F291" s="28" t="inlineStr">
        <is>
          <t>'You're offline. Showing what was saved on this device.' while offline; cleared on reconnect.</t>
        </is>
      </c>
      <c r="G291" s="29" t="inlineStr">
        <is>
          <t>P1</t>
        </is>
      </c>
      <c r="H291" s="29" t="inlineStr">
        <is>
          <t>State</t>
        </is>
      </c>
      <c r="I291" s="30" t="inlineStr">
        <is>
          <t>lib/features/common/cached/cached_status_bar.dart:40</t>
        </is>
      </c>
      <c r="J291" s="29" t="n"/>
      <c r="K291" s="31" t="inlineStr">
        <is>
          <t>Not Run</t>
        </is>
      </c>
      <c r="L291" s="32" t="n"/>
      <c r="M291" s="33" t="n"/>
      <c r="N291" s="32" t="n"/>
      <c r="O291" s="32" t="n"/>
      <c r="P291" s="32" t="n"/>
      <c r="Q291" s="32" t="n"/>
    </row>
    <row r="292" ht="30" customHeight="1">
      <c r="A292" s="27" t="inlineStr">
        <is>
          <t>BL-CACHE-018</t>
        </is>
      </c>
      <c r="B292" s="28" t="inlineStr">
        <is>
          <t>Cache, offline &amp; pagination</t>
        </is>
      </c>
      <c r="C292" s="28" t="inlineStr">
        <is>
          <t>Connectivity</t>
        </is>
      </c>
      <c r="D292" s="28" t="inlineStr">
        <is>
          <t>Reconnect triggers one refresh burst</t>
        </is>
      </c>
      <c r="E292" s="28" t="inlineStr">
        <is>
          <t>Turn airplane mode off with the app open</t>
        </is>
      </c>
      <c r="F292" s="28" t="inlineStr">
        <is>
          <t>Profile, unread count and waiting lists refresh once; no polling while offline.</t>
        </is>
      </c>
      <c r="G292" s="29" t="inlineStr">
        <is>
          <t>P2</t>
        </is>
      </c>
      <c r="H292" s="29" t="inlineStr">
        <is>
          <t>Rule</t>
        </is>
      </c>
      <c r="I292" s="30" t="inlineStr">
        <is>
          <t>lib/app/app.dart:54</t>
        </is>
      </c>
      <c r="J292" s="29" t="n"/>
      <c r="K292" s="31" t="inlineStr">
        <is>
          <t>Not Run</t>
        </is>
      </c>
      <c r="L292" s="32" t="n"/>
      <c r="M292" s="33" t="n"/>
      <c r="N292" s="32" t="n"/>
      <c r="O292" s="32" t="n"/>
      <c r="P292" s="32" t="n"/>
      <c r="Q292" s="32" t="n"/>
    </row>
    <row r="293" ht="43" customHeight="1">
      <c r="A293" s="27" t="inlineStr">
        <is>
          <t>BL-CACHE-019</t>
        </is>
      </c>
      <c r="B293" s="28" t="inlineStr">
        <is>
          <t>Cache, offline &amp; pagination</t>
        </is>
      </c>
      <c r="C293" s="28" t="inlineStr">
        <is>
          <t>Connectivity</t>
        </is>
      </c>
      <c r="D293" s="28" t="inlineStr">
        <is>
          <t>Wi-Fi without internet</t>
        </is>
      </c>
      <c r="E293" s="28" t="inlineStr">
        <is>
          <t>Connect to Wi-Fi that has no internet</t>
        </is>
      </c>
      <c r="F293" s="28" t="inlineStr">
        <is>
          <t>Decide what is acceptable: the app treats this as online, so no offline banner — requests fail after the 10 s timeout.</t>
        </is>
      </c>
      <c r="G293" s="29" t="inlineStr">
        <is>
          <t>P2</t>
        </is>
      </c>
      <c r="H293" s="29" t="inlineStr">
        <is>
          <t>Verify gap</t>
        </is>
      </c>
      <c r="I293" s="30" t="inlineStr">
        <is>
          <t>lib/core/connectivity/connectivity_monitor.dart:46</t>
        </is>
      </c>
      <c r="J293" s="29" t="n"/>
      <c r="K293" s="31" t="inlineStr">
        <is>
          <t>Not Run</t>
        </is>
      </c>
      <c r="L293" s="32" t="n"/>
      <c r="M293" s="33" t="n"/>
      <c r="N293" s="32" t="n"/>
      <c r="O293" s="32" t="n"/>
      <c r="P293" s="32" t="n"/>
      <c r="Q293" s="32" t="n"/>
    </row>
    <row r="294" ht="43" customHeight="1">
      <c r="A294" s="27" t="inlineStr">
        <is>
          <t>BL-CACHE-020</t>
        </is>
      </c>
      <c r="B294" s="28" t="inlineStr">
        <is>
          <t>Cache, offline &amp; pagination</t>
        </is>
      </c>
      <c r="C294" s="28" t="inlineStr">
        <is>
          <t>Pagination</t>
        </is>
      </c>
      <c r="D294" s="28" t="inlineStr">
        <is>
          <t>Records: Load more without duplicates</t>
        </is>
      </c>
      <c r="E294" s="28" t="inlineStr">
        <is>
          <t>1. Have 21+ records
2. Add one from another device
3. Tap Load more</t>
        </is>
      </c>
      <c r="F294" s="28" t="inlineStr">
        <is>
          <t>Next 20 appended, none repeated; button only while more exist.</t>
        </is>
      </c>
      <c r="G294" s="29" t="inlineStr">
        <is>
          <t>P1</t>
        </is>
      </c>
      <c r="H294" s="29" t="inlineStr">
        <is>
          <t>Rule</t>
        </is>
      </c>
      <c r="I294" s="30" t="inlineStr">
        <is>
          <t>lib/features/records/application/providers/records_provider.dart:178</t>
        </is>
      </c>
      <c r="J294" s="29" t="n"/>
      <c r="K294" s="31" t="inlineStr">
        <is>
          <t>Not Run</t>
        </is>
      </c>
      <c r="L294" s="32" t="n"/>
      <c r="M294" s="33" t="n"/>
      <c r="N294" s="32" t="n"/>
      <c r="O294" s="32" t="n"/>
      <c r="P294" s="32" t="n"/>
      <c r="Q294" s="32" t="n"/>
    </row>
    <row r="295" ht="43" customHeight="1">
      <c r="A295" s="27" t="inlineStr">
        <is>
          <t>BL-CACHE-021</t>
        </is>
      </c>
      <c r="B295" s="28" t="inlineStr">
        <is>
          <t>Cache, offline &amp; pagination</t>
        </is>
      </c>
      <c r="C295" s="28" t="inlineStr">
        <is>
          <t>Pagination</t>
        </is>
      </c>
      <c r="D295" s="28" t="inlineStr">
        <is>
          <t>Records: failed Load more</t>
        </is>
      </c>
      <c r="E295" s="28" t="inlineStr">
        <is>
          <t>1. Go offline
2. Tap Load more
3. Tap the banner</t>
        </is>
      </c>
      <c r="F295" s="28" t="inlineStr">
        <is>
          <t>Failure banner over the list. Check the retry — the code reloads page 1 only, dropping later pages.</t>
        </is>
      </c>
      <c r="G295" s="29" t="inlineStr">
        <is>
          <t>P2</t>
        </is>
      </c>
      <c r="H295" s="29" t="inlineStr">
        <is>
          <t>Verify gap</t>
        </is>
      </c>
      <c r="I295" s="30" t="inlineStr">
        <is>
          <t>lib/features/records/presentation/screen/records_screen.dart:196</t>
        </is>
      </c>
      <c r="J295" s="29" t="n"/>
      <c r="K295" s="31" t="inlineStr">
        <is>
          <t>Not Run</t>
        </is>
      </c>
      <c r="L295" s="32" t="n"/>
      <c r="M295" s="33" t="n"/>
      <c r="N295" s="32" t="n"/>
      <c r="O295" s="32" t="n"/>
      <c r="P295" s="32" t="n"/>
      <c r="Q295" s="32" t="n"/>
    </row>
    <row r="296" ht="43" customHeight="1">
      <c r="A296" s="27" t="inlineStr">
        <is>
          <t>BL-CACHE-022</t>
        </is>
      </c>
      <c r="B296" s="28" t="inlineStr">
        <is>
          <t>Cache, offline &amp; pagination</t>
        </is>
      </c>
      <c r="C296" s="28" t="inlineStr">
        <is>
          <t>Pagination</t>
        </is>
      </c>
      <c r="D296" s="28" t="inlineStr">
        <is>
          <t>Notifications: next page and failure</t>
        </is>
      </c>
      <c r="E296" s="28" t="inlineStr">
        <is>
          <t>1. Have 21+ notifications
2. Fail page 2</t>
        </is>
      </c>
      <c r="F296" s="28" t="inlineStr">
        <is>
          <t>Inline error with 'Load more'; first page stays.</t>
        </is>
      </c>
      <c r="G296" s="29" t="inlineStr">
        <is>
          <t>P2</t>
        </is>
      </c>
      <c r="H296" s="29" t="inlineStr">
        <is>
          <t>Error handling</t>
        </is>
      </c>
      <c r="I296" s="30" t="inlineStr">
        <is>
          <t>lib/features/notifications/application/providers/notifications_provider.dart:154</t>
        </is>
      </c>
      <c r="J296" s="29" t="n"/>
      <c r="K296" s="31" t="inlineStr">
        <is>
          <t>Not Run</t>
        </is>
      </c>
      <c r="L296" s="32" t="n"/>
      <c r="M296" s="33" t="n"/>
      <c r="N296" s="32" t="n"/>
      <c r="O296" s="32" t="n"/>
      <c r="P296" s="32" t="n"/>
      <c r="Q296" s="32" t="n"/>
    </row>
    <row r="297" ht="30" customHeight="1">
      <c r="A297" s="27" t="inlineStr">
        <is>
          <t>BL-CACHE-023</t>
        </is>
      </c>
      <c r="B297" s="28" t="inlineStr">
        <is>
          <t>Cache, offline &amp; pagination</t>
        </is>
      </c>
      <c r="C297" s="28" t="inlineStr">
        <is>
          <t>Pagination</t>
        </is>
      </c>
      <c r="D297" s="28" t="inlineStr">
        <is>
          <t>Server omits paging fields</t>
        </is>
      </c>
      <c r="E297" s="28" t="inlineStr">
        <is>
          <t>Return a page without has_next / total (proxy)</t>
        </is>
      </c>
      <c r="F297" s="28" t="inlineStr">
        <is>
          <t>No 'Load more'; count equals rows shown; no crash.</t>
        </is>
      </c>
      <c r="G297" s="29" t="inlineStr">
        <is>
          <t>P3</t>
        </is>
      </c>
      <c r="H297" s="29" t="inlineStr">
        <is>
          <t>Error handling</t>
        </is>
      </c>
      <c r="I297" s="30" t="inlineStr">
        <is>
          <t>lib/core/network/api_client.dart:219</t>
        </is>
      </c>
      <c r="J297" s="29" t="n"/>
      <c r="K297" s="31" t="inlineStr">
        <is>
          <t>Not Run</t>
        </is>
      </c>
      <c r="L297" s="32" t="n"/>
      <c r="M297" s="33" t="n"/>
      <c r="N297" s="32" t="n"/>
      <c r="O297" s="32" t="n"/>
      <c r="P297" s="32" t="n"/>
      <c r="Q297" s="32" t="n"/>
    </row>
    <row r="298" ht="30" customHeight="1">
      <c r="A298" s="27" t="inlineStr">
        <is>
          <t>BL-CACHE-024</t>
        </is>
      </c>
      <c r="B298" s="28" t="inlineStr">
        <is>
          <t>Cache, offline &amp; pagination</t>
        </is>
      </c>
      <c r="C298" s="28" t="inlineStr">
        <is>
          <t>Mutations</t>
        </is>
      </c>
      <c r="D298" s="28" t="inlineStr">
        <is>
          <t>Second tap while saving is ignored</t>
        </is>
      </c>
      <c r="E298" s="28" t="inlineStr">
        <is>
          <t>Double-tap Save on profile, address and family forms</t>
        </is>
      </c>
      <c r="F298" s="28" t="inlineStr">
        <is>
          <t>One request each. Check there is no false 'saved' toast for the ignored tap.</t>
        </is>
      </c>
      <c r="G298" s="29" t="inlineStr">
        <is>
          <t>P1</t>
        </is>
      </c>
      <c r="H298" s="29" t="inlineStr">
        <is>
          <t>Verify gap</t>
        </is>
      </c>
      <c r="I298" s="30" t="inlineStr">
        <is>
          <t>lib/features/common/mutation/mutation_notifier.dart:27</t>
        </is>
      </c>
      <c r="J298" s="29" t="n"/>
      <c r="K298" s="31" t="inlineStr">
        <is>
          <t>Not Run</t>
        </is>
      </c>
      <c r="L298" s="32" t="n"/>
      <c r="M298" s="33" t="n"/>
      <c r="N298" s="32" t="n"/>
      <c r="O298" s="32" t="n"/>
      <c r="P298" s="32" t="n"/>
      <c r="Q298" s="32" t="n"/>
    </row>
    <row r="299" ht="30" customHeight="1">
      <c r="A299" s="27" t="inlineStr">
        <is>
          <t>BL-CACHE-025</t>
        </is>
      </c>
      <c r="B299" s="28" t="inlineStr">
        <is>
          <t>Cache, offline &amp; pagination</t>
        </is>
      </c>
      <c r="C299" s="28" t="inlineStr">
        <is>
          <t>Mutations</t>
        </is>
      </c>
      <c r="D299" s="28" t="inlineStr">
        <is>
          <t>Refresh while a refresh is running</t>
        </is>
      </c>
      <c r="E299" s="28" t="inlineStr">
        <is>
          <t>Pull to refresh twice quickly</t>
        </is>
      </c>
      <c r="F299" s="28" t="inlineStr">
        <is>
          <t>One request.</t>
        </is>
      </c>
      <c r="G299" s="29" t="inlineStr">
        <is>
          <t>P3</t>
        </is>
      </c>
      <c r="H299" s="29" t="inlineStr">
        <is>
          <t>Rule</t>
        </is>
      </c>
      <c r="I299" s="30" t="inlineStr">
        <is>
          <t>lib/features/common/cached/cached_controller.dart:62</t>
        </is>
      </c>
      <c r="J299" s="29" t="n"/>
      <c r="K299" s="31" t="inlineStr">
        <is>
          <t>Not Run</t>
        </is>
      </c>
      <c r="L299" s="32" t="n"/>
      <c r="M299" s="33" t="n"/>
      <c r="N299" s="32" t="n"/>
      <c r="O299" s="32" t="n"/>
      <c r="P299" s="32" t="n"/>
      <c r="Q299" s="32" t="n"/>
    </row>
    <row r="300" ht="43" customHeight="1">
      <c r="A300" s="27" t="inlineStr">
        <is>
          <t>BL-NOTIF-001</t>
        </is>
      </c>
      <c r="B300" s="28" t="inlineStr">
        <is>
          <t>Notifications</t>
        </is>
      </c>
      <c r="C300" s="28" t="inlineStr">
        <is>
          <t>Routing</t>
        </is>
      </c>
      <c r="D300" s="28" t="inlineStr">
        <is>
          <t>Appointment events open the appointment</t>
        </is>
      </c>
      <c r="E300" s="28" t="inlineStr">
        <is>
          <t>Tap confirmation, approval, reminder, cancellation, rejection, no-show and refund notifications</t>
        </is>
      </c>
      <c r="F300" s="28" t="inlineStr">
        <is>
          <t>Appointment detail for that booking.</t>
        </is>
      </c>
      <c r="G300" s="29" t="inlineStr">
        <is>
          <t>P1</t>
        </is>
      </c>
      <c r="H300" s="29" t="inlineStr">
        <is>
          <t>Data mapping</t>
        </is>
      </c>
      <c r="I300" s="30" t="inlineStr">
        <is>
          <t>lib/features/notifications/application/usecases/notification_target.dart:59</t>
        </is>
      </c>
      <c r="J300" s="29" t="n"/>
      <c r="K300" s="31" t="inlineStr">
        <is>
          <t>Not Run</t>
        </is>
      </c>
      <c r="L300" s="32" t="n"/>
      <c r="M300" s="33" t="n"/>
      <c r="N300" s="32" t="n"/>
      <c r="O300" s="32" t="n"/>
      <c r="P300" s="32" t="n"/>
      <c r="Q300" s="32" t="n"/>
    </row>
    <row r="301" ht="43" customHeight="1">
      <c r="A301" s="27" t="inlineStr">
        <is>
          <t>BL-NOTIF-002</t>
        </is>
      </c>
      <c r="B301" s="28" t="inlineStr">
        <is>
          <t>Notifications</t>
        </is>
      </c>
      <c r="C301" s="28" t="inlineStr">
        <is>
          <t>Routing</t>
        </is>
      </c>
      <c r="D301" s="28" t="inlineStr">
        <is>
          <t>Token called opens the live queue; payment captured opens the receipt</t>
        </is>
      </c>
      <c r="E301" s="28" t="inlineStr">
        <is>
          <t>Tap each</t>
        </is>
      </c>
      <c r="F301" s="28" t="inlineStr">
        <is>
          <t>Live queue / receipt for that appointment.</t>
        </is>
      </c>
      <c r="G301" s="29" t="inlineStr">
        <is>
          <t>P1</t>
        </is>
      </c>
      <c r="H301" s="29" t="inlineStr">
        <is>
          <t>Data mapping</t>
        </is>
      </c>
      <c r="I301" s="30" t="inlineStr">
        <is>
          <t>lib/features/notifications/application/usecases/notification_target.dart:59</t>
        </is>
      </c>
      <c r="J301" s="29" t="n"/>
      <c r="K301" s="31" t="inlineStr">
        <is>
          <t>Not Run</t>
        </is>
      </c>
      <c r="L301" s="32" t="n"/>
      <c r="M301" s="33" t="n"/>
      <c r="N301" s="32" t="n"/>
      <c r="O301" s="32" t="n"/>
      <c r="P301" s="32" t="n"/>
      <c r="Q301" s="32" t="n"/>
    </row>
    <row r="302" ht="43" customHeight="1">
      <c r="A302" s="27" t="inlineStr">
        <is>
          <t>BL-NOTIF-003</t>
        </is>
      </c>
      <c r="B302" s="28" t="inlineStr">
        <is>
          <t>Notifications</t>
        </is>
      </c>
      <c r="C302" s="28" t="inlineStr">
        <is>
          <t>Routing</t>
        </is>
      </c>
      <c r="D302" s="28" t="inlineStr">
        <is>
          <t>Account events</t>
        </is>
      </c>
      <c r="E302" s="28" t="inlineStr">
        <is>
          <t>Tap family auto-link, deletion requested, phone changed, export ready and ticket updated notifications</t>
        </is>
      </c>
      <c r="F302" s="28" t="inlineStr">
        <is>
          <t>Family members / Profile / Profile / Download my data / that ticket (or the ticket list).</t>
        </is>
      </c>
      <c r="G302" s="29" t="inlineStr">
        <is>
          <t>P2</t>
        </is>
      </c>
      <c r="H302" s="29" t="inlineStr">
        <is>
          <t>Data mapping</t>
        </is>
      </c>
      <c r="I302" s="30" t="inlineStr">
        <is>
          <t>lib/features/notifications/presentation/screen/notifications_screen.dart:538</t>
        </is>
      </c>
      <c r="J302" s="29" t="n"/>
      <c r="K302" s="31" t="inlineStr">
        <is>
          <t>Not Run</t>
        </is>
      </c>
      <c r="L302" s="32" t="n"/>
      <c r="M302" s="33" t="n"/>
      <c r="N302" s="32" t="n"/>
      <c r="O302" s="32" t="n"/>
      <c r="P302" s="32" t="n"/>
      <c r="Q302" s="32" t="n"/>
    </row>
    <row r="303" ht="43" customHeight="1">
      <c r="A303" s="27" t="inlineStr">
        <is>
          <t>BL-NOTIF-004</t>
        </is>
      </c>
      <c r="B303" s="28" t="inlineStr">
        <is>
          <t>Notifications</t>
        </is>
      </c>
      <c r="C303" s="28" t="inlineStr">
        <is>
          <t>Routing</t>
        </is>
      </c>
      <c r="D303" s="28" t="inlineStr">
        <is>
          <t>Unknown event or missing id</t>
        </is>
      </c>
      <c r="E303" s="28" t="inlineStr">
        <is>
          <t>Send an unknown event with and without an appointment id</t>
        </is>
      </c>
      <c r="F303" s="28" t="inlineStr">
        <is>
          <t>Opens the appointment when an id is present; otherwise just marks the card read.</t>
        </is>
      </c>
      <c r="G303" s="29" t="inlineStr">
        <is>
          <t>P2</t>
        </is>
      </c>
      <c r="H303" s="29" t="inlineStr">
        <is>
          <t>Error handling</t>
        </is>
      </c>
      <c r="I303" s="30" t="inlineStr">
        <is>
          <t>lib/features/notifications/application/usecases/notification_target.dart:87</t>
        </is>
      </c>
      <c r="J303" s="29" t="n"/>
      <c r="K303" s="31" t="inlineStr">
        <is>
          <t>Not Run</t>
        </is>
      </c>
      <c r="L303" s="32" t="n"/>
      <c r="M303" s="33" t="n"/>
      <c r="N303" s="32" t="n"/>
      <c r="O303" s="32" t="n"/>
      <c r="P303" s="32" t="n"/>
      <c r="Q303" s="32" t="n"/>
    </row>
    <row r="304" ht="43" customHeight="1">
      <c r="A304" s="27" t="inlineStr">
        <is>
          <t>BL-NOTIF-005</t>
        </is>
      </c>
      <c r="B304" s="28" t="inlineStr">
        <is>
          <t>Notifications</t>
        </is>
      </c>
      <c r="C304" s="28" t="inlineStr">
        <is>
          <t>Routing</t>
        </is>
      </c>
      <c r="D304" s="28" t="inlineStr">
        <is>
          <t>Refund notification carrying only a refund id</t>
        </is>
      </c>
      <c r="E304" s="28" t="inlineStr">
        <is>
          <t>1. Send a refund notification without an appointment id
2. Tap it</t>
        </is>
      </c>
      <c r="F304" s="28" t="inlineStr">
        <is>
          <t>It should lead somewhere useful. The code opens nothing.</t>
        </is>
      </c>
      <c r="G304" s="29" t="inlineStr">
        <is>
          <t>P3</t>
        </is>
      </c>
      <c r="H304" s="29" t="inlineStr">
        <is>
          <t>Verify gap</t>
        </is>
      </c>
      <c r="I304" s="30" t="inlineStr">
        <is>
          <t>lib/features/notifications/application/usecases/notification_target.dart:68</t>
        </is>
      </c>
      <c r="J304" s="29" t="n"/>
      <c r="K304" s="31" t="inlineStr">
        <is>
          <t>Not Run</t>
        </is>
      </c>
      <c r="L304" s="32" t="n"/>
      <c r="M304" s="33" t="n"/>
      <c r="N304" s="32" t="n"/>
      <c r="O304" s="32" t="n"/>
      <c r="P304" s="32" t="n"/>
      <c r="Q304" s="32" t="n"/>
    </row>
    <row r="305" ht="43" customHeight="1">
      <c r="A305" s="27" t="inlineStr">
        <is>
          <t>BL-NOTIF-006</t>
        </is>
      </c>
      <c r="B305" s="28" t="inlineStr">
        <is>
          <t>Notifications</t>
        </is>
      </c>
      <c r="C305" s="28" t="inlineStr">
        <is>
          <t>Read state &amp; count</t>
        </is>
      </c>
      <c r="D305" s="28" t="inlineStr">
        <is>
          <t>Tapping an unread card marks it read</t>
        </is>
      </c>
      <c r="E305" s="28" t="inlineStr">
        <is>
          <t>Tap an unread card online, then another one offline</t>
        </is>
      </c>
      <c r="F305" s="28" t="inlineStr">
        <is>
          <t>Online: card read, badge −1. Offline: stays unread but still navigates.</t>
        </is>
      </c>
      <c r="G305" s="29" t="inlineStr">
        <is>
          <t>P1</t>
        </is>
      </c>
      <c r="H305" s="29" t="inlineStr">
        <is>
          <t>State</t>
        </is>
      </c>
      <c r="I305" s="30" t="inlineStr">
        <is>
          <t>lib/features/notifications/presentation/screen/notifications_screen.dart:527</t>
        </is>
      </c>
      <c r="J305" s="29" t="n"/>
      <c r="K305" s="31" t="inlineStr">
        <is>
          <t>Not Run</t>
        </is>
      </c>
      <c r="L305" s="32" t="n"/>
      <c r="M305" s="33" t="n"/>
      <c r="N305" s="32" t="n"/>
      <c r="O305" s="32" t="n"/>
      <c r="P305" s="32" t="n"/>
      <c r="Q305" s="32" t="n"/>
    </row>
    <row r="306" ht="43" customHeight="1">
      <c r="A306" s="27" t="inlineStr">
        <is>
          <t>BL-NOTIF-007</t>
        </is>
      </c>
      <c r="B306" s="28" t="inlineStr">
        <is>
          <t>Notifications</t>
        </is>
      </c>
      <c r="C306" s="28" t="inlineStr">
        <is>
          <t>Read state &amp; count</t>
        </is>
      </c>
      <c r="D306" s="28" t="inlineStr">
        <is>
          <t>Mark as unread and Remove</t>
        </is>
      </c>
      <c r="E306" s="28" t="inlineStr">
        <is>
          <t>1. Long-press a read card → Mark as unread
2. Swipe a card away online and offline</t>
        </is>
      </c>
      <c r="F306" s="28" t="inlineStr">
        <is>
          <t>Badge +1; '“&lt;title&gt;” removed' (badge −1 if unread); offline: failure toast and the row stays.</t>
        </is>
      </c>
      <c r="G306" s="29" t="inlineStr">
        <is>
          <t>P2</t>
        </is>
      </c>
      <c r="H306" s="29" t="inlineStr">
        <is>
          <t>State</t>
        </is>
      </c>
      <c r="I306" s="30" t="inlineStr">
        <is>
          <t>lib/features/notifications/presentation/screen/notifications_screen.dart:568</t>
        </is>
      </c>
      <c r="J306" s="29" t="n"/>
      <c r="K306" s="31" t="inlineStr">
        <is>
          <t>Not Run</t>
        </is>
      </c>
      <c r="L306" s="32" t="n"/>
      <c r="M306" s="33" t="n"/>
      <c r="N306" s="32" t="n"/>
      <c r="O306" s="32" t="n"/>
      <c r="P306" s="32" t="n"/>
      <c r="Q306" s="32" t="n"/>
    </row>
    <row r="307" ht="43" customHeight="1">
      <c r="A307" s="27" t="inlineStr">
        <is>
          <t>BL-NOTIF-008</t>
        </is>
      </c>
      <c r="B307" s="28" t="inlineStr">
        <is>
          <t>Notifications</t>
        </is>
      </c>
      <c r="C307" s="28" t="inlineStr">
        <is>
          <t>Read state &amp; count</t>
        </is>
      </c>
      <c r="D307" s="28" t="inlineStr">
        <is>
          <t>Mark all as read</t>
        </is>
      </c>
      <c r="E307" s="28" t="inlineStr">
        <is>
          <t>Tap it with 0, 1 and several unread</t>
        </is>
      </c>
      <c r="F307" s="28" t="inlineStr">
        <is>
          <t>Disabled with 'All caught up' / '1 notification marked as read' / 'N notifications marked as read'; badge 0.</t>
        </is>
      </c>
      <c r="G307" s="29" t="inlineStr">
        <is>
          <t>P2</t>
        </is>
      </c>
      <c r="H307" s="29" t="inlineStr">
        <is>
          <t>Calculation</t>
        </is>
      </c>
      <c r="I307" s="30" t="inlineStr">
        <is>
          <t>lib/features/notifications/presentation/screen/notifications_screen.dart:159</t>
        </is>
      </c>
      <c r="J307" s="29" t="n"/>
      <c r="K307" s="31" t="inlineStr">
        <is>
          <t>Not Run</t>
        </is>
      </c>
      <c r="L307" s="32" t="n"/>
      <c r="M307" s="33" t="n"/>
      <c r="N307" s="32" t="n"/>
      <c r="O307" s="32" t="n"/>
      <c r="P307" s="32" t="n"/>
      <c r="Q307" s="32" t="n"/>
    </row>
    <row r="308" ht="43" customHeight="1">
      <c r="A308" s="27" t="inlineStr">
        <is>
          <t>BL-NOTIF-009</t>
        </is>
      </c>
      <c r="B308" s="28" t="inlineStr">
        <is>
          <t>Notifications</t>
        </is>
      </c>
      <c r="C308" s="28" t="inlineStr">
        <is>
          <t>Read state &amp; count</t>
        </is>
      </c>
      <c r="D308" s="28" t="inlineStr">
        <is>
          <t>Unread tab after marking read</t>
        </is>
      </c>
      <c r="E308" s="28" t="inlineStr">
        <is>
          <t>On the Unread tab mark a row (or all) as read</t>
        </is>
      </c>
      <c r="F308" s="28" t="inlineStr">
        <is>
          <t>Rows should leave the Unread tab. The code keeps them visible until the tab is refreshed.</t>
        </is>
      </c>
      <c r="G308" s="29" t="inlineStr">
        <is>
          <t>P3</t>
        </is>
      </c>
      <c r="H308" s="29" t="inlineStr">
        <is>
          <t>Verify gap</t>
        </is>
      </c>
      <c r="I308" s="30" t="inlineStr">
        <is>
          <t>lib/features/notifications/application/providers/notifications_provider.dart:230</t>
        </is>
      </c>
      <c r="J308" s="29" t="n"/>
      <c r="K308" s="31" t="inlineStr">
        <is>
          <t>Not Run</t>
        </is>
      </c>
      <c r="L308" s="32" t="n"/>
      <c r="M308" s="33" t="n"/>
      <c r="N308" s="32" t="n"/>
      <c r="O308" s="32" t="n"/>
      <c r="P308" s="32" t="n"/>
      <c r="Q308" s="32" t="n"/>
    </row>
    <row r="309" ht="43" customHeight="1">
      <c r="A309" s="27" t="inlineStr">
        <is>
          <t>BL-NOTIF-010</t>
        </is>
      </c>
      <c r="B309" s="28" t="inlineStr">
        <is>
          <t>Notifications</t>
        </is>
      </c>
      <c r="C309" s="28" t="inlineStr">
        <is>
          <t>Read state &amp; count</t>
        </is>
      </c>
      <c r="D309" s="28" t="inlineStr">
        <is>
          <t>Tabs and kind filter</t>
        </is>
      </c>
      <c r="E309" s="28" t="inlineStr">
        <is>
          <t>1. Switch All / Unread / Read
2. Tap a kind chip twice</t>
        </is>
      </c>
      <c r="F309" s="28" t="inlineStr">
        <is>
          <t>List reloads per choice; chip is single-select and clears on the second tap; unfiltered view groups 'Unread' then 'Earlier'.</t>
        </is>
      </c>
      <c r="G309" s="29" t="inlineStr">
        <is>
          <t>P2</t>
        </is>
      </c>
      <c r="H309" s="29" t="inlineStr">
        <is>
          <t>Rule</t>
        </is>
      </c>
      <c r="I309" s="30" t="inlineStr">
        <is>
          <t>lib/features/notifications/presentation/controllers/notifications_filter_controller.dart:7</t>
        </is>
      </c>
      <c r="J309" s="29" t="n"/>
      <c r="K309" s="31" t="inlineStr">
        <is>
          <t>Not Run</t>
        </is>
      </c>
      <c r="L309" s="32" t="n"/>
      <c r="M309" s="33" t="n"/>
      <c r="N309" s="32" t="n"/>
      <c r="O309" s="32" t="n"/>
      <c r="P309" s="32" t="n"/>
      <c r="Q309" s="32" t="n"/>
    </row>
    <row r="310" ht="43" customHeight="1">
      <c r="A310" s="27" t="inlineStr">
        <is>
          <t>BL-NOTIF-011</t>
        </is>
      </c>
      <c r="B310" s="28" t="inlineStr">
        <is>
          <t>Notifications</t>
        </is>
      </c>
      <c r="C310" s="28" t="inlineStr">
        <is>
          <t>Read state &amp; count</t>
        </is>
      </c>
      <c r="D310" s="28" t="inlineStr">
        <is>
          <t>Bell badge</t>
        </is>
      </c>
      <c r="E310" s="28" t="inlineStr">
        <is>
          <t>Have 0, 5 and 120 unread</t>
        </is>
      </c>
      <c r="F310" s="28" t="inlineStr">
        <is>
          <t>No badge / '5' / '99+'.</t>
        </is>
      </c>
      <c r="G310" s="29" t="inlineStr">
        <is>
          <t>P2</t>
        </is>
      </c>
      <c r="H310" s="29" t="inlineStr">
        <is>
          <t>Boundary</t>
        </is>
      </c>
      <c r="I310" s="30" t="inlineStr">
        <is>
          <t>lib/features/notifications/presentation/components/notification_bell.dart:73</t>
        </is>
      </c>
      <c r="J310" s="29" t="n"/>
      <c r="K310" s="31" t="inlineStr">
        <is>
          <t>Not Run</t>
        </is>
      </c>
      <c r="L310" s="32" t="n"/>
      <c r="M310" s="33" t="n"/>
      <c r="N310" s="32" t="n"/>
      <c r="O310" s="32" t="n"/>
      <c r="P310" s="32" t="n"/>
      <c r="Q310" s="32" t="n"/>
    </row>
    <row r="311" ht="30" customHeight="1">
      <c r="A311" s="27" t="inlineStr">
        <is>
          <t>BL-NOTIF-012</t>
        </is>
      </c>
      <c r="B311" s="28" t="inlineStr">
        <is>
          <t>Notifications</t>
        </is>
      </c>
      <c r="C311" s="28" t="inlineStr">
        <is>
          <t>Read state &amp; count</t>
        </is>
      </c>
      <c r="D311" s="28" t="inlineStr">
        <is>
          <t>Unknown notification kind</t>
        </is>
      </c>
      <c r="E311" s="28" t="inlineStr">
        <is>
          <t>Send a notification with a new kind value</t>
        </is>
      </c>
      <c r="F311" s="28" t="inlineStr">
        <is>
          <t>Shown as General; list still loads.</t>
        </is>
      </c>
      <c r="G311" s="29" t="inlineStr">
        <is>
          <t>P3</t>
        </is>
      </c>
      <c r="H311" s="29" t="inlineStr">
        <is>
          <t>Error handling</t>
        </is>
      </c>
      <c r="I311" s="30" t="inlineStr">
        <is>
          <t>lib/features/notifications/domain/entities/notification.dart:20</t>
        </is>
      </c>
      <c r="J311" s="29" t="n"/>
      <c r="K311" s="31" t="inlineStr">
        <is>
          <t>Not Run</t>
        </is>
      </c>
      <c r="L311" s="32" t="n"/>
      <c r="M311" s="33" t="n"/>
      <c r="N311" s="32" t="n"/>
      <c r="O311" s="32" t="n"/>
      <c r="P311" s="32" t="n"/>
      <c r="Q311" s="32" t="n"/>
    </row>
    <row r="312" ht="43" customHeight="1">
      <c r="A312" s="27" t="inlineStr">
        <is>
          <t>BL-NOTIF-013</t>
        </is>
      </c>
      <c r="B312" s="28" t="inlineStr">
        <is>
          <t>Notifications</t>
        </is>
      </c>
      <c r="C312" s="28" t="inlineStr">
        <is>
          <t>Realtime</t>
        </is>
      </c>
      <c r="D312" s="28" t="inlineStr">
        <is>
          <t>Badge follows the server live</t>
        </is>
      </c>
      <c r="E312" s="28" t="inlineStr">
        <is>
          <t>With the app open, create a notification from the backend</t>
        </is>
      </c>
      <c r="F312" s="28" t="inlineStr">
        <is>
          <t>Badge increases, then matches the server count.</t>
        </is>
      </c>
      <c r="G312" s="29" t="inlineStr">
        <is>
          <t>P1</t>
        </is>
      </c>
      <c r="H312" s="29" t="inlineStr">
        <is>
          <t>Rule</t>
        </is>
      </c>
      <c r="I312" s="30" t="inlineStr">
        <is>
          <t>lib/features/notifications/application/providers/notifications_provider.dart:404</t>
        </is>
      </c>
      <c r="J312" s="29" t="n"/>
      <c r="K312" s="31" t="inlineStr">
        <is>
          <t>Not Run</t>
        </is>
      </c>
      <c r="L312" s="32" t="n"/>
      <c r="M312" s="33" t="n"/>
      <c r="N312" s="32" t="n"/>
      <c r="O312" s="32" t="n"/>
      <c r="P312" s="32" t="n"/>
      <c r="Q312" s="32" t="n"/>
    </row>
    <row r="313" ht="43" customHeight="1">
      <c r="A313" s="27" t="inlineStr">
        <is>
          <t>BL-NOTIF-014</t>
        </is>
      </c>
      <c r="B313" s="28" t="inlineStr">
        <is>
          <t>Notifications</t>
        </is>
      </c>
      <c r="C313" s="28" t="inlineStr">
        <is>
          <t>Realtime</t>
        </is>
      </c>
      <c r="D313" s="28" t="inlineStr">
        <is>
          <t>Open list shows the new notification</t>
        </is>
      </c>
      <c r="E313" s="28" t="inlineStr">
        <is>
          <t>Stay on the Notifications screen while a new one is created</t>
        </is>
      </c>
      <c r="F313" s="28" t="inlineStr">
        <is>
          <t>The new row should appear. The code may answer the reload from memory, so the badge rises but the row is missing until pull-to-refresh.</t>
        </is>
      </c>
      <c r="G313" s="29" t="inlineStr">
        <is>
          <t>P1</t>
        </is>
      </c>
      <c r="H313" s="29" t="inlineStr">
        <is>
          <t>Verify gap</t>
        </is>
      </c>
      <c r="I313" s="30" t="inlineStr">
        <is>
          <t>lib/features/notifications/presentation/screen/notifications_screen.dart:55</t>
        </is>
      </c>
      <c r="J313" s="29" t="n"/>
      <c r="K313" s="31" t="inlineStr">
        <is>
          <t>Not Run</t>
        </is>
      </c>
      <c r="L313" s="32" t="n"/>
      <c r="M313" s="33" t="n"/>
      <c r="N313" s="32" t="n"/>
      <c r="O313" s="32" t="n"/>
      <c r="P313" s="32" t="n"/>
      <c r="Q313" s="32" t="n"/>
    </row>
    <row r="314" ht="43" customHeight="1">
      <c r="A314" s="27" t="inlineStr">
        <is>
          <t>BL-NOTIF-015</t>
        </is>
      </c>
      <c r="B314" s="28" t="inlineStr">
        <is>
          <t>Notifications</t>
        </is>
      </c>
      <c r="C314" s="28" t="inlineStr">
        <is>
          <t>Realtime</t>
        </is>
      </c>
      <c r="D314" s="28" t="inlineStr">
        <is>
          <t>Reconnect and catch-up</t>
        </is>
      </c>
      <c r="E314" s="28" t="inlineStr">
        <is>
          <t>1. Receive notifications while offline
2. Reconnect</t>
        </is>
      </c>
      <c r="F314" s="28" t="inlineStr">
        <is>
          <t>Badge corrects itself shortly after reconnecting.</t>
        </is>
      </c>
      <c r="G314" s="29" t="inlineStr">
        <is>
          <t>P1</t>
        </is>
      </c>
      <c r="H314" s="29" t="inlineStr">
        <is>
          <t>State</t>
        </is>
      </c>
      <c r="I314" s="30" t="inlineStr">
        <is>
          <t>lib/features/notifications/application/providers/notifications_provider.dart:337</t>
        </is>
      </c>
      <c r="J314" s="29" t="n"/>
      <c r="K314" s="31" t="inlineStr">
        <is>
          <t>Not Run</t>
        </is>
      </c>
      <c r="L314" s="32" t="n"/>
      <c r="M314" s="33" t="n"/>
      <c r="N314" s="32" t="n"/>
      <c r="O314" s="32" t="n"/>
      <c r="P314" s="32" t="n"/>
      <c r="Q314" s="32" t="n"/>
    </row>
    <row r="315" ht="43" customHeight="1">
      <c r="A315" s="27" t="inlineStr">
        <is>
          <t>BL-NOTIF-016</t>
        </is>
      </c>
      <c r="B315" s="28" t="inlineStr">
        <is>
          <t>Notifications</t>
        </is>
      </c>
      <c r="C315" s="28" t="inlineStr">
        <is>
          <t>Realtime</t>
        </is>
      </c>
      <c r="D315" s="28" t="inlineStr">
        <is>
          <t>Nothing runs while signed out</t>
        </is>
      </c>
      <c r="E315" s="28" t="inlineStr">
        <is>
          <t>Sign out and watch the proxy</t>
        </is>
      </c>
      <c r="F315" s="28" t="inlineStr">
        <is>
          <t>No inbox socket and no unread-count calls.</t>
        </is>
      </c>
      <c r="G315" s="29" t="inlineStr">
        <is>
          <t>P2</t>
        </is>
      </c>
      <c r="H315" s="29" t="inlineStr">
        <is>
          <t>Rule</t>
        </is>
      </c>
      <c r="I315" s="30" t="inlineStr">
        <is>
          <t>lib/features/notifications/application/providers/notifications_provider.dart:296</t>
        </is>
      </c>
      <c r="J315" s="29" t="n"/>
      <c r="K315" s="31" t="inlineStr">
        <is>
          <t>Not Run</t>
        </is>
      </c>
      <c r="L315" s="32" t="n"/>
      <c r="M315" s="33" t="n"/>
      <c r="N315" s="32" t="n"/>
      <c r="O315" s="32" t="n"/>
      <c r="P315" s="32" t="n"/>
      <c r="Q315" s="32" t="n"/>
    </row>
    <row r="316" ht="43" customHeight="1">
      <c r="A316" s="27" t="inlineStr">
        <is>
          <t>BL-NOTIF-017</t>
        </is>
      </c>
      <c r="B316" s="28" t="inlineStr">
        <is>
          <t>Notifications</t>
        </is>
      </c>
      <c r="C316" s="28" t="inlineStr">
        <is>
          <t>Push registration</t>
        </is>
      </c>
      <c r="D316" s="28" t="inlineStr">
        <is>
          <t>Device is registered for push after sign-in</t>
        </is>
      </c>
      <c r="E316" s="28" t="inlineStr">
        <is>
          <t>1. Sign in with a proxy attached
2. Look for the device registration call</t>
        </is>
      </c>
      <c r="F316" s="28" t="inlineStr">
        <is>
          <t>A registration is expected. The code never calls it and has no push SDK, so push cannot be tested yet.</t>
        </is>
      </c>
      <c r="G316" s="29" t="inlineStr">
        <is>
          <t>P0</t>
        </is>
      </c>
      <c r="H316" s="29" t="inlineStr">
        <is>
          <t>Verify gap</t>
        </is>
      </c>
      <c r="I316" s="30" t="inlineStr">
        <is>
          <t>lib/features/notifications/application/providers/notifications_provider.dart:523</t>
        </is>
      </c>
      <c r="J316" s="29" t="inlineStr">
        <is>
          <t>KB-04</t>
        </is>
      </c>
      <c r="K316" s="31" t="inlineStr">
        <is>
          <t>Not Run</t>
        </is>
      </c>
      <c r="L316" s="32" t="n"/>
      <c r="M316" s="33" t="n"/>
      <c r="N316" s="32" t="n"/>
      <c r="O316" s="32" t="n"/>
      <c r="P316" s="32" t="n"/>
      <c r="Q316" s="32" t="n"/>
    </row>
    <row r="317" ht="43" customHeight="1">
      <c r="A317" s="27" t="inlineStr">
        <is>
          <t>BL-NOTIF-018</t>
        </is>
      </c>
      <c r="B317" s="28" t="inlineStr">
        <is>
          <t>Notifications</t>
        </is>
      </c>
      <c r="C317" s="28" t="inlineStr">
        <is>
          <t>Push registration</t>
        </is>
      </c>
      <c r="D317" s="28" t="inlineStr">
        <is>
          <t>Logout always completes</t>
        </is>
      </c>
      <c r="E317" s="28" t="inlineStr">
        <is>
          <t>Log out online and offline</t>
        </is>
      </c>
      <c r="F317" s="28" t="inlineStr">
        <is>
          <t>Lands on sign-in in both cases; the stored device id is cleared.</t>
        </is>
      </c>
      <c r="G317" s="29" t="inlineStr">
        <is>
          <t>P1</t>
        </is>
      </c>
      <c r="H317" s="29" t="inlineStr">
        <is>
          <t>Rule</t>
        </is>
      </c>
      <c r="I317" s="30" t="inlineStr">
        <is>
          <t>lib/features/notifications/application/providers/notifications_provider.dart:551</t>
        </is>
      </c>
      <c r="J317" s="29" t="n"/>
      <c r="K317" s="31" t="inlineStr">
        <is>
          <t>Not Run</t>
        </is>
      </c>
      <c r="L317" s="32" t="n"/>
      <c r="M317" s="33" t="n"/>
      <c r="N317" s="32" t="n"/>
      <c r="O317" s="32" t="n"/>
      <c r="P317" s="32" t="n"/>
      <c r="Q317" s="32" t="n"/>
    </row>
    <row r="318" ht="69" customHeight="1">
      <c r="A318" s="27" t="inlineStr">
        <is>
          <t>BL-PROF-001</t>
        </is>
      </c>
      <c r="B318" s="28" t="inlineStr">
        <is>
          <t>Profile &amp; account</t>
        </is>
      </c>
      <c r="C318" s="28" t="inlineStr">
        <is>
          <t>Profile edit</t>
        </is>
      </c>
      <c r="D318" s="28" t="inlineStr">
        <is>
          <t>Name rules</t>
        </is>
      </c>
      <c r="E318" s="28" t="inlineStr">
        <is>
          <t>1. Clear the first name
2. Enter 'A'
3. Enter 'Anita2'
4. Blank the last name
5. Enter '9' as last name</t>
        </is>
      </c>
      <c r="F318" s="28" t="inlineStr">
        <is>
          <t>'Enter a name' / 'Name is too short' / 'Use letters only'; blank last name saves (removed); toast 'Fix the highlighted fields first'.</t>
        </is>
      </c>
      <c r="G318" s="29" t="inlineStr">
        <is>
          <t>P1</t>
        </is>
      </c>
      <c r="H318" s="29" t="inlineStr">
        <is>
          <t>Boundary</t>
        </is>
      </c>
      <c r="I318" s="30" t="inlineStr">
        <is>
          <t>lib/core/utils/validators.dart:103</t>
        </is>
      </c>
      <c r="J318" s="29" t="n"/>
      <c r="K318" s="31" t="inlineStr">
        <is>
          <t>Not Run</t>
        </is>
      </c>
      <c r="L318" s="32" t="n"/>
      <c r="M318" s="33" t="n"/>
      <c r="N318" s="32" t="n"/>
      <c r="O318" s="32" t="n"/>
      <c r="P318" s="32" t="n"/>
      <c r="Q318" s="32" t="n"/>
    </row>
    <row r="319" ht="43" customHeight="1">
      <c r="A319" s="27" t="inlineStr">
        <is>
          <t>BL-PROF-002</t>
        </is>
      </c>
      <c r="B319" s="28" t="inlineStr">
        <is>
          <t>Profile &amp; account</t>
        </is>
      </c>
      <c r="C319" s="28" t="inlineStr">
        <is>
          <t>Profile edit</t>
        </is>
      </c>
      <c r="D319" s="28" t="inlineStr">
        <is>
          <t>Account holder must be 18+</t>
        </is>
      </c>
      <c r="E319" s="28" t="inlineStr">
        <is>
          <t>Pick a date of birth making the user 17</t>
        </is>
      </c>
      <c r="F319" s="28" t="inlineStr">
        <is>
          <t>'Account holders must be 18 or older. Add a minor as a family member instead.'; helper otherwise shows '&lt;n&gt; years old'.</t>
        </is>
      </c>
      <c r="G319" s="29" t="inlineStr">
        <is>
          <t>P1</t>
        </is>
      </c>
      <c r="H319" s="29" t="inlineStr">
        <is>
          <t>Boundary</t>
        </is>
      </c>
      <c r="I319" s="30" t="inlineStr">
        <is>
          <t>lib/features/profile/presentation/controllers/profile_edit_controller.dart:341</t>
        </is>
      </c>
      <c r="J319" s="29" t="n"/>
      <c r="K319" s="31" t="inlineStr">
        <is>
          <t>Not Run</t>
        </is>
      </c>
      <c r="L319" s="32" t="n"/>
      <c r="M319" s="33" t="n"/>
      <c r="N319" s="32" t="n"/>
      <c r="O319" s="32" t="n"/>
      <c r="P319" s="32" t="n"/>
      <c r="Q319" s="32" t="n"/>
    </row>
    <row r="320" ht="43" customHeight="1">
      <c r="A320" s="27" t="inlineStr">
        <is>
          <t>BL-PROF-003</t>
        </is>
      </c>
      <c r="B320" s="28" t="inlineStr">
        <is>
          <t>Profile &amp; account</t>
        </is>
      </c>
      <c r="C320" s="28" t="inlineStr">
        <is>
          <t>Profile edit</t>
        </is>
      </c>
      <c r="D320" s="28" t="inlineStr">
        <is>
          <t>Allergy list rules</t>
        </is>
      </c>
      <c r="E320" s="28" t="inlineStr">
        <is>
          <t>1. Add 'Penicillin' then 'penicillin'
2. Tap Add with an empty box
3. Try to exceed 50 items</t>
        </is>
      </c>
      <c r="F320" s="28" t="inlineStr">
        <is>
          <t>'"penicillin" is already listed' / 'Type an allergy first' / 'Keep the list to 50 allergies'.</t>
        </is>
      </c>
      <c r="G320" s="29" t="inlineStr">
        <is>
          <t>P2</t>
        </is>
      </c>
      <c r="H320" s="29" t="inlineStr">
        <is>
          <t>Boundary</t>
        </is>
      </c>
      <c r="I320" s="30" t="inlineStr">
        <is>
          <t>lib/features/profile/presentation/controllers/profile_edit_controller.dart:355</t>
        </is>
      </c>
      <c r="J320" s="29" t="n"/>
      <c r="K320" s="31" t="inlineStr">
        <is>
          <t>Not Run</t>
        </is>
      </c>
      <c r="L320" s="32" t="n"/>
      <c r="M320" s="33" t="n"/>
      <c r="N320" s="32" t="n"/>
      <c r="O320" s="32" t="n"/>
      <c r="P320" s="32" t="n"/>
      <c r="Q320" s="32" t="n"/>
    </row>
    <row r="321" ht="43" customHeight="1">
      <c r="A321" s="27" t="inlineStr">
        <is>
          <t>BL-PROF-004</t>
        </is>
      </c>
      <c r="B321" s="28" t="inlineStr">
        <is>
          <t>Profile &amp; account</t>
        </is>
      </c>
      <c r="C321" s="28" t="inlineStr">
        <is>
          <t>Profile edit</t>
        </is>
      </c>
      <c r="D321" s="28" t="inlineStr">
        <is>
          <t>Only changed fields are saved</t>
        </is>
      </c>
      <c r="E321" s="28" t="inlineStr">
        <is>
          <t>1. Change one field and save (proxy attached)
2. Open Edit, change nothing, save</t>
        </is>
      </c>
      <c r="F321" s="28" t="inlineStr">
        <is>
          <t>Request contains only the changed field; the no-change save sends nothing but still says 'Profile updated'.</t>
        </is>
      </c>
      <c r="G321" s="29" t="inlineStr">
        <is>
          <t>P2</t>
        </is>
      </c>
      <c r="H321" s="29" t="inlineStr">
        <is>
          <t>Rule</t>
        </is>
      </c>
      <c r="I321" s="30" t="inlineStr">
        <is>
          <t>lib/features/profile/application/providers/profile_mutations_provider.dart:60</t>
        </is>
      </c>
      <c r="J321" s="29" t="n"/>
      <c r="K321" s="31" t="inlineStr">
        <is>
          <t>Not Run</t>
        </is>
      </c>
      <c r="L321" s="32" t="n"/>
      <c r="M321" s="33" t="n"/>
      <c r="N321" s="32" t="n"/>
      <c r="O321" s="32" t="n"/>
      <c r="P321" s="32" t="n"/>
      <c r="Q321" s="32" t="n"/>
    </row>
    <row r="322" ht="43" customHeight="1">
      <c r="A322" s="27" t="inlineStr">
        <is>
          <t>BL-PROF-005</t>
        </is>
      </c>
      <c r="B322" s="28" t="inlineStr">
        <is>
          <t>Profile &amp; account</t>
        </is>
      </c>
      <c r="C322" s="28" t="inlineStr">
        <is>
          <t>Profile edit</t>
        </is>
      </c>
      <c r="D322" s="28" t="inlineStr">
        <is>
          <t>Clearing the blood group</t>
        </is>
      </c>
      <c r="E322" s="28" t="inlineStr">
        <is>
          <t>1. Set blood group O+ and save
2. Reopen, choose 'Not known', save
3. Reopen</t>
        </is>
      </c>
      <c r="F322" s="28" t="inlineStr">
        <is>
          <t>Blood group should be cleared. The code sends nothing and keeps O+ while showing 'Profile updated'.</t>
        </is>
      </c>
      <c r="G322" s="29" t="inlineStr">
        <is>
          <t>P1</t>
        </is>
      </c>
      <c r="H322" s="29" t="inlineStr">
        <is>
          <t>Verify gap</t>
        </is>
      </c>
      <c r="I322" s="30" t="inlineStr">
        <is>
          <t>lib/features/profile/presentation/controllers/profile_edit_controller.dart:109</t>
        </is>
      </c>
      <c r="J322" s="29" t="n"/>
      <c r="K322" s="31" t="inlineStr">
        <is>
          <t>Not Run</t>
        </is>
      </c>
      <c r="L322" s="32" t="n"/>
      <c r="M322" s="33" t="n"/>
      <c r="N322" s="32" t="n"/>
      <c r="O322" s="32" t="n"/>
      <c r="P322" s="32" t="n"/>
      <c r="Q322" s="32" t="n"/>
    </row>
    <row r="323" ht="43" customHeight="1">
      <c r="A323" s="27" t="inlineStr">
        <is>
          <t>BL-PROF-006</t>
        </is>
      </c>
      <c r="B323" s="28" t="inlineStr">
        <is>
          <t>Profile &amp; account</t>
        </is>
      </c>
      <c r="C323" s="28" t="inlineStr">
        <is>
          <t>Profile edit</t>
        </is>
      </c>
      <c r="D323" s="28" t="inlineStr">
        <is>
          <t>Gender and date of birth cannot be removed once set</t>
        </is>
      </c>
      <c r="E323" s="28" t="inlineStr">
        <is>
          <t>Look for a way to clear gender or date of birth</t>
        </is>
      </c>
      <c r="F323" s="28" t="inlineStr">
        <is>
          <t>Confirm intended: no 'none' option exists.</t>
        </is>
      </c>
      <c r="G323" s="29" t="inlineStr">
        <is>
          <t>P3</t>
        </is>
      </c>
      <c r="H323" s="29" t="inlineStr">
        <is>
          <t>Verify gap</t>
        </is>
      </c>
      <c r="I323" s="30" t="inlineStr">
        <is>
          <t>lib/features/profile/presentation/components/allergy_chips_field.dart:134</t>
        </is>
      </c>
      <c r="J323" s="29" t="n"/>
      <c r="K323" s="31" t="inlineStr">
        <is>
          <t>Not Run</t>
        </is>
      </c>
      <c r="L323" s="32" t="n"/>
      <c r="M323" s="33" t="n"/>
      <c r="N323" s="32" t="n"/>
      <c r="O323" s="32" t="n"/>
      <c r="P323" s="32" t="n"/>
      <c r="Q323" s="32" t="n"/>
    </row>
    <row r="324" ht="43" customHeight="1">
      <c r="A324" s="27" t="inlineStr">
        <is>
          <t>BL-PROF-007</t>
        </is>
      </c>
      <c r="B324" s="28" t="inlineStr">
        <is>
          <t>Profile &amp; account</t>
        </is>
      </c>
      <c r="C324" s="28" t="inlineStr">
        <is>
          <t>Profile edit</t>
        </is>
      </c>
      <c r="D324" s="28" t="inlineStr">
        <is>
          <t>Email is read-only; mobile changes only through the code flow</t>
        </is>
      </c>
      <c r="E324" s="28" t="inlineStr">
        <is>
          <t>Open Edit Profile</t>
        </is>
      </c>
      <c r="F324" s="28" t="inlineStr">
        <is>
          <t>Email greyed with 'Changing the email address is not available yet.' ('No email on file' if none); Mobile has 'Change'.</t>
        </is>
      </c>
      <c r="G324" s="29" t="inlineStr">
        <is>
          <t>P2</t>
        </is>
      </c>
      <c r="H324" s="29" t="inlineStr">
        <is>
          <t>Rule</t>
        </is>
      </c>
      <c r="I324" s="30" t="inlineStr">
        <is>
          <t>lib/features/profile/presentation/screen/profile_edit_screen.dart:368</t>
        </is>
      </c>
      <c r="J324" s="29" t="n"/>
      <c r="K324" s="31" t="inlineStr">
        <is>
          <t>Not Run</t>
        </is>
      </c>
      <c r="L324" s="32" t="n"/>
      <c r="M324" s="33" t="n"/>
      <c r="N324" s="32" t="n"/>
      <c r="O324" s="32" t="n"/>
      <c r="P324" s="32" t="n"/>
      <c r="Q324" s="32" t="n"/>
    </row>
    <row r="325" ht="43" customHeight="1">
      <c r="A325" s="27" t="inlineStr">
        <is>
          <t>BL-PROF-008</t>
        </is>
      </c>
      <c r="B325" s="28" t="inlineStr">
        <is>
          <t>Profile &amp; account</t>
        </is>
      </c>
      <c r="C325" s="28" t="inlineStr">
        <is>
          <t>Profile edit</t>
        </is>
      </c>
      <c r="D325" s="28" t="inlineStr">
        <is>
          <t>Errors appear after the first Save or on leaving a field</t>
        </is>
      </c>
      <c r="E325" s="28" t="inlineStr">
        <is>
          <t>1. Type an invalid first name
2. Leave the field
3. Correct it</t>
        </is>
      </c>
      <c r="F325" s="28" t="inlineStr">
        <is>
          <t>No error while first typing; error on leaving; clears as soon as valid.</t>
        </is>
      </c>
      <c r="G325" s="29" t="inlineStr">
        <is>
          <t>P3</t>
        </is>
      </c>
      <c r="H325" s="29" t="inlineStr">
        <is>
          <t>State</t>
        </is>
      </c>
      <c r="I325" s="30" t="inlineStr">
        <is>
          <t>lib/features/profile/presentation/controllers/field_errors.dart:47</t>
        </is>
      </c>
      <c r="J325" s="29" t="n"/>
      <c r="K325" s="31" t="inlineStr">
        <is>
          <t>Not Run</t>
        </is>
      </c>
      <c r="L325" s="32" t="n"/>
      <c r="M325" s="33" t="n"/>
      <c r="N325" s="32" t="n"/>
      <c r="O325" s="32" t="n"/>
      <c r="P325" s="32" t="n"/>
      <c r="Q325" s="32" t="n"/>
    </row>
    <row r="326" ht="43" customHeight="1">
      <c r="A326" s="27" t="inlineStr">
        <is>
          <t>BL-PROF-009</t>
        </is>
      </c>
      <c r="B326" s="28" t="inlineStr">
        <is>
          <t>Profile &amp; account</t>
        </is>
      </c>
      <c r="C326" s="28" t="inlineStr">
        <is>
          <t>Profile edit</t>
        </is>
      </c>
      <c r="D326" s="28" t="inlineStr">
        <is>
          <t>Unsaved-changes guard</t>
        </is>
      </c>
      <c r="E326" s="28" t="inlineStr">
        <is>
          <t>1. Edit a field
2. Press Back</t>
        </is>
      </c>
      <c r="F326" s="28" t="inlineStr">
        <is>
          <t>'Discard your changes?'</t>
        </is>
      </c>
      <c r="G326" s="29" t="inlineStr">
        <is>
          <t>P2</t>
        </is>
      </c>
      <c r="H326" s="29" t="inlineStr">
        <is>
          <t>Rule</t>
        </is>
      </c>
      <c r="I326" s="30" t="inlineStr">
        <is>
          <t>lib/features/profile/presentation/screen/profile_edit_screen.dart:214</t>
        </is>
      </c>
      <c r="J326" s="29" t="n"/>
      <c r="K326" s="31" t="inlineStr">
        <is>
          <t>Not Run</t>
        </is>
      </c>
      <c r="L326" s="32" t="n"/>
      <c r="M326" s="33" t="n"/>
      <c r="N326" s="32" t="n"/>
      <c r="O326" s="32" t="n"/>
      <c r="P326" s="32" t="n"/>
      <c r="Q326" s="32" t="n"/>
    </row>
    <row r="327" ht="43" customHeight="1">
      <c r="A327" s="27" t="inlineStr">
        <is>
          <t>BL-PROF-010</t>
        </is>
      </c>
      <c r="B327" s="28" t="inlineStr">
        <is>
          <t>Profile &amp; account</t>
        </is>
      </c>
      <c r="C327" s="28" t="inlineStr">
        <is>
          <t>Version conflict</t>
        </is>
      </c>
      <c r="D327" s="28" t="inlineStr">
        <is>
          <t>Profile changed on another device</t>
        </is>
      </c>
      <c r="E327" s="28" t="inlineStr">
        <is>
          <t>1. Change the profile on device B
2. Save an older form on device A
3. Save again</t>
        </is>
      </c>
      <c r="F327" s="28" t="inlineStr">
        <is>
          <t>'Your details were changed elsewhere and have been reloaded. Review them and save again.'; typed edits kept; second save succeeds.</t>
        </is>
      </c>
      <c r="G327" s="29" t="inlineStr">
        <is>
          <t>P1</t>
        </is>
      </c>
      <c r="H327" s="29" t="inlineStr">
        <is>
          <t>State</t>
        </is>
      </c>
      <c r="I327" s="30" t="inlineStr">
        <is>
          <t>lib/features/profile/application/providers/profile_mutations_provider.dart:82</t>
        </is>
      </c>
      <c r="J327" s="29" t="n"/>
      <c r="K327" s="31" t="inlineStr">
        <is>
          <t>Not Run</t>
        </is>
      </c>
      <c r="L327" s="32" t="n"/>
      <c r="M327" s="33" t="n"/>
      <c r="N327" s="32" t="n"/>
      <c r="O327" s="32" t="n"/>
      <c r="P327" s="32" t="n"/>
      <c r="Q327" s="32" t="n"/>
    </row>
    <row r="328" ht="56" customHeight="1">
      <c r="A328" s="27" t="inlineStr">
        <is>
          <t>BL-PROF-011</t>
        </is>
      </c>
      <c r="B328" s="28" t="inlineStr">
        <is>
          <t>Profile &amp; account</t>
        </is>
      </c>
      <c r="C328" s="28" t="inlineStr">
        <is>
          <t>Version conflict</t>
        </is>
      </c>
      <c r="D328" s="28" t="inlineStr">
        <is>
          <t>Family member, address or contact changed elsewhere</t>
        </is>
      </c>
      <c r="E328" s="28" t="inlineStr">
        <is>
          <t>1. Edit the same record on two devices
2. Save the older one
3. Tap Save again without leaving</t>
        </is>
      </c>
      <c r="F328" s="28" t="inlineStr">
        <is>
          <t>'This record was changed elsewhere and has been reloaded. Review it and save again.' The second Save should succeed — the code keeps the old version, so it conflicts again until the record is reopened.</t>
        </is>
      </c>
      <c r="G328" s="29" t="inlineStr">
        <is>
          <t>P1</t>
        </is>
      </c>
      <c r="H328" s="29" t="inlineStr">
        <is>
          <t>Verify gap</t>
        </is>
      </c>
      <c r="I328" s="30" t="inlineStr">
        <is>
          <t>lib/features/profile/presentation/screen/dependant_edit_screen.dart:221</t>
        </is>
      </c>
      <c r="J328" s="29" t="n"/>
      <c r="K328" s="31" t="inlineStr">
        <is>
          <t>Not Run</t>
        </is>
      </c>
      <c r="L328" s="32" t="n"/>
      <c r="M328" s="33" t="n"/>
      <c r="N328" s="32" t="n"/>
      <c r="O328" s="32" t="n"/>
      <c r="P328" s="32" t="n"/>
      <c r="Q328" s="32" t="n"/>
    </row>
    <row r="329" ht="43" customHeight="1">
      <c r="A329" s="27" t="inlineStr">
        <is>
          <t>BL-PROF-012</t>
        </is>
      </c>
      <c r="B329" s="28" t="inlineStr">
        <is>
          <t>Profile &amp; account</t>
        </is>
      </c>
      <c r="C329" s="28" t="inlineStr">
        <is>
          <t>Phone change</t>
        </is>
      </c>
      <c r="D329" s="28" t="inlineStr">
        <is>
          <t>New number rules</t>
        </is>
      </c>
      <c r="E329" s="28" t="inlineStr">
        <is>
          <t>1. Enter 9 digits
2. A number starting with 5
3. Your current number</t>
        </is>
      </c>
      <c r="F329" s="28" t="inlineStr">
        <is>
          <t>'Mobile number must be 10 digits' / 'Mobile number must start with 6-9' / 'This is already your number'.</t>
        </is>
      </c>
      <c r="G329" s="29" t="inlineStr">
        <is>
          <t>P1</t>
        </is>
      </c>
      <c r="H329" s="29" t="inlineStr">
        <is>
          <t>Boundary</t>
        </is>
      </c>
      <c r="I329" s="30" t="inlineStr">
        <is>
          <t>lib/features/profile/presentation/screen/phone_change_screen.dart:58</t>
        </is>
      </c>
      <c r="J329" s="29" t="n"/>
      <c r="K329" s="31" t="inlineStr">
        <is>
          <t>Not Run</t>
        </is>
      </c>
      <c r="L329" s="32" t="n"/>
      <c r="M329" s="33" t="n"/>
      <c r="N329" s="32" t="n"/>
      <c r="O329" s="32" t="n"/>
      <c r="P329" s="32" t="n"/>
      <c r="Q329" s="32" t="n"/>
    </row>
    <row r="330" ht="30" customHeight="1">
      <c r="A330" s="27" t="inlineStr">
        <is>
          <t>BL-PROF-013</t>
        </is>
      </c>
      <c r="B330" s="28" t="inlineStr">
        <is>
          <t>Profile &amp; account</t>
        </is>
      </c>
      <c r="C330" s="28" t="inlineStr">
        <is>
          <t>Phone change</t>
        </is>
      </c>
      <c r="D330" s="28" t="inlineStr">
        <is>
          <t>Number belonging to another account</t>
        </is>
      </c>
      <c r="E330" s="28" t="inlineStr">
        <is>
          <t>Enter a number registered to someone else</t>
        </is>
      </c>
      <c r="F330" s="28" t="inlineStr">
        <is>
          <t>Server message under the field; stays on step 1.</t>
        </is>
      </c>
      <c r="G330" s="29" t="inlineStr">
        <is>
          <t>P1</t>
        </is>
      </c>
      <c r="H330" s="29" t="inlineStr">
        <is>
          <t>Error handling</t>
        </is>
      </c>
      <c r="I330" s="30" t="inlineStr">
        <is>
          <t>lib/features/profile/presentation/screen/phone_change_screen.dart:86</t>
        </is>
      </c>
      <c r="J330" s="29" t="inlineStr">
        <is>
          <t>KB-05</t>
        </is>
      </c>
      <c r="K330" s="31" t="inlineStr">
        <is>
          <t>Not Run</t>
        </is>
      </c>
      <c r="L330" s="32" t="n"/>
      <c r="M330" s="33" t="n"/>
      <c r="N330" s="32" t="n"/>
      <c r="O330" s="32" t="n"/>
      <c r="P330" s="32" t="n"/>
      <c r="Q330" s="32" t="n"/>
    </row>
    <row r="331" ht="69" customHeight="1">
      <c r="A331" s="27" t="inlineStr">
        <is>
          <t>BL-PROF-014</t>
        </is>
      </c>
      <c r="B331" s="28" t="inlineStr">
        <is>
          <t>Profile &amp; account</t>
        </is>
      </c>
      <c r="C331" s="28" t="inlineStr">
        <is>
          <t>Phone change</t>
        </is>
      </c>
      <c r="D331" s="28" t="inlineStr">
        <is>
          <t>Two codes: current number first, then the new one; nothing changes until both pass</t>
        </is>
      </c>
      <c r="E331" s="28" t="inlineStr">
        <is>
          <t>1. Send codes
2. Confirm the code sent to the current number
3. Stop before the second code
4. Check the profile
5. Complete the second code</t>
        </is>
      </c>
      <c r="F331" s="28" t="inlineStr">
        <is>
          <t>Number unchanged until step 3; then 'Number updated' and sign-in works with the new number only.</t>
        </is>
      </c>
      <c r="G331" s="29" t="inlineStr">
        <is>
          <t>P0</t>
        </is>
      </c>
      <c r="H331" s="29" t="inlineStr">
        <is>
          <t>State</t>
        </is>
      </c>
      <c r="I331" s="30" t="inlineStr">
        <is>
          <t>lib/features/profile/application/providers/phone_change_provider.dart:40</t>
        </is>
      </c>
      <c r="J331" s="29" t="inlineStr">
        <is>
          <t>KB-05</t>
        </is>
      </c>
      <c r="K331" s="31" t="inlineStr">
        <is>
          <t>Not Run</t>
        </is>
      </c>
      <c r="L331" s="32" t="n"/>
      <c r="M331" s="33" t="n"/>
      <c r="N331" s="32" t="n"/>
      <c r="O331" s="32" t="n"/>
      <c r="P331" s="32" t="n"/>
      <c r="Q331" s="32" t="n"/>
    </row>
    <row r="332" ht="43" customHeight="1">
      <c r="A332" s="27" t="inlineStr">
        <is>
          <t>BL-PROF-015</t>
        </is>
      </c>
      <c r="B332" s="28" t="inlineStr">
        <is>
          <t>Profile &amp; account</t>
        </is>
      </c>
      <c r="C332" s="28" t="inlineStr">
        <is>
          <t>Phone change</t>
        </is>
      </c>
      <c r="D332" s="28" t="inlineStr">
        <is>
          <t>Both codes within 10 minutes</t>
        </is>
      </c>
      <c r="E332" s="28" t="inlineStr">
        <is>
          <t>1. Send codes
2. Wait over 10 minutes
3. Submit a code</t>
        </is>
      </c>
      <c r="F332" s="28" t="inlineStr">
        <is>
          <t>Back to step 1: 'Both codes must be confirmed within 10 minutes. Start again.' Resending does not extend the window.</t>
        </is>
      </c>
      <c r="G332" s="29" t="inlineStr">
        <is>
          <t>P1</t>
        </is>
      </c>
      <c r="H332" s="29" t="inlineStr">
        <is>
          <t>Boundary</t>
        </is>
      </c>
      <c r="I332" s="30" t="inlineStr">
        <is>
          <t>lib/features/profile/application/states/phone_change_state.dart:35</t>
        </is>
      </c>
      <c r="J332" s="29" t="inlineStr">
        <is>
          <t>KB-05</t>
        </is>
      </c>
      <c r="K332" s="31" t="inlineStr">
        <is>
          <t>Not Run</t>
        </is>
      </c>
      <c r="L332" s="32" t="n"/>
      <c r="M332" s="33" t="n"/>
      <c r="N332" s="32" t="n"/>
      <c r="O332" s="32" t="n"/>
      <c r="P332" s="32" t="n"/>
      <c r="Q332" s="32" t="n"/>
    </row>
    <row r="333" ht="43" customHeight="1">
      <c r="A333" s="27" t="inlineStr">
        <is>
          <t>BL-PROF-016</t>
        </is>
      </c>
      <c r="B333" s="28" t="inlineStr">
        <is>
          <t>Profile &amp; account</t>
        </is>
      </c>
      <c r="C333" s="28" t="inlineStr">
        <is>
          <t>Phone change</t>
        </is>
      </c>
      <c r="D333" s="28" t="inlineStr">
        <is>
          <t>Wrong and exhausted codes</t>
        </is>
      </c>
      <c r="E333" s="28" t="inlineStr">
        <is>
          <t>Enter wrong codes repeatedly</t>
        </is>
      </c>
      <c r="F333" s="28" t="inlineStr">
        <is>
          <t>'N attempts left'; when exhausted or expired, back to the number step.</t>
        </is>
      </c>
      <c r="G333" s="29" t="inlineStr">
        <is>
          <t>P1</t>
        </is>
      </c>
      <c r="H333" s="29" t="inlineStr">
        <is>
          <t>Error handling</t>
        </is>
      </c>
      <c r="I333" s="30" t="inlineStr">
        <is>
          <t>lib/features/profile/application/providers/phone_change_provider.dart:109</t>
        </is>
      </c>
      <c r="J333" s="29" t="inlineStr">
        <is>
          <t>KB-05</t>
        </is>
      </c>
      <c r="K333" s="31" t="inlineStr">
        <is>
          <t>Not Run</t>
        </is>
      </c>
      <c r="L333" s="32" t="n"/>
      <c r="M333" s="33" t="n"/>
      <c r="N333" s="32" t="n"/>
      <c r="O333" s="32" t="n"/>
      <c r="P333" s="32" t="n"/>
      <c r="Q333" s="32" t="n"/>
    </row>
    <row r="334" ht="43" customHeight="1">
      <c r="A334" s="27" t="inlineStr">
        <is>
          <t>BL-PROF-017</t>
        </is>
      </c>
      <c r="B334" s="28" t="inlineStr">
        <is>
          <t>Profile &amp; account</t>
        </is>
      </c>
      <c r="C334" s="28" t="inlineStr">
        <is>
          <t>Phone change</t>
        </is>
      </c>
      <c r="D334" s="28" t="inlineStr">
        <is>
          <t>Resend timer after a wrong code</t>
        </is>
      </c>
      <c r="E334" s="28" t="inlineStr">
        <is>
          <t>1. Wait for 'Resend code' to become available
2. Enter a wrong code</t>
        </is>
      </c>
      <c r="F334" s="28" t="inlineStr">
        <is>
          <t>'Resend code' should stay available. The code restarts the full 'Resend in' countdown and clears the box after every failed attempt.</t>
        </is>
      </c>
      <c r="G334" s="29" t="inlineStr">
        <is>
          <t>P2</t>
        </is>
      </c>
      <c r="H334" s="29" t="inlineStr">
        <is>
          <t>Verify gap</t>
        </is>
      </c>
      <c r="I334" s="30" t="inlineStr">
        <is>
          <t>lib/features/profile/presentation/screen/phone_change_screen.dart:313</t>
        </is>
      </c>
      <c r="J334" s="29" t="inlineStr">
        <is>
          <t>KB-05</t>
        </is>
      </c>
      <c r="K334" s="31" t="inlineStr">
        <is>
          <t>Not Run</t>
        </is>
      </c>
      <c r="L334" s="32" t="n"/>
      <c r="M334" s="33" t="n"/>
      <c r="N334" s="32" t="n"/>
      <c r="O334" s="32" t="n"/>
      <c r="P334" s="32" t="n"/>
      <c r="Q334" s="32" t="n"/>
    </row>
    <row r="335" ht="43" customHeight="1">
      <c r="A335" s="27" t="inlineStr">
        <is>
          <t>BL-PROF-018</t>
        </is>
      </c>
      <c r="B335" s="28" t="inlineStr">
        <is>
          <t>Profile &amp; account</t>
        </is>
      </c>
      <c r="C335" s="28" t="inlineStr">
        <is>
          <t>Phone change</t>
        </is>
      </c>
      <c r="D335" s="28" t="inlineStr">
        <is>
          <t>Leaving mid-way</t>
        </is>
      </c>
      <c r="E335" s="28" t="inlineStr">
        <is>
          <t>Press Back on a code step</t>
        </is>
      </c>
      <c r="F335" s="28" t="inlineStr">
        <is>
          <t>'Stop changing your number? Your current number stays in place…'</t>
        </is>
      </c>
      <c r="G335" s="29" t="inlineStr">
        <is>
          <t>P2</t>
        </is>
      </c>
      <c r="H335" s="29" t="inlineStr">
        <is>
          <t>Rule</t>
        </is>
      </c>
      <c r="I335" s="30" t="inlineStr">
        <is>
          <t>lib/features/profile/presentation/screen/phone_change_screen.dart:148</t>
        </is>
      </c>
      <c r="J335" s="29" t="n"/>
      <c r="K335" s="31" t="inlineStr">
        <is>
          <t>Not Run</t>
        </is>
      </c>
      <c r="L335" s="32" t="n"/>
      <c r="M335" s="33" t="n"/>
      <c r="N335" s="32" t="n"/>
      <c r="O335" s="32" t="n"/>
      <c r="P335" s="32" t="n"/>
      <c r="Q335" s="32" t="n"/>
    </row>
    <row r="336" ht="43" customHeight="1">
      <c r="A336" s="27" t="inlineStr">
        <is>
          <t>BL-PROF-019</t>
        </is>
      </c>
      <c r="B336" s="28" t="inlineStr">
        <is>
          <t>Profile &amp; account</t>
        </is>
      </c>
      <c r="C336" s="28" t="inlineStr">
        <is>
          <t>Alternate phone</t>
        </is>
      </c>
      <c r="D336" s="28" t="inlineStr">
        <is>
          <t>Saved at once, no code</t>
        </is>
      </c>
      <c r="E336" s="28" t="inlineStr">
        <is>
          <t>1. Add an alternate number
2. Remove it</t>
        </is>
      </c>
      <c r="F336" s="28" t="inlineStr">
        <is>
          <t>'Alternate number saved'; removal asks to confirm, then 'Alternate number removed' and 'Not set'.</t>
        </is>
      </c>
      <c r="G336" s="29" t="inlineStr">
        <is>
          <t>P2</t>
        </is>
      </c>
      <c r="H336" s="29" t="inlineStr">
        <is>
          <t>Rule</t>
        </is>
      </c>
      <c r="I336" s="30" t="inlineStr">
        <is>
          <t>lib/features/profile/presentation/screen/profile_edit_screen.dart:186</t>
        </is>
      </c>
      <c r="J336" s="29" t="n"/>
      <c r="K336" s="31" t="inlineStr">
        <is>
          <t>Not Run</t>
        </is>
      </c>
      <c r="L336" s="32" t="n"/>
      <c r="M336" s="33" t="n"/>
      <c r="N336" s="32" t="n"/>
      <c r="O336" s="32" t="n"/>
      <c r="P336" s="32" t="n"/>
      <c r="Q336" s="32" t="n"/>
    </row>
    <row r="337" ht="43" customHeight="1">
      <c r="A337" s="27" t="inlineStr">
        <is>
          <t>BL-PROF-020</t>
        </is>
      </c>
      <c r="B337" s="28" t="inlineStr">
        <is>
          <t>Profile &amp; account</t>
        </is>
      </c>
      <c r="C337" s="28" t="inlineStr">
        <is>
          <t>Alternate phone</t>
        </is>
      </c>
      <c r="D337" s="28" t="inlineStr">
        <is>
          <t>Alternate number equal to the main number</t>
        </is>
      </c>
      <c r="E337" s="28" t="inlineStr">
        <is>
          <t>Enter your own sign-in number as the alternate</t>
        </is>
      </c>
      <c r="F337" s="28" t="inlineStr">
        <is>
          <t>Should be refused. The app has no check of its own; see whether the server refuses it.</t>
        </is>
      </c>
      <c r="G337" s="29" t="inlineStr">
        <is>
          <t>P3</t>
        </is>
      </c>
      <c r="H337" s="29" t="inlineStr">
        <is>
          <t>Verify gap</t>
        </is>
      </c>
      <c r="I337" s="30" t="inlineStr">
        <is>
          <t>lib/features/profile/presentation/screen/profile_edit_screen.dart:696</t>
        </is>
      </c>
      <c r="J337" s="29" t="n"/>
      <c r="K337" s="31" t="inlineStr">
        <is>
          <t>Not Run</t>
        </is>
      </c>
      <c r="L337" s="32" t="n"/>
      <c r="M337" s="33" t="n"/>
      <c r="N337" s="32" t="n"/>
      <c r="O337" s="32" t="n"/>
      <c r="P337" s="32" t="n"/>
      <c r="Q337" s="32" t="n"/>
    </row>
    <row r="338" ht="56" customHeight="1">
      <c r="A338" s="27" t="inlineStr">
        <is>
          <t>BL-PROF-021</t>
        </is>
      </c>
      <c r="B338" s="28" t="inlineStr">
        <is>
          <t>Profile &amp; account</t>
        </is>
      </c>
      <c r="C338" s="28" t="inlineStr">
        <is>
          <t>Addresses</t>
        </is>
      </c>
      <c r="D338" s="28" t="inlineStr">
        <is>
          <t>Required fields and PIN code</t>
        </is>
      </c>
      <c r="E338" s="28" t="inlineStr">
        <is>
          <t>1. Save an empty address
2. PIN 012345
3. PIN with 5 digits
4. Line 1 'abc'</t>
        </is>
      </c>
      <c r="F338" s="28" t="inlineStr">
        <is>
          <t>'Choose a label', 'Enter the street address' / 'Address looks too short', 'Enter a city', 'Enter a state', 'Enter a valid PIN code' / 'PIN code must be 6 digits'.</t>
        </is>
      </c>
      <c r="G338" s="29" t="inlineStr">
        <is>
          <t>P1</t>
        </is>
      </c>
      <c r="H338" s="29" t="inlineStr">
        <is>
          <t>Boundary</t>
        </is>
      </c>
      <c r="I338" s="30" t="inlineStr">
        <is>
          <t>lib/features/profile/presentation/screen/addresses_screen.dart:426</t>
        </is>
      </c>
      <c r="J338" s="29" t="n"/>
      <c r="K338" s="31" t="inlineStr">
        <is>
          <t>Not Run</t>
        </is>
      </c>
      <c r="L338" s="32" t="n"/>
      <c r="M338" s="33" t="n"/>
      <c r="N338" s="32" t="n"/>
      <c r="O338" s="32" t="n"/>
      <c r="P338" s="32" t="n"/>
      <c r="Q338" s="32" t="n"/>
    </row>
    <row r="339" ht="43" customHeight="1">
      <c r="A339" s="27" t="inlineStr">
        <is>
          <t>BL-PROF-022</t>
        </is>
      </c>
      <c r="B339" s="28" t="inlineStr">
        <is>
          <t>Profile &amp; account</t>
        </is>
      </c>
      <c r="C339" s="28" t="inlineStr">
        <is>
          <t>Addresses</t>
        </is>
      </c>
      <c r="D339" s="28" t="inlineStr">
        <is>
          <t>Exactly one default</t>
        </is>
      </c>
      <c r="E339" s="28" t="inlineStr">
        <is>
          <t>1. Make a second address default
2. Edit the default address</t>
        </is>
      </c>
      <c r="F339" s="28" t="inlineStr">
        <is>
          <t>Badge moves; '&lt;label&gt; is now your default address'; the default's toggle is locked: 'Already your default…'.</t>
        </is>
      </c>
      <c r="G339" s="29" t="inlineStr">
        <is>
          <t>P1</t>
        </is>
      </c>
      <c r="H339" s="29" t="inlineStr">
        <is>
          <t>State</t>
        </is>
      </c>
      <c r="I339" s="30" t="inlineStr">
        <is>
          <t>lib/features/profile/application/providers/profile_mutations_provider.dart:284</t>
        </is>
      </c>
      <c r="J339" s="29" t="n"/>
      <c r="K339" s="31" t="inlineStr">
        <is>
          <t>Not Run</t>
        </is>
      </c>
      <c r="L339" s="32" t="n"/>
      <c r="M339" s="33" t="n"/>
      <c r="N339" s="32" t="n"/>
      <c r="O339" s="32" t="n"/>
      <c r="P339" s="32" t="n"/>
      <c r="Q339" s="32" t="n"/>
    </row>
    <row r="340" ht="30" customHeight="1">
      <c r="A340" s="27" t="inlineStr">
        <is>
          <t>BL-PROF-023</t>
        </is>
      </c>
      <c r="B340" s="28" t="inlineStr">
        <is>
          <t>Profile &amp; account</t>
        </is>
      </c>
      <c r="C340" s="28" t="inlineStr">
        <is>
          <t>Addresses</t>
        </is>
      </c>
      <c r="D340" s="28" t="inlineStr">
        <is>
          <t>Removing the default</t>
        </is>
      </c>
      <c r="E340" s="28" t="inlineStr">
        <is>
          <t>Remove the default address</t>
        </is>
      </c>
      <c r="F340" s="28" t="inlineStr">
        <is>
          <t>Warning that home visits and invoices fall back to another address; another address may become default.</t>
        </is>
      </c>
      <c r="G340" s="29" t="inlineStr">
        <is>
          <t>P2</t>
        </is>
      </c>
      <c r="H340" s="29" t="inlineStr">
        <is>
          <t>State</t>
        </is>
      </c>
      <c r="I340" s="30" t="inlineStr">
        <is>
          <t>lib/features/profile/presentation/screen/addresses_screen.dart:196</t>
        </is>
      </c>
      <c r="J340" s="29" t="n"/>
      <c r="K340" s="31" t="inlineStr">
        <is>
          <t>Not Run</t>
        </is>
      </c>
      <c r="L340" s="32" t="n"/>
      <c r="M340" s="33" t="n"/>
      <c r="N340" s="32" t="n"/>
      <c r="O340" s="32" t="n"/>
      <c r="P340" s="32" t="n"/>
      <c r="Q340" s="32" t="n"/>
    </row>
    <row r="341" ht="43" customHeight="1">
      <c r="A341" s="27" t="inlineStr">
        <is>
          <t>BL-PROF-024</t>
        </is>
      </c>
      <c r="B341" s="28" t="inlineStr">
        <is>
          <t>Profile &amp; account</t>
        </is>
      </c>
      <c r="C341" s="28" t="inlineStr">
        <is>
          <t>Addresses</t>
        </is>
      </c>
      <c r="D341" s="28" t="inlineStr">
        <is>
          <t>Editing keeps data the form does not show</t>
        </is>
      </c>
      <c r="E341" s="28" t="inlineStr">
        <is>
          <t>1. Use an address that has a contact number or a custom label (set via the backend)
2. Edit any field and save</t>
        </is>
      </c>
      <c r="F341" s="28" t="inlineStr">
        <is>
          <t>Contact number and label should be kept. The code sends an empty phone on every save and replaces an unknown label with 'Other'.</t>
        </is>
      </c>
      <c r="G341" s="29" t="inlineStr">
        <is>
          <t>P2</t>
        </is>
      </c>
      <c r="H341" s="29" t="inlineStr">
        <is>
          <t>Verify gap</t>
        </is>
      </c>
      <c r="I341" s="30" t="inlineStr">
        <is>
          <t>lib/features/profile/infrastructure/data_sources/remote/contacts_api.dart:73</t>
        </is>
      </c>
      <c r="J341" s="29" t="n"/>
      <c r="K341" s="31" t="inlineStr">
        <is>
          <t>Not Run</t>
        </is>
      </c>
      <c r="L341" s="32" t="n"/>
      <c r="M341" s="33" t="n"/>
      <c r="N341" s="32" t="n"/>
      <c r="O341" s="32" t="n"/>
      <c r="P341" s="32" t="n"/>
      <c r="Q341" s="32" t="n"/>
    </row>
    <row r="342" ht="30" customHeight="1">
      <c r="A342" s="27" t="inlineStr">
        <is>
          <t>BL-PROF-025</t>
        </is>
      </c>
      <c r="B342" s="28" t="inlineStr">
        <is>
          <t>Profile &amp; account</t>
        </is>
      </c>
      <c r="C342" s="28" t="inlineStr">
        <is>
          <t>Addresses</t>
        </is>
      </c>
      <c r="D342" s="28" t="inlineStr">
        <is>
          <t>Sheet closes only on success</t>
        </is>
      </c>
      <c r="E342" s="28" t="inlineStr">
        <is>
          <t>Save while offline</t>
        </is>
      </c>
      <c r="F342" s="28" t="inlineStr">
        <is>
          <t>Sheet stays open with the error; no success toast.</t>
        </is>
      </c>
      <c r="G342" s="29" t="inlineStr">
        <is>
          <t>P2</t>
        </is>
      </c>
      <c r="H342" s="29" t="inlineStr">
        <is>
          <t>Error handling</t>
        </is>
      </c>
      <c r="I342" s="30" t="inlineStr">
        <is>
          <t>lib/features/profile/presentation/screen/addresses_screen.dart:475</t>
        </is>
      </c>
      <c r="J342" s="29" t="n"/>
      <c r="K342" s="31" t="inlineStr">
        <is>
          <t>Not Run</t>
        </is>
      </c>
      <c r="L342" s="32" t="n"/>
      <c r="M342" s="33" t="n"/>
      <c r="N342" s="32" t="n"/>
      <c r="O342" s="32" t="n"/>
      <c r="P342" s="32" t="n"/>
      <c r="Q342" s="32" t="n"/>
    </row>
    <row r="343" ht="43" customHeight="1">
      <c r="A343" s="27" t="inlineStr">
        <is>
          <t>BL-PROF-026</t>
        </is>
      </c>
      <c r="B343" s="28" t="inlineStr">
        <is>
          <t>Profile &amp; account</t>
        </is>
      </c>
      <c r="C343" s="28" t="inlineStr">
        <is>
          <t>Emergency contacts</t>
        </is>
      </c>
      <c r="D343" s="28" t="inlineStr">
        <is>
          <t>Required fields</t>
        </is>
      </c>
      <c r="E343" s="28" t="inlineStr">
        <is>
          <t>Add a contact with nothing filled</t>
        </is>
      </c>
      <c r="F343" s="28" t="inlineStr">
        <is>
          <t>'Enter a name', 'Choose a relation', 'Enter your mobile number'.</t>
        </is>
      </c>
      <c r="G343" s="29" t="inlineStr">
        <is>
          <t>P1</t>
        </is>
      </c>
      <c r="H343" s="29" t="inlineStr">
        <is>
          <t>Boundary</t>
        </is>
      </c>
      <c r="I343" s="30" t="inlineStr">
        <is>
          <t>lib/features/profile/presentation/screen/emergency_contacts_screen.dart:449</t>
        </is>
      </c>
      <c r="J343" s="29" t="n"/>
      <c r="K343" s="31" t="inlineStr">
        <is>
          <t>Not Run</t>
        </is>
      </c>
      <c r="L343" s="32" t="n"/>
      <c r="M343" s="33" t="n"/>
      <c r="N343" s="32" t="n"/>
      <c r="O343" s="32" t="n"/>
      <c r="P343" s="32" t="n"/>
      <c r="Q343" s="32" t="n"/>
    </row>
    <row r="344" ht="43" customHeight="1">
      <c r="A344" s="27" t="inlineStr">
        <is>
          <t>BL-PROF-027</t>
        </is>
      </c>
      <c r="B344" s="28" t="inlineStr">
        <is>
          <t>Profile &amp; account</t>
        </is>
      </c>
      <c r="C344" s="28" t="inlineStr">
        <is>
          <t>Emergency contacts</t>
        </is>
      </c>
      <c r="D344" s="28" t="inlineStr">
        <is>
          <t>Exactly one primary</t>
        </is>
      </c>
      <c r="E344" s="28" t="inlineStr">
        <is>
          <t>1. Make another contact primary
2. Edit the primary</t>
        </is>
      </c>
      <c r="F344" s="28" t="inlineStr">
        <is>
          <t>'&lt;name&gt; is now your primary contact'; single badge; primary's toggle locked.</t>
        </is>
      </c>
      <c r="G344" s="29" t="inlineStr">
        <is>
          <t>P1</t>
        </is>
      </c>
      <c r="H344" s="29" t="inlineStr">
        <is>
          <t>State</t>
        </is>
      </c>
      <c r="I344" s="30" t="inlineStr">
        <is>
          <t>lib/features/profile/application/providers/profile_mutations_provider.dart:361</t>
        </is>
      </c>
      <c r="J344" s="29" t="n"/>
      <c r="K344" s="31" t="inlineStr">
        <is>
          <t>Not Run</t>
        </is>
      </c>
      <c r="L344" s="32" t="n"/>
      <c r="M344" s="33" t="n"/>
      <c r="N344" s="32" t="n"/>
      <c r="O344" s="32" t="n"/>
      <c r="P344" s="32" t="n"/>
      <c r="Q344" s="32" t="n"/>
    </row>
    <row r="345" ht="43" customHeight="1">
      <c r="A345" s="27" t="inlineStr">
        <is>
          <t>BL-PROF-028</t>
        </is>
      </c>
      <c r="B345" s="28" t="inlineStr">
        <is>
          <t>Profile &amp; account</t>
        </is>
      </c>
      <c r="C345" s="28" t="inlineStr">
        <is>
          <t>Emergency contacts</t>
        </is>
      </c>
      <c r="D345" s="28" t="inlineStr">
        <is>
          <t>Removing the primary contact</t>
        </is>
      </c>
      <c r="E345" s="28" t="inlineStr">
        <is>
          <t>Remove the primary contact</t>
        </is>
      </c>
      <c r="F345" s="28" t="inlineStr">
        <is>
          <t>Warning that the hospital will have no one to call; '&lt;name&gt; removed'.</t>
        </is>
      </c>
      <c r="G345" s="29" t="inlineStr">
        <is>
          <t>P2</t>
        </is>
      </c>
      <c r="H345" s="29" t="inlineStr">
        <is>
          <t>State</t>
        </is>
      </c>
      <c r="I345" s="30" t="inlineStr">
        <is>
          <t>lib/features/profile/presentation/screen/emergency_contacts_screen.dart:218</t>
        </is>
      </c>
      <c r="J345" s="29" t="n"/>
      <c r="K345" s="31" t="inlineStr">
        <is>
          <t>Not Run</t>
        </is>
      </c>
      <c r="L345" s="32" t="n"/>
      <c r="M345" s="33" t="n"/>
      <c r="N345" s="32" t="n"/>
      <c r="O345" s="32" t="n"/>
      <c r="P345" s="32" t="n"/>
      <c r="Q345" s="32" t="n"/>
    </row>
    <row r="346" ht="43" customHeight="1">
      <c r="A346" s="27" t="inlineStr">
        <is>
          <t>BL-PROF-029</t>
        </is>
      </c>
      <c r="B346" s="28" t="inlineStr">
        <is>
          <t>Profile &amp; account</t>
        </is>
      </c>
      <c r="C346" s="28" t="inlineStr">
        <is>
          <t>Sessions</t>
        </is>
      </c>
      <c r="D346" s="28" t="inlineStr">
        <is>
          <t>Other-device summary</t>
        </is>
      </c>
      <c r="E346" s="28" t="inlineStr">
        <is>
          <t>Be signed in on 0, 1 and 2 other devices</t>
        </is>
      </c>
      <c r="F346" s="28" t="inlineStr">
        <is>
          <t>'Only this device is signed in.' / 'One other device…' / '2 other devices…'; this device is badged and has no sign-out button.</t>
        </is>
      </c>
      <c r="G346" s="29" t="inlineStr">
        <is>
          <t>P2</t>
        </is>
      </c>
      <c r="H346" s="29" t="inlineStr">
        <is>
          <t>Calculation</t>
        </is>
      </c>
      <c r="I346" s="30" t="inlineStr">
        <is>
          <t>lib/features/profile/presentation/screen/sessions_screen.dart:90</t>
        </is>
      </c>
      <c r="J346" s="29" t="n"/>
      <c r="K346" s="31" t="inlineStr">
        <is>
          <t>Not Run</t>
        </is>
      </c>
      <c r="L346" s="32" t="n"/>
      <c r="M346" s="33" t="n"/>
      <c r="N346" s="32" t="n"/>
      <c r="O346" s="32" t="n"/>
      <c r="P346" s="32" t="n"/>
      <c r="Q346" s="32" t="n"/>
    </row>
    <row r="347" ht="30" customHeight="1">
      <c r="A347" s="27" t="inlineStr">
        <is>
          <t>BL-PROF-030</t>
        </is>
      </c>
      <c r="B347" s="28" t="inlineStr">
        <is>
          <t>Profile &amp; account</t>
        </is>
      </c>
      <c r="C347" s="28" t="inlineStr">
        <is>
          <t>Sessions</t>
        </is>
      </c>
      <c r="D347" s="28" t="inlineStr">
        <is>
          <t>Sign out one device / everywhere</t>
        </is>
      </c>
      <c r="E347" s="28" t="inlineStr">
        <is>
          <t>1. Sign out another device
2. Use 'Log Out Everywhere'</t>
        </is>
      </c>
      <c r="F347" s="28" t="inlineStr">
        <is>
          <t>That device is signed out and leaves the list; everywhere ends all sessions including this one.</t>
        </is>
      </c>
      <c r="G347" s="29" t="inlineStr">
        <is>
          <t>P0</t>
        </is>
      </c>
      <c r="H347" s="29" t="inlineStr">
        <is>
          <t>State</t>
        </is>
      </c>
      <c r="I347" s="30" t="inlineStr">
        <is>
          <t>lib/features/profile/presentation/screen/sessions_screen.dart:157</t>
        </is>
      </c>
      <c r="J347" s="29" t="n"/>
      <c r="K347" s="31" t="inlineStr">
        <is>
          <t>Not Run</t>
        </is>
      </c>
      <c r="L347" s="32" t="n"/>
      <c r="M347" s="33" t="n"/>
      <c r="N347" s="32" t="n"/>
      <c r="O347" s="32" t="n"/>
      <c r="P347" s="32" t="n"/>
      <c r="Q347" s="32" t="n"/>
    </row>
    <row r="348" ht="43" customHeight="1">
      <c r="A348" s="27" t="inlineStr">
        <is>
          <t>BL-PROF-031</t>
        </is>
      </c>
      <c r="B348" s="28" t="inlineStr">
        <is>
          <t>Profile &amp; account</t>
        </is>
      </c>
      <c r="C348" s="28" t="inlineStr">
        <is>
          <t>Data export</t>
        </is>
      </c>
      <c r="D348" s="28" t="inlineStr">
        <is>
          <t>One open request at a time</t>
        </is>
      </c>
      <c r="E348" s="28" t="inlineStr">
        <is>
          <t>1. Request a copy
2. Reopen the screen</t>
        </is>
      </c>
      <c r="F348" s="28" t="inlineStr">
        <is>
          <t>'Request received — we will notify you when it is ready'; the Request button is replaced by 'Request &lt;no&gt; is … You can ask again once it is finished.'</t>
        </is>
      </c>
      <c r="G348" s="29" t="inlineStr">
        <is>
          <t>P1</t>
        </is>
      </c>
      <c r="H348" s="29" t="inlineStr">
        <is>
          <t>Rule</t>
        </is>
      </c>
      <c r="I348" s="30" t="inlineStr">
        <is>
          <t>lib/features/profile/presentation/screen/data_export_screen.dart:239</t>
        </is>
      </c>
      <c r="J348" s="29" t="n"/>
      <c r="K348" s="31" t="inlineStr">
        <is>
          <t>Not Run</t>
        </is>
      </c>
      <c r="L348" s="32" t="n"/>
      <c r="M348" s="33" t="n"/>
      <c r="N348" s="32" t="n"/>
      <c r="O348" s="32" t="n"/>
      <c r="P348" s="32" t="n"/>
      <c r="Q348" s="32" t="n"/>
    </row>
    <row r="349" ht="30" customHeight="1">
      <c r="A349" s="27" t="inlineStr">
        <is>
          <t>BL-PROF-032</t>
        </is>
      </c>
      <c r="B349" s="28" t="inlineStr">
        <is>
          <t>Profile &amp; account</t>
        </is>
      </c>
      <c r="C349" s="28" t="inlineStr">
        <is>
          <t>Data export</t>
        </is>
      </c>
      <c r="D349" s="28" t="inlineStr">
        <is>
          <t>Request already made on another device</t>
        </is>
      </c>
      <c r="E349" s="28" t="inlineStr">
        <is>
          <t>1. Request on device B
2. Tap Request on device A's older screen</t>
        </is>
      </c>
      <c r="F349" s="28" t="inlineStr">
        <is>
          <t>'A copy of your data is already being prepared'; the open request appears.</t>
        </is>
      </c>
      <c r="G349" s="29" t="inlineStr">
        <is>
          <t>P2</t>
        </is>
      </c>
      <c r="H349" s="29" t="inlineStr">
        <is>
          <t>Error handling</t>
        </is>
      </c>
      <c r="I349" s="30" t="inlineStr">
        <is>
          <t>lib/features/profile/presentation/screen/data_export_screen.dart:148</t>
        </is>
      </c>
      <c r="J349" s="29" t="n"/>
      <c r="K349" s="31" t="inlineStr">
        <is>
          <t>Not Run</t>
        </is>
      </c>
      <c r="L349" s="32" t="n"/>
      <c r="M349" s="33" t="n"/>
      <c r="N349" s="32" t="n"/>
      <c r="O349" s="32" t="n"/>
      <c r="P349" s="32" t="n"/>
      <c r="Q349" s="32" t="n"/>
    </row>
    <row r="350" ht="30" customHeight="1">
      <c r="A350" s="27" t="inlineStr">
        <is>
          <t>BL-PROF-033</t>
        </is>
      </c>
      <c r="B350" s="28" t="inlineStr">
        <is>
          <t>Profile &amp; account</t>
        </is>
      </c>
      <c r="C350" s="28" t="inlineStr">
        <is>
          <t>Data export</t>
        </is>
      </c>
      <c r="D350" s="28" t="inlineStr">
        <is>
          <t>Download only when ready</t>
        </is>
      </c>
      <c r="E350" s="28" t="inlineStr">
        <is>
          <t>1. Open requests in each status
2. Tap Download on a ready one and on an expired one</t>
        </is>
      </c>
      <c r="F350" s="28" t="inlineStr">
        <is>
          <t>Download only for Ready; expired: 'This file is no longer available. Request a new copy.'</t>
        </is>
      </c>
      <c r="G350" s="29" t="inlineStr">
        <is>
          <t>P1</t>
        </is>
      </c>
      <c r="H350" s="29" t="inlineStr">
        <is>
          <t>Rule</t>
        </is>
      </c>
      <c r="I350" s="30" t="inlineStr">
        <is>
          <t>lib/features/profile/presentation/screen/data_export_screen.dart:157</t>
        </is>
      </c>
      <c r="J350" s="29" t="inlineStr">
        <is>
          <t>KB-01</t>
        </is>
      </c>
      <c r="K350" s="31" t="inlineStr">
        <is>
          <t>Not Run</t>
        </is>
      </c>
      <c r="L350" s="32" t="n"/>
      <c r="M350" s="33" t="n"/>
      <c r="N350" s="32" t="n"/>
      <c r="O350" s="32" t="n"/>
      <c r="P350" s="32" t="n"/>
      <c r="Q350" s="32" t="n"/>
    </row>
    <row r="351" ht="43" customHeight="1">
      <c r="A351" s="27" t="inlineStr">
        <is>
          <t>BL-PROF-034</t>
        </is>
      </c>
      <c r="B351" s="28" t="inlineStr">
        <is>
          <t>Profile &amp; account</t>
        </is>
      </c>
      <c r="C351" s="28" t="inlineStr">
        <is>
          <t>Deletion &amp; reactivation</t>
        </is>
      </c>
      <c r="D351" s="28" t="inlineStr">
        <is>
          <t>Request deletion</t>
        </is>
      </c>
      <c r="E351" s="28" t="inlineStr">
        <is>
          <t>Profile &gt; Delete account &gt; give a reason &gt; confirm</t>
        </is>
      </c>
      <c r="F351" s="28" t="inlineStr">
        <is>
          <t>Dialog names the 30 days and that other devices are logged out; 'Deletion requested (DSR-…)'; Delete row replaced by the red card.</t>
        </is>
      </c>
      <c r="G351" s="29" t="inlineStr">
        <is>
          <t>P0</t>
        </is>
      </c>
      <c r="H351" s="29" t="inlineStr">
        <is>
          <t>State</t>
        </is>
      </c>
      <c r="I351" s="30" t="inlineStr">
        <is>
          <t>lib/features/profile/presentation/screen/profile_screen.dart:342</t>
        </is>
      </c>
      <c r="J351" s="29" t="n"/>
      <c r="K351" s="31" t="inlineStr">
        <is>
          <t>Not Run</t>
        </is>
      </c>
      <c r="L351" s="32" t="n"/>
      <c r="M351" s="33" t="n"/>
      <c r="N351" s="32" t="n"/>
      <c r="O351" s="32" t="n"/>
      <c r="P351" s="32" t="n"/>
      <c r="Q351" s="32" t="n"/>
    </row>
    <row r="352" ht="30" customHeight="1">
      <c r="A352" s="27" t="inlineStr">
        <is>
          <t>BL-PROF-035</t>
        </is>
      </c>
      <c r="B352" s="28" t="inlineStr">
        <is>
          <t>Profile &amp; account</t>
        </is>
      </c>
      <c r="C352" s="28" t="inlineStr">
        <is>
          <t>Deletion &amp; reactivation</t>
        </is>
      </c>
      <c r="D352" s="28" t="inlineStr">
        <is>
          <t>Card states the erase date</t>
        </is>
      </c>
      <c r="E352" s="28" t="inlineStr">
        <is>
          <t>View Profile while deletion is pending</t>
        </is>
      </c>
      <c r="F352" s="28" t="inlineStr">
        <is>
          <t>'Request &lt;no&gt; · your account and data are erased on &lt;date&gt; unless you reactivate before then.'</t>
        </is>
      </c>
      <c r="G352" s="29" t="inlineStr">
        <is>
          <t>P1</t>
        </is>
      </c>
      <c r="H352" s="29" t="inlineStr">
        <is>
          <t>Data mapping</t>
        </is>
      </c>
      <c r="I352" s="30" t="inlineStr">
        <is>
          <t>lib/features/profile/presentation/screen/profile_screen.dart:578</t>
        </is>
      </c>
      <c r="J352" s="29" t="n"/>
      <c r="K352" s="31" t="inlineStr">
        <is>
          <t>Not Run</t>
        </is>
      </c>
      <c r="L352" s="32" t="n"/>
      <c r="M352" s="33" t="n"/>
      <c r="N352" s="32" t="n"/>
      <c r="O352" s="32" t="n"/>
      <c r="P352" s="32" t="n"/>
      <c r="Q352" s="32" t="n"/>
    </row>
    <row r="353" ht="43" customHeight="1">
      <c r="A353" s="27" t="inlineStr">
        <is>
          <t>BL-PROF-036</t>
        </is>
      </c>
      <c r="B353" s="28" t="inlineStr">
        <is>
          <t>Profile &amp; account</t>
        </is>
      </c>
      <c r="C353" s="28" t="inlineStr">
        <is>
          <t>Deletion &amp; reactivation</t>
        </is>
      </c>
      <c r="D353" s="28" t="inlineStr">
        <is>
          <t>Withdraw or reactivate</t>
        </is>
      </c>
      <c r="E353" s="28" t="inlineStr">
        <is>
          <t>Tap 'Withdraw Request' and confirm (or 'Reactivate Account')</t>
        </is>
      </c>
      <c r="F353" s="28" t="inlineStr">
        <is>
          <t>'Deletion request withdrawn' / 'Your account is active again'; card gone; Delete row back.</t>
        </is>
      </c>
      <c r="G353" s="29" t="inlineStr">
        <is>
          <t>P0</t>
        </is>
      </c>
      <c r="H353" s="29" t="inlineStr">
        <is>
          <t>State</t>
        </is>
      </c>
      <c r="I353" s="30" t="inlineStr">
        <is>
          <t>lib/features/profile/application/providers/account_deletion_provider.dart:66</t>
        </is>
      </c>
      <c r="J353" s="29" t="n"/>
      <c r="K353" s="31" t="inlineStr">
        <is>
          <t>Not Run</t>
        </is>
      </c>
      <c r="L353" s="32" t="n"/>
      <c r="M353" s="33" t="n"/>
      <c r="N353" s="32" t="n"/>
      <c r="O353" s="32" t="n"/>
      <c r="P353" s="32" t="n"/>
      <c r="Q353" s="32" t="n"/>
    </row>
    <row r="354" ht="43" customHeight="1">
      <c r="A354" s="27" t="inlineStr">
        <is>
          <t>BL-PROF-037</t>
        </is>
      </c>
      <c r="B354" s="28" t="inlineStr">
        <is>
          <t>Profile &amp; account</t>
        </is>
      </c>
      <c r="C354" s="28" t="inlineStr">
        <is>
          <t>Deletion &amp; reactivation</t>
        </is>
      </c>
      <c r="D354" s="28" t="inlineStr">
        <is>
          <t>No duplicate requests</t>
        </is>
      </c>
      <c r="E354" s="28" t="inlineStr">
        <is>
          <t>1. Double-tap confirm
2. Fail offline and retry
3. Request from two devices</t>
        </is>
      </c>
      <c r="F354" s="28" t="inlineStr">
        <is>
          <t>One request; the second device gets a clear message.</t>
        </is>
      </c>
      <c r="G354" s="29" t="inlineStr">
        <is>
          <t>P1</t>
        </is>
      </c>
      <c r="H354" s="29" t="inlineStr">
        <is>
          <t>Rule</t>
        </is>
      </c>
      <c r="I354" s="30" t="inlineStr">
        <is>
          <t>lib/features/profile/application/providers/account_deletion_provider.dart:31</t>
        </is>
      </c>
      <c r="J354" s="29" t="n"/>
      <c r="K354" s="31" t="inlineStr">
        <is>
          <t>Not Run</t>
        </is>
      </c>
      <c r="L354" s="32" t="n"/>
      <c r="M354" s="33" t="n"/>
      <c r="N354" s="32" t="n"/>
      <c r="O354" s="32" t="n"/>
      <c r="P354" s="32" t="n"/>
      <c r="Q354" s="32" t="n"/>
    </row>
    <row r="355" ht="43" customHeight="1">
      <c r="A355" s="27" t="inlineStr">
        <is>
          <t>BL-PROF-038</t>
        </is>
      </c>
      <c r="B355" s="28" t="inlineStr">
        <is>
          <t>Profile &amp; account</t>
        </is>
      </c>
      <c r="C355" s="28" t="inlineStr">
        <is>
          <t>Policy re-consent</t>
        </is>
      </c>
      <c r="D355" s="28" t="inlineStr">
        <is>
          <t>Prompt appears when a newer policy version is published</t>
        </is>
      </c>
      <c r="E355" s="28" t="inlineStr">
        <is>
          <t>1. Publish a newer Terms version
2. Refresh Profile</t>
        </is>
      </c>
      <c r="F355" s="28" t="inlineStr">
        <is>
          <t>Amber card: 'Our policies have changed' (or 'Please accept our policies' for a first acceptance) listing the documents.</t>
        </is>
      </c>
      <c r="G355" s="29" t="inlineStr">
        <is>
          <t>P1</t>
        </is>
      </c>
      <c r="H355" s="29" t="inlineStr">
        <is>
          <t>Rule</t>
        </is>
      </c>
      <c r="I355" s="30" t="inlineStr">
        <is>
          <t>lib/features/profile/application/providers/profile_provider.dart:206</t>
        </is>
      </c>
      <c r="J355" s="29" t="n"/>
      <c r="K355" s="31" t="inlineStr">
        <is>
          <t>Not Run</t>
        </is>
      </c>
      <c r="L355" s="32" t="n"/>
      <c r="M355" s="33" t="n"/>
      <c r="N355" s="32" t="n"/>
      <c r="O355" s="32" t="n"/>
      <c r="P355" s="32" t="n"/>
      <c r="Q355" s="32" t="n"/>
    </row>
    <row r="356" ht="43" customHeight="1">
      <c r="A356" s="27" t="inlineStr">
        <is>
          <t>BL-PROF-039</t>
        </is>
      </c>
      <c r="B356" s="28" t="inlineStr">
        <is>
          <t>Profile &amp; account</t>
        </is>
      </c>
      <c r="C356" s="28" t="inlineStr">
        <is>
          <t>Policy re-consent</t>
        </is>
      </c>
      <c r="D356" s="28" t="inlineStr">
        <is>
          <t>Accept records every pending document</t>
        </is>
      </c>
      <c r="E356" s="28" t="inlineStr">
        <is>
          <t>Tap Accept online and offline</t>
        </is>
      </c>
      <c r="F356" s="28" t="inlineStr">
        <is>
          <t>'Thanks — your acceptance is recorded' and the card disappears; offline shows the failure and keeps what is still pending.</t>
        </is>
      </c>
      <c r="G356" s="29" t="inlineStr">
        <is>
          <t>P1</t>
        </is>
      </c>
      <c r="H356" s="29" t="inlineStr">
        <is>
          <t>State</t>
        </is>
      </c>
      <c r="I356" s="30" t="inlineStr">
        <is>
          <t>lib/features/profile/application/providers/profile_mutations_provider.dart:428</t>
        </is>
      </c>
      <c r="J356" s="29" t="n"/>
      <c r="K356" s="31" t="inlineStr">
        <is>
          <t>Not Run</t>
        </is>
      </c>
      <c r="L356" s="32" t="n"/>
      <c r="M356" s="33" t="n"/>
      <c r="N356" s="32" t="n"/>
      <c r="O356" s="32" t="n"/>
      <c r="P356" s="32" t="n"/>
      <c r="Q356" s="32" t="n"/>
    </row>
    <row r="357" ht="30" customHeight="1">
      <c r="A357" s="27" t="inlineStr">
        <is>
          <t>BL-PROF-040</t>
        </is>
      </c>
      <c r="B357" s="28" t="inlineStr">
        <is>
          <t>Profile &amp; account</t>
        </is>
      </c>
      <c r="C357" s="28" t="inlineStr">
        <is>
          <t>Policy re-consent</t>
        </is>
      </c>
      <c r="D357" s="28" t="inlineStr">
        <is>
          <t>Re-consent is not enforced</t>
        </is>
      </c>
      <c r="E357" s="28" t="inlineStr">
        <is>
          <t>With a pending policy, use the rest of the app and book</t>
        </is>
      </c>
      <c r="F357" s="28" t="inlineStr">
        <is>
          <t>Confirm intended: the prompt lives only on the Profile tab and nothing is blocked.</t>
        </is>
      </c>
      <c r="G357" s="29" t="inlineStr">
        <is>
          <t>P1</t>
        </is>
      </c>
      <c r="H357" s="29" t="inlineStr">
        <is>
          <t>Verify gap</t>
        </is>
      </c>
      <c r="I357" s="30" t="inlineStr">
        <is>
          <t>lib/features/profile/presentation/screen/profile_screen.dart:130</t>
        </is>
      </c>
      <c r="J357" s="29" t="n"/>
      <c r="K357" s="31" t="inlineStr">
        <is>
          <t>Not Run</t>
        </is>
      </c>
      <c r="L357" s="32" t="n"/>
      <c r="M357" s="33" t="n"/>
      <c r="N357" s="32" t="n"/>
      <c r="O357" s="32" t="n"/>
      <c r="P357" s="32" t="n"/>
      <c r="Q357" s="32" t="n"/>
    </row>
    <row r="358" ht="43" customHeight="1">
      <c r="A358" s="27" t="inlineStr">
        <is>
          <t>BL-FAM-001</t>
        </is>
      </c>
      <c r="B358" s="28" t="inlineStr">
        <is>
          <t>Family members</t>
        </is>
      </c>
      <c r="C358" s="28" t="inlineStr">
        <is>
          <t>Form rules</t>
        </is>
      </c>
      <c r="D358" s="28" t="inlineStr">
        <is>
          <t>Name and relation are required; 'self' is never offered</t>
        </is>
      </c>
      <c r="E358" s="28" t="inlineStr">
        <is>
          <t>Add a member with an empty form</t>
        </is>
      </c>
      <c r="F358" s="28" t="inlineStr">
        <is>
          <t>'Enter a name', 'Choose how they are related to you'; relations: Spouse, Child, Parent, Sibling, Other.</t>
        </is>
      </c>
      <c r="G358" s="29" t="inlineStr">
        <is>
          <t>P1</t>
        </is>
      </c>
      <c r="H358" s="29" t="inlineStr">
        <is>
          <t>Boundary</t>
        </is>
      </c>
      <c r="I358" s="30" t="inlineStr">
        <is>
          <t>lib/features/profile/presentation/controllers/dependant_form_controller.dart:352</t>
        </is>
      </c>
      <c r="J358" s="29" t="n"/>
      <c r="K358" s="31" t="inlineStr">
        <is>
          <t>Not Run</t>
        </is>
      </c>
      <c r="L358" s="32" t="n"/>
      <c r="M358" s="33" t="n"/>
      <c r="N358" s="32" t="n"/>
      <c r="O358" s="32" t="n"/>
      <c r="P358" s="32" t="n"/>
      <c r="Q358" s="32" t="n"/>
    </row>
    <row r="359" ht="43" customHeight="1">
      <c r="A359" s="27" t="inlineStr">
        <is>
          <t>BL-FAM-002</t>
        </is>
      </c>
      <c r="B359" s="28" t="inlineStr">
        <is>
          <t>Family members</t>
        </is>
      </c>
      <c r="C359" s="28" t="inlineStr">
        <is>
          <t>Form rules</t>
        </is>
      </c>
      <c r="D359" s="28" t="inlineStr">
        <is>
          <t>Date of birth is required by the app</t>
        </is>
      </c>
      <c r="E359" s="28" t="inlineStr">
        <is>
          <t>1. Leave the date empty
2. Pick today</t>
        </is>
      </c>
      <c r="F359" s="28" t="inlineStr">
        <is>
          <t>'Select a date of birth'; today is accepted ('0 years old'). Confirm requiring it is intended — the API treats it as optional.</t>
        </is>
      </c>
      <c r="G359" s="29" t="inlineStr">
        <is>
          <t>P2</t>
        </is>
      </c>
      <c r="H359" s="29" t="inlineStr">
        <is>
          <t>Verify gap</t>
        </is>
      </c>
      <c r="I359" s="30" t="inlineStr">
        <is>
          <t>lib/features/profile/presentation/controllers/dependant_form_controller.dart:367</t>
        </is>
      </c>
      <c r="J359" s="29" t="n"/>
      <c r="K359" s="31" t="inlineStr">
        <is>
          <t>Not Run</t>
        </is>
      </c>
      <c r="L359" s="32" t="n"/>
      <c r="M359" s="33" t="n"/>
      <c r="N359" s="32" t="n"/>
      <c r="O359" s="32" t="n"/>
      <c r="P359" s="32" t="n"/>
      <c r="Q359" s="32" t="n"/>
    </row>
    <row r="360" ht="43" customHeight="1">
      <c r="A360" s="27" t="inlineStr">
        <is>
          <t>BL-FAM-003</t>
        </is>
      </c>
      <c r="B360" s="28" t="inlineStr">
        <is>
          <t>Family members</t>
        </is>
      </c>
      <c r="C360" s="28" t="inlineStr">
        <is>
          <t>Form rules</t>
        </is>
      </c>
      <c r="D360" s="28" t="inlineStr">
        <is>
          <t>Optional mobile must be valid; blood group can be cleared</t>
        </is>
      </c>
      <c r="E360" s="28" t="inlineStr">
        <is>
          <t>1. Enter 3 digits as their mobile
2. Clear the blood group on an existing member</t>
        </is>
      </c>
      <c r="F360" s="28" t="inlineStr">
        <is>
          <t>'Enter a valid mobile number'; blood group shows 'Not recorded' after saving.</t>
        </is>
      </c>
      <c r="G360" s="29" t="inlineStr">
        <is>
          <t>P2</t>
        </is>
      </c>
      <c r="H360" s="29" t="inlineStr">
        <is>
          <t>Boundary</t>
        </is>
      </c>
      <c r="I360" s="30" t="inlineStr">
        <is>
          <t>lib/features/profile/presentation/controllers/dependant_form_controller.dart:377</t>
        </is>
      </c>
      <c r="J360" s="29" t="n"/>
      <c r="K360" s="31" t="inlineStr">
        <is>
          <t>Not Run</t>
        </is>
      </c>
      <c r="L360" s="32" t="n"/>
      <c r="M360" s="33" t="n"/>
      <c r="N360" s="32" t="n"/>
      <c r="O360" s="32" t="n"/>
      <c r="P360" s="32" t="n"/>
      <c r="Q360" s="32" t="n"/>
    </row>
    <row r="361" ht="43" customHeight="1">
      <c r="A361" s="27" t="inlineStr">
        <is>
          <t>BL-FAM-004</t>
        </is>
      </c>
      <c r="B361" s="28" t="inlineStr">
        <is>
          <t>Family members</t>
        </is>
      </c>
      <c r="C361" s="28" t="inlineStr">
        <is>
          <t>Form rules</t>
        </is>
      </c>
      <c r="D361" s="28" t="inlineStr">
        <is>
          <t>New member is usable everywhere at once</t>
        </is>
      </c>
      <c r="E361" s="28" t="inlineStr">
        <is>
          <t>1. Add a member
2. Open the booking patient picker and the record upload form</t>
        </is>
      </c>
      <c r="F361" s="28" t="inlineStr">
        <is>
          <t>'&lt;name&gt; added to your family'; selectable in both immediately.</t>
        </is>
      </c>
      <c r="G361" s="29" t="inlineStr">
        <is>
          <t>P0</t>
        </is>
      </c>
      <c r="H361" s="29" t="inlineStr">
        <is>
          <t>State</t>
        </is>
      </c>
      <c r="I361" s="30" t="inlineStr">
        <is>
          <t>lib/features/profile/application/providers/profile_mutations_provider.dart:208</t>
        </is>
      </c>
      <c r="J361" s="29" t="n"/>
      <c r="K361" s="31" t="inlineStr">
        <is>
          <t>Not Run</t>
        </is>
      </c>
      <c r="L361" s="32" t="n"/>
      <c r="M361" s="33" t="n"/>
      <c r="N361" s="32" t="n"/>
      <c r="O361" s="32" t="n"/>
      <c r="P361" s="32" t="n"/>
      <c r="Q361" s="32" t="n"/>
    </row>
    <row r="362" ht="30" customHeight="1">
      <c r="A362" s="27" t="inlineStr">
        <is>
          <t>BL-FAM-005</t>
        </is>
      </c>
      <c r="B362" s="28" t="inlineStr">
        <is>
          <t>Family members</t>
        </is>
      </c>
      <c r="C362" s="28" t="inlineStr">
        <is>
          <t>Form rules</t>
        </is>
      </c>
      <c r="D362" s="28" t="inlineStr">
        <is>
          <t>Derived relation label, age and Minor badge</t>
        </is>
      </c>
      <c r="E362" s="28" t="inlineStr">
        <is>
          <t>Add a girl aged 10 as Child and a man as Parent</t>
        </is>
      </c>
      <c r="F362" s="28" t="inlineStr">
        <is>
          <t>'Daughter · 10 years · Female' with 'Minor'; 'Father · …' without.</t>
        </is>
      </c>
      <c r="G362" s="29" t="inlineStr">
        <is>
          <t>P2</t>
        </is>
      </c>
      <c r="H362" s="29" t="inlineStr">
        <is>
          <t>Calculation</t>
        </is>
      </c>
      <c r="I362" s="30" t="inlineStr">
        <is>
          <t>lib/features/profile/domain/entities/person.dart:166</t>
        </is>
      </c>
      <c r="J362" s="29" t="n"/>
      <c r="K362" s="31" t="inlineStr">
        <is>
          <t>Not Run</t>
        </is>
      </c>
      <c r="L362" s="32" t="n"/>
      <c r="M362" s="33" t="n"/>
      <c r="N362" s="32" t="n"/>
      <c r="O362" s="32" t="n"/>
      <c r="P362" s="32" t="n"/>
      <c r="Q362" s="32" t="n"/>
    </row>
    <row r="363" ht="30" customHeight="1">
      <c r="A363" s="27" t="inlineStr">
        <is>
          <t>BL-FAM-006</t>
        </is>
      </c>
      <c r="B363" s="28" t="inlineStr">
        <is>
          <t>Family members</t>
        </is>
      </c>
      <c r="C363" s="28" t="inlineStr">
        <is>
          <t>Form rules</t>
        </is>
      </c>
      <c r="D363" s="28" t="inlineStr">
        <is>
          <t>Your own record</t>
        </is>
      </c>
      <c r="E363" s="28" t="inlineStr">
        <is>
          <t>1. Open Family members
2. Tap your own card</t>
        </is>
      </c>
      <c r="F363" s="28" t="inlineStr">
        <is>
          <t>Listed first with 'You' and 'Edit in Profile'; relation cannot be changed.</t>
        </is>
      </c>
      <c r="G363" s="29" t="inlineStr">
        <is>
          <t>P2</t>
        </is>
      </c>
      <c r="H363" s="29" t="inlineStr">
        <is>
          <t>Rule</t>
        </is>
      </c>
      <c r="I363" s="30" t="inlineStr">
        <is>
          <t>lib/features/profile/presentation/screen/dependants_screen.dart:100</t>
        </is>
      </c>
      <c r="J363" s="29" t="n"/>
      <c r="K363" s="31" t="inlineStr">
        <is>
          <t>Not Run</t>
        </is>
      </c>
      <c r="L363" s="32" t="n"/>
      <c r="M363" s="33" t="n"/>
      <c r="N363" s="32" t="n"/>
      <c r="O363" s="32" t="n"/>
      <c r="P363" s="32" t="n"/>
      <c r="Q363" s="32" t="n"/>
    </row>
    <row r="364" ht="43" customHeight="1">
      <c r="A364" s="27" t="inlineStr">
        <is>
          <t>BL-FAM-007</t>
        </is>
      </c>
      <c r="B364" s="28" t="inlineStr">
        <is>
          <t>Family members</t>
        </is>
      </c>
      <c r="C364" s="28" t="inlineStr">
        <is>
          <t>Delete rules</t>
        </is>
      </c>
      <c r="D364" s="28" t="inlineStr">
        <is>
          <t>Remove a family member</t>
        </is>
      </c>
      <c r="E364" s="28" t="inlineStr">
        <is>
          <t>1. Open a member
2. Remove from Family
3. Confirm</t>
        </is>
      </c>
      <c r="F364" s="28" t="inlineStr">
        <is>
          <t>'Remove &lt;name&gt;? … Their past appointments stay in your history. This cannot be undone.'; '&lt;name&gt; removed'.</t>
        </is>
      </c>
      <c r="G364" s="29" t="inlineStr">
        <is>
          <t>P1</t>
        </is>
      </c>
      <c r="H364" s="29" t="inlineStr">
        <is>
          <t>State</t>
        </is>
      </c>
      <c r="I364" s="30" t="inlineStr">
        <is>
          <t>lib/features/profile/presentation/screen/dependant_edit_screen.dart:531</t>
        </is>
      </c>
      <c r="J364" s="29" t="n"/>
      <c r="K364" s="31" t="inlineStr">
        <is>
          <t>Not Run</t>
        </is>
      </c>
      <c r="L364" s="32" t="n"/>
      <c r="M364" s="33" t="n"/>
      <c r="N364" s="32" t="n"/>
      <c r="O364" s="32" t="n"/>
      <c r="P364" s="32" t="n"/>
      <c r="Q364" s="32" t="n"/>
    </row>
    <row r="365" ht="43" customHeight="1">
      <c r="A365" s="27" t="inlineStr">
        <is>
          <t>BL-FAM-008</t>
        </is>
      </c>
      <c r="B365" s="28" t="inlineStr">
        <is>
          <t>Family members</t>
        </is>
      </c>
      <c r="C365" s="28" t="inlineStr">
        <is>
          <t>Delete rules</t>
        </is>
      </c>
      <c r="D365" s="28" t="inlineStr">
        <is>
          <t>Member with upcoming appointments cannot be removed</t>
        </is>
      </c>
      <c r="E365" s="28" t="inlineStr">
        <is>
          <t>Remove a member who has an upcoming booking</t>
        </is>
      </c>
      <c r="F365" s="28" t="inlineStr">
        <is>
          <t>'&lt;name&gt; has upcoming appointments. Cancel them before removing them from your family.'; member stays.</t>
        </is>
      </c>
      <c r="G365" s="29" t="inlineStr">
        <is>
          <t>P0</t>
        </is>
      </c>
      <c r="H365" s="29" t="inlineStr">
        <is>
          <t>Rule</t>
        </is>
      </c>
      <c r="I365" s="30" t="inlineStr">
        <is>
          <t>lib/features/profile/presentation/screen/dependant_edit_screen.dart:264</t>
        </is>
      </c>
      <c r="J365" s="29" t="n"/>
      <c r="K365" s="31" t="inlineStr">
        <is>
          <t>Not Run</t>
        </is>
      </c>
      <c r="L365" s="32" t="n"/>
      <c r="M365" s="33" t="n"/>
      <c r="N365" s="32" t="n"/>
      <c r="O365" s="32" t="n"/>
      <c r="P365" s="32" t="n"/>
      <c r="Q365" s="32" t="n"/>
    </row>
    <row r="366" ht="43" customHeight="1">
      <c r="A366" s="27" t="inlineStr">
        <is>
          <t>BL-FAM-009</t>
        </is>
      </c>
      <c r="B366" s="28" t="inlineStr">
        <is>
          <t>Family members</t>
        </is>
      </c>
      <c r="C366" s="28" t="inlineStr">
        <is>
          <t>Delete rules</t>
        </is>
      </c>
      <c r="D366" s="28" t="inlineStr">
        <is>
          <t>You cannot remove yourself</t>
        </is>
      </c>
      <c r="E366" s="28" t="inlineStr">
        <is>
          <t>Look for Remove on your own record</t>
        </is>
      </c>
      <c r="F366" s="28" t="inlineStr">
        <is>
          <t>Not offered ('Your own record cannot be removed.' if forced).</t>
        </is>
      </c>
      <c r="G366" s="29" t="inlineStr">
        <is>
          <t>P1</t>
        </is>
      </c>
      <c r="H366" s="29" t="inlineStr">
        <is>
          <t>Rule</t>
        </is>
      </c>
      <c r="I366" s="30" t="inlineStr">
        <is>
          <t>lib/features/profile/presentation/screen/dependant_edit_screen.dart:268</t>
        </is>
      </c>
      <c r="J366" s="29" t="n"/>
      <c r="K366" s="31" t="inlineStr">
        <is>
          <t>Not Run</t>
        </is>
      </c>
      <c r="L366" s="32" t="n"/>
      <c r="M366" s="33" t="n"/>
      <c r="N366" s="32" t="n"/>
      <c r="O366" s="32" t="n"/>
      <c r="P366" s="32" t="n"/>
      <c r="Q366" s="32" t="n"/>
    </row>
    <row r="367" ht="30" customHeight="1">
      <c r="A367" s="27" t="inlineStr">
        <is>
          <t>BL-FAM-010</t>
        </is>
      </c>
      <c r="B367" s="28" t="inlineStr">
        <is>
          <t>Family members</t>
        </is>
      </c>
      <c r="C367" s="28" t="inlineStr">
        <is>
          <t>Release to own account</t>
        </is>
      </c>
      <c r="D367" s="28" t="inlineStr">
        <is>
          <t>Offered only for adults</t>
        </is>
      </c>
      <c r="E367" s="28" t="inlineStr">
        <is>
          <t>Open a member aged 17 years 11 months and one aged 18</t>
        </is>
      </c>
      <c r="F367" s="28" t="inlineStr">
        <is>
          <t>No card for 17; for 18: '&lt;name&gt; is 18 — they can have their own account'.</t>
        </is>
      </c>
      <c r="G367" s="29" t="inlineStr">
        <is>
          <t>P1</t>
        </is>
      </c>
      <c r="H367" s="29" t="inlineStr">
        <is>
          <t>Boundary</t>
        </is>
      </c>
      <c r="I367" s="30" t="inlineStr">
        <is>
          <t>lib/features/profile/domain/entities/person.dart:69</t>
        </is>
      </c>
      <c r="J367" s="29" t="n"/>
      <c r="K367" s="31" t="inlineStr">
        <is>
          <t>Not Run</t>
        </is>
      </c>
      <c r="L367" s="32" t="n"/>
      <c r="M367" s="33" t="n"/>
      <c r="N367" s="32" t="n"/>
      <c r="O367" s="32" t="n"/>
      <c r="P367" s="32" t="n"/>
      <c r="Q367" s="32" t="n"/>
    </row>
    <row r="368" ht="30" customHeight="1">
      <c r="A368" s="27" t="inlineStr">
        <is>
          <t>BL-FAM-011</t>
        </is>
      </c>
      <c r="B368" s="28" t="inlineStr">
        <is>
          <t>Family members</t>
        </is>
      </c>
      <c r="C368" s="28" t="inlineStr">
        <is>
          <t>Release to own account</t>
        </is>
      </c>
      <c r="D368" s="28" t="inlineStr">
        <is>
          <t>Release moves the person and their history</t>
        </is>
      </c>
      <c r="E368" s="28" t="inlineStr">
        <is>
          <t>1. Enter their mobile
2. Enter the code</t>
        </is>
      </c>
      <c r="F368" s="28" t="inlineStr">
        <is>
          <t>'&lt;name&gt; now has their own Medibook account'; gone from Family members and the booking picker.</t>
        </is>
      </c>
      <c r="G368" s="29" t="inlineStr">
        <is>
          <t>P1</t>
        </is>
      </c>
      <c r="H368" s="29" t="inlineStr">
        <is>
          <t>State</t>
        </is>
      </c>
      <c r="I368" s="30" t="inlineStr">
        <is>
          <t>lib/features/profile/application/providers/release_provider.dart:54</t>
        </is>
      </c>
      <c r="J368" s="29" t="inlineStr">
        <is>
          <t>KB-05</t>
        </is>
      </c>
      <c r="K368" s="31" t="inlineStr">
        <is>
          <t>Not Run</t>
        </is>
      </c>
      <c r="L368" s="32" t="n"/>
      <c r="M368" s="33" t="n"/>
      <c r="N368" s="32" t="n"/>
      <c r="O368" s="32" t="n"/>
      <c r="P368" s="32" t="n"/>
      <c r="Q368" s="32" t="n"/>
    </row>
    <row r="369" ht="43" customHeight="1">
      <c r="A369" s="27" t="inlineStr">
        <is>
          <t>BL-FAM-012</t>
        </is>
      </c>
      <c r="B369" s="28" t="inlineStr">
        <is>
          <t>Family members</t>
        </is>
      </c>
      <c r="C369" s="28" t="inlineStr">
        <is>
          <t>Release to own account</t>
        </is>
      </c>
      <c r="D369" s="28" t="inlineStr">
        <is>
          <t>Refusals are explained</t>
        </is>
      </c>
      <c r="E369" s="28" t="inlineStr">
        <is>
          <t>Try with an under-age member (server side) and a member that cannot be moved</t>
        </is>
      </c>
      <c r="F369" s="28" t="inlineStr">
        <is>
          <t>'They must be 18 or older to have their own account.' / 'This record cannot be moved right now. Try again later.'</t>
        </is>
      </c>
      <c r="G369" s="29" t="inlineStr">
        <is>
          <t>P2</t>
        </is>
      </c>
      <c r="H369" s="29" t="inlineStr">
        <is>
          <t>Error handling</t>
        </is>
      </c>
      <c r="I369" s="30" t="inlineStr">
        <is>
          <t>lib/features/profile/presentation/screen/dependant_edit_screen.dart:745</t>
        </is>
      </c>
      <c r="J369" s="29" t="inlineStr">
        <is>
          <t>KB-05</t>
        </is>
      </c>
      <c r="K369" s="31" t="inlineStr">
        <is>
          <t>Not Run</t>
        </is>
      </c>
      <c r="L369" s="32" t="n"/>
      <c r="M369" s="33" t="n"/>
      <c r="N369" s="32" t="n"/>
      <c r="O369" s="32" t="n"/>
      <c r="P369" s="32" t="n"/>
      <c r="Q369" s="32" t="n"/>
    </row>
    <row r="370" ht="43" customHeight="1">
      <c r="A370" s="27" t="inlineStr">
        <is>
          <t>BL-FAM-013</t>
        </is>
      </c>
      <c r="B370" s="28" t="inlineStr">
        <is>
          <t>Family members</t>
        </is>
      </c>
      <c r="C370" s="28" t="inlineStr">
        <is>
          <t>Release to own account</t>
        </is>
      </c>
      <c r="D370" s="28" t="inlineStr">
        <is>
          <t>Changing the number after sending a code</t>
        </is>
      </c>
      <c r="E370" s="28" t="inlineStr">
        <is>
          <t>1. Send a code to number A
2. Tap 'Change number'
3. Send to number B</t>
        </is>
      </c>
      <c r="F370" s="28" t="inlineStr">
        <is>
          <t>A code should go to B. The code reuses the same request key, so the second send may be refused ('already being processed').</t>
        </is>
      </c>
      <c r="G370" s="29" t="inlineStr">
        <is>
          <t>P2</t>
        </is>
      </c>
      <c r="H370" s="29" t="inlineStr">
        <is>
          <t>Verify gap</t>
        </is>
      </c>
      <c r="I370" s="30" t="inlineStr">
        <is>
          <t>lib/features/profile/application/providers/release_provider.dart:40</t>
        </is>
      </c>
      <c r="J370" s="29" t="inlineStr">
        <is>
          <t>KB-05</t>
        </is>
      </c>
      <c r="K370" s="31" t="inlineStr">
        <is>
          <t>Not Run</t>
        </is>
      </c>
      <c r="L370" s="32" t="n"/>
      <c r="M370" s="33" t="n"/>
      <c r="N370" s="32" t="n"/>
      <c r="O370" s="32" t="n"/>
      <c r="P370" s="32" t="n"/>
      <c r="Q370" s="32" t="n"/>
    </row>
    <row r="371" ht="43" customHeight="1">
      <c r="A371" s="27" t="inlineStr">
        <is>
          <t>BL-INS-001</t>
        </is>
      </c>
      <c r="B371" s="28" t="inlineStr">
        <is>
          <t>Insurance</t>
        </is>
      </c>
      <c r="C371" s="28" t="inlineStr">
        <is>
          <t>Form rules</t>
        </is>
      </c>
      <c r="D371" s="28" t="inlineStr">
        <is>
          <t>Insurer, policy number and holder</t>
        </is>
      </c>
      <c r="E371" s="28" t="inlineStr">
        <is>
          <t>1. Save with insurer empty
2. Policy number 'AB12'
3. Holder 'Anita 2'</t>
        </is>
      </c>
      <c r="F371" s="28" t="inlineStr">
        <is>
          <t>'Enter the insurer' / 'That looks too short for a policy number' / 'Use letters only'. Holder is prefilled with your name.</t>
        </is>
      </c>
      <c r="G371" s="29" t="inlineStr">
        <is>
          <t>P1</t>
        </is>
      </c>
      <c r="H371" s="29" t="inlineStr">
        <is>
          <t>Boundary</t>
        </is>
      </c>
      <c r="I371" s="30" t="inlineStr">
        <is>
          <t>lib/features/insurance/application/providers/insurance_provider.dart:492</t>
        </is>
      </c>
      <c r="J371" s="29" t="n"/>
      <c r="K371" s="31" t="inlineStr">
        <is>
          <t>Not Run</t>
        </is>
      </c>
      <c r="L371" s="32" t="n"/>
      <c r="M371" s="33" t="n"/>
      <c r="N371" s="32" t="n"/>
      <c r="O371" s="32" t="n"/>
      <c r="P371" s="32" t="n"/>
      <c r="Q371" s="32" t="n"/>
    </row>
    <row r="372" ht="43" customHeight="1">
      <c r="A372" s="27" t="inlineStr">
        <is>
          <t>BL-INS-002</t>
        </is>
      </c>
      <c r="B372" s="28" t="inlineStr">
        <is>
          <t>Insurance</t>
        </is>
      </c>
      <c r="C372" s="28" t="inlineStr">
        <is>
          <t>Form rules</t>
        </is>
      </c>
      <c r="D372" s="28" t="inlineStr">
        <is>
          <t>Sum insured between ₹1,000 and ₹10,00,00,000 (optional)</t>
        </is>
      </c>
      <c r="E372" s="28" t="inlineStr">
        <is>
          <t>1. Enter 999
2. Enter 100000001
3. Enter 500000</t>
        </is>
      </c>
      <c r="F372" s="28" t="inlineStr">
        <is>
          <t>'Sum insured looks too low…' / 'That is higher than any retail policy. Check for an extra zero.' / helper 'Cover: ₹5,00,000'.</t>
        </is>
      </c>
      <c r="G372" s="29" t="inlineStr">
        <is>
          <t>P2</t>
        </is>
      </c>
      <c r="H372" s="29" t="inlineStr">
        <is>
          <t>Boundary</t>
        </is>
      </c>
      <c r="I372" s="30" t="inlineStr">
        <is>
          <t>lib/features/insurance/application/providers/insurance_provider.dart:500</t>
        </is>
      </c>
      <c r="J372" s="29" t="n"/>
      <c r="K372" s="31" t="inlineStr">
        <is>
          <t>Not Run</t>
        </is>
      </c>
      <c r="L372" s="32" t="n"/>
      <c r="M372" s="33" t="n"/>
      <c r="N372" s="32" t="n"/>
      <c r="O372" s="32" t="n"/>
      <c r="P372" s="32" t="n"/>
      <c r="Q372" s="32" t="n"/>
    </row>
    <row r="373" ht="43" customHeight="1">
      <c r="A373" s="27" t="inlineStr">
        <is>
          <t>BL-INS-003</t>
        </is>
      </c>
      <c r="B373" s="28" t="inlineStr">
        <is>
          <t>Insurance</t>
        </is>
      </c>
      <c r="C373" s="28" t="inlineStr">
        <is>
          <t>Form rules</t>
        </is>
      </c>
      <c r="D373" s="28" t="inlineStr">
        <is>
          <t>Cover dates</t>
        </is>
      </c>
      <c r="E373" s="28" t="inlineStr">
        <is>
          <t>1. Leave dates empty
2. Set the end before the start
3. Same day for both</t>
        </is>
      </c>
      <c r="F373" s="28" t="inlineStr">
        <is>
          <t>'Select the date cover started' / 'Select the date cover ends' / 'Cover cannot end before it starts'; same day is allowed.</t>
        </is>
      </c>
      <c r="G373" s="29" t="inlineStr">
        <is>
          <t>P1</t>
        </is>
      </c>
      <c r="H373" s="29" t="inlineStr">
        <is>
          <t>Boundary</t>
        </is>
      </c>
      <c r="I373" s="30" t="inlineStr">
        <is>
          <t>lib/features/insurance/application/providers/insurance_provider.dart:473</t>
        </is>
      </c>
      <c r="J373" s="29" t="n"/>
      <c r="K373" s="31" t="inlineStr">
        <is>
          <t>Not Run</t>
        </is>
      </c>
      <c r="L373" s="32" t="n"/>
      <c r="M373" s="33" t="n"/>
      <c r="N373" s="32" t="n"/>
      <c r="O373" s="32" t="n"/>
      <c r="P373" s="32" t="n"/>
      <c r="Q373" s="32" t="n"/>
    </row>
    <row r="374" ht="43" customHeight="1">
      <c r="A374" s="27" t="inlineStr">
        <is>
          <t>BL-INS-004</t>
        </is>
      </c>
      <c r="B374" s="28" t="inlineStr">
        <is>
          <t>Insurance</t>
        </is>
      </c>
      <c r="C374" s="28" t="inlineStr">
        <is>
          <t>Form rules</t>
        </is>
      </c>
      <c r="D374" s="28" t="inlineStr">
        <is>
          <t>Save waits for the file</t>
        </is>
      </c>
      <c r="E374" s="28" t="inlineStr">
        <is>
          <t>Pick a file and tap Save immediately</t>
        </is>
      </c>
      <c r="F374" s="28" t="inlineStr">
        <is>
          <t>'Waiting for the file…' (disabled).</t>
        </is>
      </c>
      <c r="G374" s="29" t="inlineStr">
        <is>
          <t>P2</t>
        </is>
      </c>
      <c r="H374" s="29" t="inlineStr">
        <is>
          <t>Rule</t>
        </is>
      </c>
      <c r="I374" s="30" t="inlineStr">
        <is>
          <t>lib/features/insurance/presentation/screen/insurance_add_screen.dart:134</t>
        </is>
      </c>
      <c r="J374" s="29" t="inlineStr">
        <is>
          <t>KB-01</t>
        </is>
      </c>
      <c r="K374" s="31" t="inlineStr">
        <is>
          <t>Not Run</t>
        </is>
      </c>
      <c r="L374" s="32" t="n"/>
      <c r="M374" s="33" t="n"/>
      <c r="N374" s="32" t="n"/>
      <c r="O374" s="32" t="n"/>
      <c r="P374" s="32" t="n"/>
      <c r="Q374" s="32" t="n"/>
    </row>
    <row r="375" ht="43" customHeight="1">
      <c r="A375" s="27" t="inlineStr">
        <is>
          <t>BL-INS-005</t>
        </is>
      </c>
      <c r="B375" s="28" t="inlineStr">
        <is>
          <t>Insurance</t>
        </is>
      </c>
      <c r="C375" s="28" t="inlineStr">
        <is>
          <t>Form rules</t>
        </is>
      </c>
      <c r="D375" s="28" t="inlineStr">
        <is>
          <t>Policy saved even if the file cannot be attached</t>
        </is>
      </c>
      <c r="E375" s="28" t="inlineStr">
        <is>
          <t>1. Save with a file while forcing the attach to fail
2. Save a policy whose end date is in the past</t>
        </is>
      </c>
      <c r="F375" s="28" t="inlineStr">
        <is>
          <t>'&lt;insurer&gt; policy saved, but the file could not be attached. Try again from the policy.' / '&lt;insurer&gt; saved. Note it expired &lt;date&gt;.'</t>
        </is>
      </c>
      <c r="G375" s="29" t="inlineStr">
        <is>
          <t>P2</t>
        </is>
      </c>
      <c r="H375" s="29" t="inlineStr">
        <is>
          <t>Error handling</t>
        </is>
      </c>
      <c r="I375" s="30" t="inlineStr">
        <is>
          <t>lib/features/insurance/presentation/screen/insurance_add_screen.dart:171</t>
        </is>
      </c>
      <c r="J375" s="29" t="inlineStr">
        <is>
          <t>KB-01</t>
        </is>
      </c>
      <c r="K375" s="31" t="inlineStr">
        <is>
          <t>Not Run</t>
        </is>
      </c>
      <c r="L375" s="32" t="n"/>
      <c r="M375" s="33" t="n"/>
      <c r="N375" s="32" t="n"/>
      <c r="O375" s="32" t="n"/>
      <c r="P375" s="32" t="n"/>
      <c r="Q375" s="32" t="n"/>
    </row>
    <row r="376" ht="30" customHeight="1">
      <c r="A376" s="27" t="inlineStr">
        <is>
          <t>BL-INS-006</t>
        </is>
      </c>
      <c r="B376" s="28" t="inlineStr">
        <is>
          <t>Insurance</t>
        </is>
      </c>
      <c r="C376" s="28" t="inlineStr">
        <is>
          <t>Form rules</t>
        </is>
      </c>
      <c r="D376" s="28" t="inlineStr">
        <is>
          <t>Editing a policy</t>
        </is>
      </c>
      <c r="E376" s="28" t="inlineStr">
        <is>
          <t>Look for an edit action on a saved policy</t>
        </is>
      </c>
      <c r="F376" s="28" t="inlineStr">
        <is>
          <t>Confirm with the owner: there is no edit screen, yet the renewal prompt says 'then update the dates here'.</t>
        </is>
      </c>
      <c r="G376" s="29" t="inlineStr">
        <is>
          <t>P2</t>
        </is>
      </c>
      <c r="H376" s="29" t="inlineStr">
        <is>
          <t>Verify gap</t>
        </is>
      </c>
      <c r="I376" s="30" t="inlineStr">
        <is>
          <t>lib/features/insurance/presentation/screen/insurance_screen.dart:354</t>
        </is>
      </c>
      <c r="J376" s="29" t="n"/>
      <c r="K376" s="31" t="inlineStr">
        <is>
          <t>Not Run</t>
        </is>
      </c>
      <c r="L376" s="32" t="n"/>
      <c r="M376" s="33" t="n"/>
      <c r="N376" s="32" t="n"/>
      <c r="O376" s="32" t="n"/>
      <c r="P376" s="32" t="n"/>
      <c r="Q376" s="32" t="n"/>
    </row>
    <row r="377" ht="30" customHeight="1">
      <c r="A377" s="27" t="inlineStr">
        <is>
          <t>BL-INS-007</t>
        </is>
      </c>
      <c r="B377" s="28" t="inlineStr">
        <is>
          <t>Insurance</t>
        </is>
      </c>
      <c r="C377" s="28" t="inlineStr">
        <is>
          <t>Status &amp; documents</t>
        </is>
      </c>
      <c r="D377" s="28" t="inlineStr">
        <is>
          <t>Status is derived from the dates</t>
        </is>
      </c>
      <c r="E377" s="28" t="inlineStr">
        <is>
          <t>Create policies ending yesterday, today, in 30 days, in 31 days, and starting next month</t>
        </is>
      </c>
      <c r="F377" s="28" t="inlineStr">
        <is>
          <t>'Expired' / 'Expires in 0 days' / 'Expires in 30 days' / 'Active' / 'Starts &lt;date&gt;'.</t>
        </is>
      </c>
      <c r="G377" s="29" t="inlineStr">
        <is>
          <t>P1</t>
        </is>
      </c>
      <c r="H377" s="29" t="inlineStr">
        <is>
          <t>Boundary</t>
        </is>
      </c>
      <c r="I377" s="30" t="inlineStr">
        <is>
          <t>lib/features/insurance/domain/entities/insurance_policy.dart:77</t>
        </is>
      </c>
      <c r="J377" s="29" t="n"/>
      <c r="K377" s="31" t="inlineStr">
        <is>
          <t>Not Run</t>
        </is>
      </c>
      <c r="L377" s="32" t="n"/>
      <c r="M377" s="33" t="n"/>
      <c r="N377" s="32" t="n"/>
      <c r="O377" s="32" t="n"/>
      <c r="P377" s="32" t="n"/>
      <c r="Q377" s="32" t="n"/>
    </row>
    <row r="378" ht="43" customHeight="1">
      <c r="A378" s="27" t="inlineStr">
        <is>
          <t>BL-INS-008</t>
        </is>
      </c>
      <c r="B378" s="28" t="inlineStr">
        <is>
          <t>Insurance</t>
        </is>
      </c>
      <c r="C378" s="28" t="inlineStr">
        <is>
          <t>Status &amp; documents</t>
        </is>
      </c>
      <c r="D378" s="28" t="inlineStr">
        <is>
          <t>Tabs, counts and order</t>
        </is>
      </c>
      <c r="E378" s="28" t="inlineStr">
        <is>
          <t>Have 2 active and 1 expired policy</t>
        </is>
      </c>
      <c r="F378" s="28" t="inlineStr">
        <is>
          <t>'All 3', 'Active 2', 'Expired 1'; soonest-expiring first, expired last.</t>
        </is>
      </c>
      <c r="G378" s="29" t="inlineStr">
        <is>
          <t>P2</t>
        </is>
      </c>
      <c r="H378" s="29" t="inlineStr">
        <is>
          <t>Calculation</t>
        </is>
      </c>
      <c r="I378" s="30" t="inlineStr">
        <is>
          <t>lib/features/insurance/application/providers/insurance_provider.dart:157</t>
        </is>
      </c>
      <c r="J378" s="29" t="n"/>
      <c r="K378" s="31" t="inlineStr">
        <is>
          <t>Not Run</t>
        </is>
      </c>
      <c r="L378" s="32" t="n"/>
      <c r="M378" s="33" t="n"/>
      <c r="N378" s="32" t="n"/>
      <c r="O378" s="32" t="n"/>
      <c r="P378" s="32" t="n"/>
      <c r="Q378" s="32" t="n"/>
    </row>
    <row r="379" ht="43" customHeight="1">
      <c r="A379" s="27" t="inlineStr">
        <is>
          <t>BL-INS-009</t>
        </is>
      </c>
      <c r="B379" s="28" t="inlineStr">
        <is>
          <t>Insurance</t>
        </is>
      </c>
      <c r="C379" s="28" t="inlineStr">
        <is>
          <t>Status &amp; documents</t>
        </is>
      </c>
      <c r="D379" s="28" t="inlineStr">
        <is>
          <t>Renewal prompt</t>
        </is>
      </c>
      <c r="E379" s="28" t="inlineStr">
        <is>
          <t>Have a policy within 30 days of expiry</t>
        </is>
      </c>
      <c r="F379" s="28" t="inlineStr">
        <is>
          <t>'A policy is about to expire' on the list; detail: 'Cover ends on &lt;date&gt;. Renew with &lt;insurer&gt; before then to stay covered.'</t>
        </is>
      </c>
      <c r="G379" s="29" t="inlineStr">
        <is>
          <t>P2</t>
        </is>
      </c>
      <c r="H379" s="29" t="inlineStr">
        <is>
          <t>Rule</t>
        </is>
      </c>
      <c r="I379" s="30" t="inlineStr">
        <is>
          <t>lib/features/insurance/presentation/screen/insurance_screen.dart:228</t>
        </is>
      </c>
      <c r="J379" s="29" t="n"/>
      <c r="K379" s="31" t="inlineStr">
        <is>
          <t>Not Run</t>
        </is>
      </c>
      <c r="L379" s="32" t="n"/>
      <c r="M379" s="33" t="n"/>
      <c r="N379" s="32" t="n"/>
      <c r="O379" s="32" t="n"/>
      <c r="P379" s="32" t="n"/>
      <c r="Q379" s="32" t="n"/>
    </row>
    <row r="380" ht="43" customHeight="1">
      <c r="A380" s="27" t="inlineStr">
        <is>
          <t>BL-INS-010</t>
        </is>
      </c>
      <c r="B380" s="28" t="inlineStr">
        <is>
          <t>Insurance</t>
        </is>
      </c>
      <c r="C380" s="28" t="inlineStr">
        <is>
          <t>Status &amp; documents</t>
        </is>
      </c>
      <c r="D380" s="28" t="inlineStr">
        <is>
          <t>Insurance can be switched off remotely</t>
        </is>
      </c>
      <c r="E380" s="28" t="inlineStr">
        <is>
          <t>Turn the insurance flag off in app-config</t>
        </is>
      </c>
      <c r="F380" s="28" t="inlineStr">
        <is>
          <t>'Insurance is not available right now'. With the flag missing, insurance stays on.</t>
        </is>
      </c>
      <c r="G380" s="29" t="inlineStr">
        <is>
          <t>P2</t>
        </is>
      </c>
      <c r="H380" s="29" t="inlineStr">
        <is>
          <t>Rule</t>
        </is>
      </c>
      <c r="I380" s="30" t="inlineStr">
        <is>
          <t>lib/features/insurance/application/providers/insurance_provider.dart:45</t>
        </is>
      </c>
      <c r="J380" s="29" t="n"/>
      <c r="K380" s="31" t="inlineStr">
        <is>
          <t>Not Run</t>
        </is>
      </c>
      <c r="L380" s="32" t="n"/>
      <c r="M380" s="33" t="n"/>
      <c r="N380" s="32" t="n"/>
      <c r="O380" s="32" t="n"/>
      <c r="P380" s="32" t="n"/>
      <c r="Q380" s="32" t="n"/>
    </row>
    <row r="381" ht="43" customHeight="1">
      <c r="A381" s="27" t="inlineStr">
        <is>
          <t>BL-INS-011</t>
        </is>
      </c>
      <c r="B381" s="28" t="inlineStr">
        <is>
          <t>Insurance</t>
        </is>
      </c>
      <c r="C381" s="28" t="inlineStr">
        <is>
          <t>Status &amp; documents</t>
        </is>
      </c>
      <c r="D381" s="28" t="inlineStr">
        <is>
          <t>Documents on a policy</t>
        </is>
      </c>
      <c r="E381" s="28" t="inlineStr">
        <is>
          <t>1. Attach a valid PDF
2. Try a 12 MB PDF and a .docx
3. Detach</t>
        </is>
      </c>
      <c r="F381" s="28" t="inlineStr">
        <is>
          <t>'Document attached' / size and type messages / 'Detach this file?' then 'Document detached'.</t>
        </is>
      </c>
      <c r="G381" s="29" t="inlineStr">
        <is>
          <t>P1</t>
        </is>
      </c>
      <c r="H381" s="29" t="inlineStr">
        <is>
          <t>Rule</t>
        </is>
      </c>
      <c r="I381" s="30" t="inlineStr">
        <is>
          <t>lib/features/common/attachments/domain/policies/upload_policy.dart:66</t>
        </is>
      </c>
      <c r="J381" s="29" t="inlineStr">
        <is>
          <t>KB-01</t>
        </is>
      </c>
      <c r="K381" s="31" t="inlineStr">
        <is>
          <t>Not Run</t>
        </is>
      </c>
      <c r="L381" s="32" t="n"/>
      <c r="M381" s="33" t="n"/>
      <c r="N381" s="32" t="n"/>
      <c r="O381" s="32" t="n"/>
      <c r="P381" s="32" t="n"/>
      <c r="Q381" s="32" t="n"/>
    </row>
    <row r="382" ht="43" customHeight="1">
      <c r="A382" s="27" t="inlineStr">
        <is>
          <t>BL-INS-012</t>
        </is>
      </c>
      <c r="B382" s="28" t="inlineStr">
        <is>
          <t>Insurance</t>
        </is>
      </c>
      <c r="C382" s="28" t="inlineStr">
        <is>
          <t>Status &amp; documents</t>
        </is>
      </c>
      <c r="D382" s="28" t="inlineStr">
        <is>
          <t>Removing a policy already removed elsewhere</t>
        </is>
      </c>
      <c r="E382" s="28" t="inlineStr">
        <is>
          <t>1. Remove a policy on device B
2. Remove it on device A</t>
        </is>
      </c>
      <c r="F382" s="28" t="inlineStr">
        <is>
          <t>'That policy is no longer on your account' and back to the list.</t>
        </is>
      </c>
      <c r="G382" s="29" t="inlineStr">
        <is>
          <t>P3</t>
        </is>
      </c>
      <c r="H382" s="29" t="inlineStr">
        <is>
          <t>Error handling</t>
        </is>
      </c>
      <c r="I382" s="30" t="inlineStr">
        <is>
          <t>lib/features/insurance/presentation/screen/insurance_detail_screen.dart:288</t>
        </is>
      </c>
      <c r="J382" s="29" t="n"/>
      <c r="K382" s="31" t="inlineStr">
        <is>
          <t>Not Run</t>
        </is>
      </c>
      <c r="L382" s="32" t="n"/>
      <c r="M382" s="33" t="n"/>
      <c r="N382" s="32" t="n"/>
      <c r="O382" s="32" t="n"/>
      <c r="P382" s="32" t="n"/>
      <c r="Q382" s="32" t="n"/>
    </row>
    <row r="383" ht="30" customHeight="1">
      <c r="A383" s="27" t="inlineStr">
        <is>
          <t>BL-SUP-001</t>
        </is>
      </c>
      <c r="B383" s="28" t="inlineStr">
        <is>
          <t>Support, legal &amp; ambulance</t>
        </is>
      </c>
      <c r="C383" s="28" t="inlineStr">
        <is>
          <t>Ticket form</t>
        </is>
      </c>
      <c r="D383" s="28" t="inlineStr">
        <is>
          <t>Signed-in users only</t>
        </is>
      </c>
      <c r="E383" s="28" t="inlineStr">
        <is>
          <t>Open Help &amp; Support signed out</t>
        </is>
      </c>
      <c r="F383" s="28" t="inlineStr">
        <is>
          <t>'Sign in to raise a request and follow its replies here.'</t>
        </is>
      </c>
      <c r="G383" s="29" t="inlineStr">
        <is>
          <t>P2</t>
        </is>
      </c>
      <c r="H383" s="29" t="inlineStr">
        <is>
          <t>Rule</t>
        </is>
      </c>
      <c r="I383" s="30" t="inlineStr">
        <is>
          <t>lib/features/support/presentation/screen/support_screen.dart:261</t>
        </is>
      </c>
      <c r="J383" s="29" t="n"/>
      <c r="K383" s="31" t="inlineStr">
        <is>
          <t>Not Run</t>
        </is>
      </c>
      <c r="L383" s="32" t="n"/>
      <c r="M383" s="33" t="n"/>
      <c r="N383" s="32" t="n"/>
      <c r="O383" s="32" t="n"/>
      <c r="P383" s="32" t="n"/>
      <c r="Q383" s="32" t="n"/>
    </row>
    <row r="384" ht="30" customHeight="1">
      <c r="A384" s="27" t="inlineStr">
        <is>
          <t>BL-SUP-002</t>
        </is>
      </c>
      <c r="B384" s="28" t="inlineStr">
        <is>
          <t>Support, legal &amp; ambulance</t>
        </is>
      </c>
      <c r="C384" s="28" t="inlineStr">
        <is>
          <t>Ticket form</t>
        </is>
      </c>
      <c r="D384" s="28" t="inlineStr">
        <is>
          <t>Subject required; description at least 20 characters</t>
        </is>
      </c>
      <c r="E384" s="28" t="inlineStr">
        <is>
          <t>Send with an empty subject and a 10-character description</t>
        </is>
      </c>
      <c r="F384" s="28" t="inlineStr">
        <is>
          <t>'Enter a short subject'; 'Add a little more detail so we can help (at least 20 characters)'.</t>
        </is>
      </c>
      <c r="G384" s="29" t="inlineStr">
        <is>
          <t>P1</t>
        </is>
      </c>
      <c r="H384" s="29" t="inlineStr">
        <is>
          <t>Boundary</t>
        </is>
      </c>
      <c r="I384" s="30" t="inlineStr">
        <is>
          <t>lib/features/support/application/providers/support_provider.dart:225</t>
        </is>
      </c>
      <c r="J384" s="29" t="n"/>
      <c r="K384" s="31" t="inlineStr">
        <is>
          <t>Not Run</t>
        </is>
      </c>
      <c r="L384" s="32" t="n"/>
      <c r="M384" s="33" t="n"/>
      <c r="N384" s="32" t="n"/>
      <c r="O384" s="32" t="n"/>
      <c r="P384" s="32" t="n"/>
      <c r="Q384" s="32" t="n"/>
    </row>
    <row r="385" ht="30" customHeight="1">
      <c r="A385" s="27" t="inlineStr">
        <is>
          <t>BL-SUP-003</t>
        </is>
      </c>
      <c r="B385" s="28" t="inlineStr">
        <is>
          <t>Support, legal &amp; ambulance</t>
        </is>
      </c>
      <c r="C385" s="28" t="inlineStr">
        <is>
          <t>Ticket form</t>
        </is>
      </c>
      <c r="D385" s="28" t="inlineStr">
        <is>
          <t>Defaults</t>
        </is>
      </c>
      <c r="E385" s="28" t="inlineStr">
        <is>
          <t>Submit without touching category or priority</t>
        </is>
      </c>
      <c r="F385" s="28" t="inlineStr">
        <is>
          <t>Category 'Something else', priority Normal.</t>
        </is>
      </c>
      <c r="G385" s="29" t="inlineStr">
        <is>
          <t>P3</t>
        </is>
      </c>
      <c r="H385" s="29" t="inlineStr">
        <is>
          <t>Rule</t>
        </is>
      </c>
      <c r="I385" s="30" t="inlineStr">
        <is>
          <t>lib/features/support/application/states/ticket_form_state.dart:26</t>
        </is>
      </c>
      <c r="J385" s="29" t="n"/>
      <c r="K385" s="31" t="inlineStr">
        <is>
          <t>Not Run</t>
        </is>
      </c>
      <c r="L385" s="32" t="n"/>
      <c r="M385" s="33" t="n"/>
      <c r="N385" s="32" t="n"/>
      <c r="O385" s="32" t="n"/>
      <c r="P385" s="32" t="n"/>
      <c r="Q385" s="32" t="n"/>
    </row>
    <row r="386" ht="30" customHeight="1">
      <c r="A386" s="27" t="inlineStr">
        <is>
          <t>BL-SUP-004</t>
        </is>
      </c>
      <c r="B386" s="28" t="inlineStr">
        <is>
          <t>Support, legal &amp; ambulance</t>
        </is>
      </c>
      <c r="C386" s="28" t="inlineStr">
        <is>
          <t>Ticket form</t>
        </is>
      </c>
      <c r="D386" s="28" t="inlineStr">
        <is>
          <t>Success opens the thread; failure keeps the text</t>
        </is>
      </c>
      <c r="E386" s="28" t="inlineStr">
        <is>
          <t>1. Submit a valid request
2. Submit offline</t>
        </is>
      </c>
      <c r="F386" s="28" t="inlineStr">
        <is>
          <t>'Request TKT-… raised' and the thread opens; offline: error box with the text intact.</t>
        </is>
      </c>
      <c r="G386" s="29" t="inlineStr">
        <is>
          <t>P1</t>
        </is>
      </c>
      <c r="H386" s="29" t="inlineStr">
        <is>
          <t>State</t>
        </is>
      </c>
      <c r="I386" s="30" t="inlineStr">
        <is>
          <t>lib/features/support/presentation/screen/support_screen.dart:85</t>
        </is>
      </c>
      <c r="J386" s="29" t="n"/>
      <c r="K386" s="31" t="inlineStr">
        <is>
          <t>Not Run</t>
        </is>
      </c>
      <c r="L386" s="32" t="n"/>
      <c r="M386" s="33" t="n"/>
      <c r="N386" s="32" t="n"/>
      <c r="O386" s="32" t="n"/>
      <c r="P386" s="32" t="n"/>
      <c r="Q386" s="32" t="n"/>
    </row>
    <row r="387" ht="43" customHeight="1">
      <c r="A387" s="27" t="inlineStr">
        <is>
          <t>BL-SUP-005</t>
        </is>
      </c>
      <c r="B387" s="28" t="inlineStr">
        <is>
          <t>Support, legal &amp; ambulance</t>
        </is>
      </c>
      <c r="C387" s="28" t="inlineStr">
        <is>
          <t>Ticket form</t>
        </is>
      </c>
      <c r="D387" s="28" t="inlineStr">
        <is>
          <t>No duplicate ticket after returning from the thread</t>
        </is>
      </c>
      <c r="E387" s="28" t="inlineStr">
        <is>
          <t>1. Raise a request
2. Press Back to the form (fields look empty)
3. Tap Send Request</t>
        </is>
      </c>
      <c r="F387" s="28" t="inlineStr">
        <is>
          <t>Nothing should be sent. The code keeps the previous subject/description internally, so a duplicate ticket may be created.</t>
        </is>
      </c>
      <c r="G387" s="29" t="inlineStr">
        <is>
          <t>P1</t>
        </is>
      </c>
      <c r="H387" s="29" t="inlineStr">
        <is>
          <t>Verify gap</t>
        </is>
      </c>
      <c r="I387" s="30" t="inlineStr">
        <is>
          <t>lib/features/support/presentation/screen/support_screen.dart:89</t>
        </is>
      </c>
      <c r="J387" s="29" t="n"/>
      <c r="K387" s="31" t="inlineStr">
        <is>
          <t>Not Run</t>
        </is>
      </c>
      <c r="L387" s="32" t="n"/>
      <c r="M387" s="33" t="n"/>
      <c r="N387" s="32" t="n"/>
      <c r="O387" s="32" t="n"/>
      <c r="P387" s="32" t="n"/>
      <c r="Q387" s="32" t="n"/>
    </row>
    <row r="388" ht="43" customHeight="1">
      <c r="A388" s="27" t="inlineStr">
        <is>
          <t>BL-SUP-006</t>
        </is>
      </c>
      <c r="B388" s="28" t="inlineStr">
        <is>
          <t>Support, legal &amp; ambulance</t>
        </is>
      </c>
      <c r="C388" s="28" t="inlineStr">
        <is>
          <t>Ticket form</t>
        </is>
      </c>
      <c r="D388" s="28" t="inlineStr">
        <is>
          <t>Attachments on tickets</t>
        </is>
      </c>
      <c r="E388" s="28" t="inlineStr">
        <is>
          <t>Look for a way to attach a file to a request or reply</t>
        </is>
      </c>
      <c r="F388" s="28" t="inlineStr">
        <is>
          <t>Confirm with the owner: the API allows up to 5, but the app has no attachment control for tickets.</t>
        </is>
      </c>
      <c r="G388" s="29" t="inlineStr">
        <is>
          <t>P3</t>
        </is>
      </c>
      <c r="H388" s="29" t="inlineStr">
        <is>
          <t>Verify gap</t>
        </is>
      </c>
      <c r="I388" s="30" t="inlineStr">
        <is>
          <t>lib/features/support/infrastructure/data_sources/remote/support_ticket_api.dart:57</t>
        </is>
      </c>
      <c r="J388" s="29" t="n"/>
      <c r="K388" s="31" t="inlineStr">
        <is>
          <t>Not Run</t>
        </is>
      </c>
      <c r="L388" s="32" t="n"/>
      <c r="M388" s="33" t="n"/>
      <c r="N388" s="32" t="n"/>
      <c r="O388" s="32" t="n"/>
      <c r="P388" s="32" t="n"/>
      <c r="Q388" s="32" t="n"/>
    </row>
    <row r="389" ht="30" customHeight="1">
      <c r="A389" s="27" t="inlineStr">
        <is>
          <t>BL-SUP-007</t>
        </is>
      </c>
      <c r="B389" s="28" t="inlineStr">
        <is>
          <t>Support, legal &amp; ambulance</t>
        </is>
      </c>
      <c r="C389" s="28" t="inlineStr">
        <is>
          <t>Ticket form</t>
        </is>
      </c>
      <c r="D389" s="28" t="inlineStr">
        <is>
          <t>Open-request count</t>
        </is>
      </c>
      <c r="E389" s="28" t="inlineStr">
        <is>
          <t>Have 0, 1 and 3 open tickets</t>
        </is>
      </c>
      <c r="F389" s="28" t="inlineStr">
        <is>
          <t>'No open requests' / '1 open request' / '3 open requests' (resolved and closed excluded).</t>
        </is>
      </c>
      <c r="G389" s="29" t="inlineStr">
        <is>
          <t>P3</t>
        </is>
      </c>
      <c r="H389" s="29" t="inlineStr">
        <is>
          <t>Calculation</t>
        </is>
      </c>
      <c r="I389" s="30" t="inlineStr">
        <is>
          <t>lib/features/support/presentation/screen/support_screen.dart:108</t>
        </is>
      </c>
      <c r="J389" s="29" t="n"/>
      <c r="K389" s="31" t="inlineStr">
        <is>
          <t>Not Run</t>
        </is>
      </c>
      <c r="L389" s="32" t="n"/>
      <c r="M389" s="33" t="n"/>
      <c r="N389" s="32" t="n"/>
      <c r="O389" s="32" t="n"/>
      <c r="P389" s="32" t="n"/>
      <c r="Q389" s="32" t="n"/>
    </row>
    <row r="390" ht="43" customHeight="1">
      <c r="A390" s="27" t="inlineStr">
        <is>
          <t>BL-SUP-008</t>
        </is>
      </c>
      <c r="B390" s="28" t="inlineStr">
        <is>
          <t>Support, legal &amp; ambulance</t>
        </is>
      </c>
      <c r="C390" s="28" t="inlineStr">
        <is>
          <t>Ticket thread</t>
        </is>
      </c>
      <c r="D390" s="28" t="inlineStr">
        <is>
          <t>Replies allowed except on closed tickets</t>
        </is>
      </c>
      <c r="E390" s="28" t="inlineStr">
        <is>
          <t>1. Open a closed ticket
2. Have staff close a ticket while you are typing, then send</t>
        </is>
      </c>
      <c r="F390" s="28" t="inlineStr">
        <is>
          <t>'This request is closed. Raise a new request if you need more help.' (no input); late reply: 'This request is closed. Raise a new one…'.</t>
        </is>
      </c>
      <c r="G390" s="29" t="inlineStr">
        <is>
          <t>P1</t>
        </is>
      </c>
      <c r="H390" s="29" t="inlineStr">
        <is>
          <t>Rule</t>
        </is>
      </c>
      <c r="I390" s="30" t="inlineStr">
        <is>
          <t>lib/features/support/domain/entities/support_ticket.dart:43</t>
        </is>
      </c>
      <c r="J390" s="29" t="n"/>
      <c r="K390" s="31" t="inlineStr">
        <is>
          <t>Not Run</t>
        </is>
      </c>
      <c r="L390" s="32" t="n"/>
      <c r="M390" s="33" t="n"/>
      <c r="N390" s="32" t="n"/>
      <c r="O390" s="32" t="n"/>
      <c r="P390" s="32" t="n"/>
      <c r="Q390" s="32" t="n"/>
    </row>
    <row r="391" ht="30" customHeight="1">
      <c r="A391" s="27" t="inlineStr">
        <is>
          <t>BL-SUP-009</t>
        </is>
      </c>
      <c r="B391" s="28" t="inlineStr">
        <is>
          <t>Support, legal &amp; ambulance</t>
        </is>
      </c>
      <c r="C391" s="28" t="inlineStr">
        <is>
          <t>Ticket thread</t>
        </is>
      </c>
      <c r="D391" s="28" t="inlineStr">
        <is>
          <t>Empty reply</t>
        </is>
      </c>
      <c r="E391" s="28" t="inlineStr">
        <is>
          <t>Tap Send with only spaces</t>
        </is>
      </c>
      <c r="F391" s="28" t="inlineStr">
        <is>
          <t>'Type a message first'; no request.</t>
        </is>
      </c>
      <c r="G391" s="29" t="inlineStr">
        <is>
          <t>P3</t>
        </is>
      </c>
      <c r="H391" s="29" t="inlineStr">
        <is>
          <t>Boundary</t>
        </is>
      </c>
      <c r="I391" s="30" t="inlineStr">
        <is>
          <t>lib/features/support/application/providers/support_provider.dart:275</t>
        </is>
      </c>
      <c r="J391" s="29" t="n"/>
      <c r="K391" s="31" t="inlineStr">
        <is>
          <t>Not Run</t>
        </is>
      </c>
      <c r="L391" s="32" t="n"/>
      <c r="M391" s="33" t="n"/>
      <c r="N391" s="32" t="n"/>
      <c r="O391" s="32" t="n"/>
      <c r="P391" s="32" t="n"/>
      <c r="Q391" s="32" t="n"/>
    </row>
    <row r="392" ht="30" customHeight="1">
      <c r="A392" s="27" t="inlineStr">
        <is>
          <t>BL-SUP-010</t>
        </is>
      </c>
      <c r="B392" s="28" t="inlineStr">
        <is>
          <t>Support, legal &amp; ambulance</t>
        </is>
      </c>
      <c r="C392" s="28" t="inlineStr">
        <is>
          <t>Ticket thread</t>
        </is>
      </c>
      <c r="D392" s="28" t="inlineStr">
        <is>
          <t>Reply reopens a resolved ticket</t>
        </is>
      </c>
      <c r="E392" s="28" t="inlineStr">
        <is>
          <t>Reply on a resolved ticket</t>
        </is>
      </c>
      <c r="F392" s="28" t="inlineStr">
        <is>
          <t>'Reply sent'; badge changes from Resolved to Open.</t>
        </is>
      </c>
      <c r="G392" s="29" t="inlineStr">
        <is>
          <t>P2</t>
        </is>
      </c>
      <c r="H392" s="29" t="inlineStr">
        <is>
          <t>State</t>
        </is>
      </c>
      <c r="I392" s="30" t="inlineStr">
        <is>
          <t>lib/features/support/application/providers/support_provider.dart:291</t>
        </is>
      </c>
      <c r="J392" s="29" t="n"/>
      <c r="K392" s="31" t="inlineStr">
        <is>
          <t>Not Run</t>
        </is>
      </c>
      <c r="L392" s="32" t="n"/>
      <c r="M392" s="33" t="n"/>
      <c r="N392" s="32" t="n"/>
      <c r="O392" s="32" t="n"/>
      <c r="P392" s="32" t="n"/>
      <c r="Q392" s="32" t="n"/>
    </row>
    <row r="393" ht="30" customHeight="1">
      <c r="A393" s="27" t="inlineStr">
        <is>
          <t>BL-SUP-011</t>
        </is>
      </c>
      <c r="B393" s="28" t="inlineStr">
        <is>
          <t>Support, legal &amp; ambulance</t>
        </is>
      </c>
      <c r="C393" s="28" t="inlineStr">
        <is>
          <t>Ticket thread</t>
        </is>
      </c>
      <c r="D393" s="28" t="inlineStr">
        <is>
          <t>Reply on a 'Waiting on you' ticket</t>
        </is>
      </c>
      <c r="E393" s="28" t="inlineStr">
        <is>
          <t>1. Reply on a ticket waiting for you
2. Do not refresh</t>
        </is>
      </c>
      <c r="F393" s="28" t="inlineStr">
        <is>
          <t>Badge and banner should update. The code keeps 'Waiting on you' until the thread is refreshed.</t>
        </is>
      </c>
      <c r="G393" s="29" t="inlineStr">
        <is>
          <t>P3</t>
        </is>
      </c>
      <c r="H393" s="29" t="inlineStr">
        <is>
          <t>Verify gap</t>
        </is>
      </c>
      <c r="I393" s="30" t="inlineStr">
        <is>
          <t>lib/features/support/application/providers/support_provider.dart:297</t>
        </is>
      </c>
      <c r="J393" s="29" t="n"/>
      <c r="K393" s="31" t="inlineStr">
        <is>
          <t>Not Run</t>
        </is>
      </c>
      <c r="L393" s="32" t="n"/>
      <c r="M393" s="33" t="n"/>
      <c r="N393" s="32" t="n"/>
      <c r="O393" s="32" t="n"/>
      <c r="P393" s="32" t="n"/>
      <c r="Q393" s="32" t="n"/>
    </row>
    <row r="394" ht="43" customHeight="1">
      <c r="A394" s="27" t="inlineStr">
        <is>
          <t>BL-SUP-012</t>
        </is>
      </c>
      <c r="B394" s="28" t="inlineStr">
        <is>
          <t>Support, legal &amp; ambulance</t>
        </is>
      </c>
      <c r="C394" s="28" t="inlineStr">
        <is>
          <t>Ticket thread</t>
        </is>
      </c>
      <c r="D394" s="28" t="inlineStr">
        <is>
          <t>Status badges and thread order</t>
        </is>
      </c>
      <c r="E394" s="28" t="inlineStr">
        <is>
          <t>Open tickets in each status with staff replies</t>
        </is>
      </c>
      <c r="F394" s="28" t="inlineStr">
        <is>
          <t>Open, In progress, Waiting on you (+ banner), Resolved, Closed; your description first, your messages right, staff left.</t>
        </is>
      </c>
      <c r="G394" s="29" t="inlineStr">
        <is>
          <t>P2</t>
        </is>
      </c>
      <c r="H394" s="29" t="inlineStr">
        <is>
          <t>Data mapping</t>
        </is>
      </c>
      <c r="I394" s="30" t="inlineStr">
        <is>
          <t>lib/features/support/presentation/screen/support_ticket_detail_screen.dart:228</t>
        </is>
      </c>
      <c r="J394" s="29" t="n"/>
      <c r="K394" s="31" t="inlineStr">
        <is>
          <t>Not Run</t>
        </is>
      </c>
      <c r="L394" s="32" t="n"/>
      <c r="M394" s="33" t="n"/>
      <c r="N394" s="32" t="n"/>
      <c r="O394" s="32" t="n"/>
      <c r="P394" s="32" t="n"/>
      <c r="Q394" s="32" t="n"/>
    </row>
    <row r="395" ht="43" customHeight="1">
      <c r="A395" s="27" t="inlineStr">
        <is>
          <t>BL-SUP-013</t>
        </is>
      </c>
      <c r="B395" s="28" t="inlineStr">
        <is>
          <t>Support, legal &amp; ambulance</t>
        </is>
      </c>
      <c r="C395" s="28" t="inlineStr">
        <is>
          <t>FAQ</t>
        </is>
      </c>
      <c r="D395" s="28" t="inlineStr">
        <is>
          <t>Search matches question, answer and category</t>
        </is>
      </c>
      <c r="E395" s="28" t="inlineStr">
        <is>
          <t>1. Type 'REFUND'
2. Type a category name
3. Type gibberish</t>
        </is>
      </c>
      <c r="F395" s="28" t="inlineStr">
        <is>
          <t>Matching entries only with 'N answers matched'; 'No answers matched' with Clear Search and Contact Support.</t>
        </is>
      </c>
      <c r="G395" s="29" t="inlineStr">
        <is>
          <t>P2</t>
        </is>
      </c>
      <c r="H395" s="29" t="inlineStr">
        <is>
          <t>Rule</t>
        </is>
      </c>
      <c r="I395" s="30" t="inlineStr">
        <is>
          <t>lib/features/support/presentation/controllers/faq_controller.dart:75</t>
        </is>
      </c>
      <c r="J395" s="29" t="n"/>
      <c r="K395" s="31" t="inlineStr">
        <is>
          <t>Not Run</t>
        </is>
      </c>
      <c r="L395" s="32" t="n"/>
      <c r="M395" s="33" t="n"/>
      <c r="N395" s="32" t="n"/>
      <c r="O395" s="32" t="n"/>
      <c r="P395" s="32" t="n"/>
      <c r="Q395" s="32" t="n"/>
    </row>
    <row r="396" ht="43" customHeight="1">
      <c r="A396" s="27" t="inlineStr">
        <is>
          <t>BL-SUP-014</t>
        </is>
      </c>
      <c r="B396" s="28" t="inlineStr">
        <is>
          <t>Support, legal &amp; ambulance</t>
        </is>
      </c>
      <c r="C396" s="28" t="inlineStr">
        <is>
          <t>Legal</t>
        </is>
      </c>
      <c r="D396" s="28" t="inlineStr">
        <is>
          <t>Only three documents exist</t>
        </is>
      </c>
      <c r="E396" s="28" t="inlineStr">
        <is>
          <t>Open the terms, privacy and guidelines pages, and /legal/refunds</t>
        </is>
      </c>
      <c r="F396" s="28" t="inlineStr">
        <is>
          <t>First three load with 'Version N · published &lt;date&gt;'; the fourth is 'Document not found'.</t>
        </is>
      </c>
      <c r="G396" s="29" t="inlineStr">
        <is>
          <t>P1</t>
        </is>
      </c>
      <c r="H396" s="29" t="inlineStr">
        <is>
          <t>Rule</t>
        </is>
      </c>
      <c r="I396" s="30" t="inlineStr">
        <is>
          <t>lib/features/support/presentation/screen/legal_document_screen.dart:59</t>
        </is>
      </c>
      <c r="J396" s="29" t="n"/>
      <c r="K396" s="31" t="inlineStr">
        <is>
          <t>Not Run</t>
        </is>
      </c>
      <c r="L396" s="32" t="n"/>
      <c r="M396" s="33" t="n"/>
      <c r="N396" s="32" t="n"/>
      <c r="O396" s="32" t="n"/>
      <c r="P396" s="32" t="n"/>
      <c r="Q396" s="32" t="n"/>
    </row>
    <row r="397" ht="30" customHeight="1">
      <c r="A397" s="27" t="inlineStr">
        <is>
          <t>BL-SUP-015</t>
        </is>
      </c>
      <c r="B397" s="28" t="inlineStr">
        <is>
          <t>Support, legal &amp; ambulance</t>
        </is>
      </c>
      <c r="C397" s="28" t="inlineStr">
        <is>
          <t>Support contacts</t>
        </is>
      </c>
      <c r="D397" s="28" t="inlineStr">
        <is>
          <t>Contacts come from the server</t>
        </is>
      </c>
      <c r="E397" s="28" t="inlineStr">
        <is>
          <t>Use a backend with and without a support phone</t>
        </is>
      </c>
      <c r="F397" s="28" t="inlineStr">
        <is>
          <t>'Support line' with 'Copy number', or 'No phone line is published right now…'.</t>
        </is>
      </c>
      <c r="G397" s="29" t="inlineStr">
        <is>
          <t>P2</t>
        </is>
      </c>
      <c r="H397" s="29" t="inlineStr">
        <is>
          <t>Rule</t>
        </is>
      </c>
      <c r="I397" s="30" t="inlineStr">
        <is>
          <t>lib/features/support/presentation/screen/support_screen.dart:204</t>
        </is>
      </c>
      <c r="J397" s="29" t="n"/>
      <c r="K397" s="31" t="inlineStr">
        <is>
          <t>Not Run</t>
        </is>
      </c>
      <c r="L397" s="32" t="n"/>
      <c r="M397" s="33" t="n"/>
      <c r="N397" s="32" t="n"/>
      <c r="O397" s="32" t="n"/>
      <c r="P397" s="32" t="n"/>
      <c r="Q397" s="32" t="n"/>
    </row>
    <row r="398" ht="30" customHeight="1">
      <c r="A398" s="27" t="inlineStr">
        <is>
          <t>BL-SUP-016</t>
        </is>
      </c>
      <c r="B398" s="28" t="inlineStr">
        <is>
          <t>Support, legal &amp; ambulance</t>
        </is>
      </c>
      <c r="C398" s="28" t="inlineStr">
        <is>
          <t>Support contacts</t>
        </is>
      </c>
      <c r="D398" s="28" t="inlineStr">
        <is>
          <t>Emergency number</t>
        </is>
      </c>
      <c r="E398" s="28" t="inlineStr">
        <is>
          <t>Tap 'Copy 108'</t>
        </is>
      </c>
      <c r="F398" s="28" t="inlineStr">
        <is>
          <t>'Emergency number 108 copied'. Confirm 108 is right for every launch region — it is fixed in the app.</t>
        </is>
      </c>
      <c r="G398" s="29" t="inlineStr">
        <is>
          <t>P1</t>
        </is>
      </c>
      <c r="H398" s="29" t="inlineStr">
        <is>
          <t>Verify gap</t>
        </is>
      </c>
      <c r="I398" s="30" t="inlineStr">
        <is>
          <t>lib/features/support/presentation/screen/support_screen.dart:53</t>
        </is>
      </c>
      <c r="J398" s="29" t="n"/>
      <c r="K398" s="31" t="inlineStr">
        <is>
          <t>Not Run</t>
        </is>
      </c>
      <c r="L398" s="32" t="n"/>
      <c r="M398" s="33" t="n"/>
      <c r="N398" s="32" t="n"/>
      <c r="O398" s="32" t="n"/>
      <c r="P398" s="32" t="n"/>
      <c r="Q398" s="32" t="n"/>
    </row>
    <row r="399" ht="30" customHeight="1">
      <c r="A399" s="27" t="inlineStr">
        <is>
          <t>BL-SUP-017</t>
        </is>
      </c>
      <c r="B399" s="28" t="inlineStr">
        <is>
          <t>Support, legal &amp; ambulance</t>
        </is>
      </c>
      <c r="C399" s="28" t="inlineStr">
        <is>
          <t>Support contacts</t>
        </is>
      </c>
      <c r="D399" s="28" t="inlineStr">
        <is>
          <t>Before the server config loads</t>
        </is>
      </c>
      <c r="E399" s="28" t="inlineStr">
        <is>
          <t>Launch offline on a fresh install</t>
        </is>
      </c>
      <c r="F399" s="28" t="inlineStr">
        <is>
          <t>4-digit code boxes; insurance available; no support line; no re-consent prompt.</t>
        </is>
      </c>
      <c r="G399" s="29" t="inlineStr">
        <is>
          <t>P3</t>
        </is>
      </c>
      <c r="H399" s="29" t="inlineStr">
        <is>
          <t>Rule</t>
        </is>
      </c>
      <c r="I399" s="30" t="inlineStr">
        <is>
          <t>lib/features/support/domain/entities/app_config.dart:7</t>
        </is>
      </c>
      <c r="J399" s="29" t="n"/>
      <c r="K399" s="31" t="inlineStr">
        <is>
          <t>Not Run</t>
        </is>
      </c>
      <c r="L399" s="32" t="n"/>
      <c r="M399" s="33" t="n"/>
      <c r="N399" s="32" t="n"/>
      <c r="O399" s="32" t="n"/>
      <c r="P399" s="32" t="n"/>
      <c r="Q399" s="32" t="n"/>
    </row>
    <row r="400" ht="43" customHeight="1">
      <c r="A400" s="27" t="inlineStr">
        <is>
          <t>BL-SUP-018</t>
        </is>
      </c>
      <c r="B400" s="28" t="inlineStr">
        <is>
          <t>Support, legal &amp; ambulance</t>
        </is>
      </c>
      <c r="C400" s="28" t="inlineStr">
        <is>
          <t>Ambulance</t>
        </is>
      </c>
      <c r="D400" s="28" t="inlineStr">
        <is>
          <t>Directory is the full list, callable</t>
        </is>
      </c>
      <c r="E400" s="28" t="inlineStr">
        <is>
          <t>1. Open Emergency
2. Tap 'Call now' on a phone and on a device with no dialler</t>
        </is>
      </c>
      <c r="F400" s="28" t="inlineStr">
        <is>
          <t>All operators with ETA and area; dialler opens with the number, or 'No dialler on this device. Dial &lt;number&gt;.'</t>
        </is>
      </c>
      <c r="G400" s="29" t="inlineStr">
        <is>
          <t>P0</t>
        </is>
      </c>
      <c r="H400" s="29" t="inlineStr">
        <is>
          <t>Rule</t>
        </is>
      </c>
      <c r="I400" s="30" t="inlineStr">
        <is>
          <t>lib/features/dashboard/presentation/screen/ambulance_screen.dart:189</t>
        </is>
      </c>
      <c r="J400" s="29" t="n"/>
      <c r="K400" s="31" t="inlineStr">
        <is>
          <t>Not Run</t>
        </is>
      </c>
      <c r="L400" s="32" t="n"/>
      <c r="M400" s="33" t="n"/>
      <c r="N400" s="32" t="n"/>
      <c r="O400" s="32" t="n"/>
      <c r="P400" s="32" t="n"/>
      <c r="Q400" s="32" t="n"/>
    </row>
    <row r="401" ht="30" customHeight="1">
      <c r="A401" s="27" t="inlineStr">
        <is>
          <t>BL-SUP-019</t>
        </is>
      </c>
      <c r="B401" s="28" t="inlineStr">
        <is>
          <t>Support, legal &amp; ambulance</t>
        </is>
      </c>
      <c r="C401" s="28" t="inlineStr">
        <is>
          <t>Ambulance</t>
        </is>
      </c>
      <c r="D401" s="28" t="inlineStr">
        <is>
          <t>Your emergency contact</t>
        </is>
      </c>
      <c r="E401" s="28" t="inlineStr">
        <is>
          <t>Open with and without a primary emergency contact</t>
        </is>
      </c>
      <c r="F401" s="28" t="inlineStr">
        <is>
          <t>'Your emergency contact — &lt;name&gt; · &lt;relation&gt;' or 'No emergency contact saved' with an add action.</t>
        </is>
      </c>
      <c r="G401" s="29" t="inlineStr">
        <is>
          <t>P2</t>
        </is>
      </c>
      <c r="H401" s="29" t="inlineStr">
        <is>
          <t>Rule</t>
        </is>
      </c>
      <c r="I401" s="30" t="inlineStr">
        <is>
          <t>lib/features/dashboard/presentation/screen/ambulance_screen.dart:310</t>
        </is>
      </c>
      <c r="J401" s="29" t="n"/>
      <c r="K401" s="31" t="inlineStr">
        <is>
          <t>Not Run</t>
        </is>
      </c>
      <c r="L401" s="32" t="n"/>
      <c r="M401" s="33" t="n"/>
      <c r="N401" s="32" t="n"/>
      <c r="O401" s="32" t="n"/>
      <c r="P401" s="32" t="n"/>
      <c r="Q401" s="32" t="n"/>
    </row>
    <row r="402" ht="43" customHeight="1">
      <c r="A402" s="27" t="inlineStr">
        <is>
          <t>BL-SUP-020</t>
        </is>
      </c>
      <c r="B402" s="28" t="inlineStr">
        <is>
          <t>Support, legal &amp; ambulance</t>
        </is>
      </c>
      <c r="C402" s="28" t="inlineStr">
        <is>
          <t>Ambulance</t>
        </is>
      </c>
      <c r="D402" s="28" t="inlineStr">
        <is>
          <t>Load failure offers a retry</t>
        </is>
      </c>
      <c r="E402" s="28" t="inlineStr">
        <is>
          <t>Open Emergency offline on a fresh install</t>
        </is>
      </c>
      <c r="F402" s="28" t="inlineStr">
        <is>
          <t>A retry should be offered. The code shows the same 'No operators listed' view as an empty directory, with no retry (108 is shown).</t>
        </is>
      </c>
      <c r="G402" s="29" t="inlineStr">
        <is>
          <t>P1</t>
        </is>
      </c>
      <c r="H402" s="29" t="inlineStr">
        <is>
          <t>Verify gap</t>
        </is>
      </c>
      <c r="I402" s="30" t="inlineStr">
        <is>
          <t>lib/features/dashboard/presentation/screen/ambulance_screen.dart:99</t>
        </is>
      </c>
      <c r="J402" s="29" t="n"/>
      <c r="K402" s="31" t="inlineStr">
        <is>
          <t>Not Run</t>
        </is>
      </c>
      <c r="L402" s="32" t="n"/>
      <c r="M402" s="33" t="n"/>
      <c r="N402" s="32" t="n"/>
      <c r="O402" s="32" t="n"/>
      <c r="P402" s="32" t="n"/>
      <c r="Q402" s="32" t="n"/>
    </row>
    <row r="403" ht="30" customHeight="1">
      <c r="A403" s="27" t="inlineStr">
        <is>
          <t>BL-CORE-001</t>
        </is>
      </c>
      <c r="B403" s="28" t="inlineStr">
        <is>
          <t>Shared rules: money &amp; time</t>
        </is>
      </c>
      <c r="C403" s="28" t="inlineStr">
        <is>
          <t>Money</t>
        </is>
      </c>
      <c r="D403" s="28" t="inlineStr">
        <is>
          <t>Rupee formatting from paise</t>
        </is>
      </c>
      <c r="E403" s="28" t="inlineStr">
        <is>
          <t>Find amounts of ₹500, ₹1,062.50 and ₹1,00,000 on quote, payment, receipt and insurance screens</t>
        </is>
      </c>
      <c r="F403" s="28" t="inlineStr">
        <is>
          <t>'₹500', '₹1,062.50', '₹1,00,000' — Indian grouping, decimals only when needed, identical on every screen.</t>
        </is>
      </c>
      <c r="G403" s="29" t="inlineStr">
        <is>
          <t>P0</t>
        </is>
      </c>
      <c r="H403" s="29" t="inlineStr">
        <is>
          <t>Calculation</t>
        </is>
      </c>
      <c r="I403" s="30" t="inlineStr">
        <is>
          <t>lib/core/utils/money.dart:105</t>
        </is>
      </c>
      <c r="J403" s="29" t="n"/>
      <c r="K403" s="31" t="inlineStr">
        <is>
          <t>Not Run</t>
        </is>
      </c>
      <c r="L403" s="32" t="n"/>
      <c r="M403" s="33" t="n"/>
      <c r="N403" s="32" t="n"/>
      <c r="O403" s="32" t="n"/>
      <c r="P403" s="32" t="n"/>
      <c r="Q403" s="32" t="n"/>
    </row>
    <row r="404" ht="43" customHeight="1">
      <c r="A404" s="27" t="inlineStr">
        <is>
          <t>BL-CORE-002</t>
        </is>
      </c>
      <c r="B404" s="28" t="inlineStr">
        <is>
          <t>Shared rules: money &amp; time</t>
        </is>
      </c>
      <c r="C404" s="28" t="inlineStr">
        <is>
          <t>Money</t>
        </is>
      </c>
      <c r="D404" s="28" t="inlineStr">
        <is>
          <t>Discounts are shown as negative amounts</t>
        </is>
      </c>
      <c r="E404" s="28" t="inlineStr">
        <is>
          <t>Apply a ₹50 coupon</t>
        </is>
      </c>
      <c r="F404" s="28" t="inlineStr">
        <is>
          <t>'− ₹50' row in green and '₹50 off'; no Discount row when there is none.</t>
        </is>
      </c>
      <c r="G404" s="29" t="inlineStr">
        <is>
          <t>P2</t>
        </is>
      </c>
      <c r="H404" s="29" t="inlineStr">
        <is>
          <t>Calculation</t>
        </is>
      </c>
      <c r="I404" s="30" t="inlineStr">
        <is>
          <t>lib/features/booking/presentation/components/fee_breakdown_card.dart:106</t>
        </is>
      </c>
      <c r="J404" s="29" t="n"/>
      <c r="K404" s="31" t="inlineStr">
        <is>
          <t>Not Run</t>
        </is>
      </c>
      <c r="L404" s="32" t="n"/>
      <c r="M404" s="33" t="n"/>
      <c r="N404" s="32" t="n"/>
      <c r="O404" s="32" t="n"/>
      <c r="P404" s="32" t="n"/>
      <c r="Q404" s="32" t="n"/>
    </row>
    <row r="405" ht="43" customHeight="1">
      <c r="A405" s="27" t="inlineStr">
        <is>
          <t>BL-CORE-003</t>
        </is>
      </c>
      <c r="B405" s="28" t="inlineStr">
        <is>
          <t>Shared rules: money &amp; time</t>
        </is>
      </c>
      <c r="C405" s="28" t="inlineStr">
        <is>
          <t>Money</t>
        </is>
      </c>
      <c r="D405" s="28" t="inlineStr">
        <is>
          <t>Missing optional fees</t>
        </is>
      </c>
      <c r="E405" s="28" t="inlineStr">
        <is>
          <t>Use a booking with no service fee, convenience fee or tax</t>
        </is>
      </c>
      <c r="F405" s="28" t="inlineStr">
        <is>
          <t>Those rows are simply absent; totals still correct.</t>
        </is>
      </c>
      <c r="G405" s="29" t="inlineStr">
        <is>
          <t>P2</t>
        </is>
      </c>
      <c r="H405" s="29" t="inlineStr">
        <is>
          <t>Data mapping</t>
        </is>
      </c>
      <c r="I405" s="30" t="inlineStr">
        <is>
          <t>lib/features/booking/infrastructure/repositories/booking_mappers.dart:336</t>
        </is>
      </c>
      <c r="J405" s="29" t="n"/>
      <c r="K405" s="31" t="inlineStr">
        <is>
          <t>Not Run</t>
        </is>
      </c>
      <c r="L405" s="32" t="n"/>
      <c r="M405" s="33" t="n"/>
      <c r="N405" s="32" t="n"/>
      <c r="O405" s="32" t="n"/>
      <c r="P405" s="32" t="n"/>
      <c r="Q405" s="32" t="n"/>
    </row>
    <row r="406" ht="43" customHeight="1">
      <c r="A406" s="27" t="inlineStr">
        <is>
          <t>BL-CORE-004</t>
        </is>
      </c>
      <c r="B406" s="28" t="inlineStr">
        <is>
          <t>Shared rules: money &amp; time</t>
        </is>
      </c>
      <c r="C406" s="28" t="inlineStr">
        <is>
          <t>Hospital time</t>
        </is>
      </c>
      <c r="D406" s="28" t="inlineStr">
        <is>
          <t>Times are the hospital's, whatever the device zone</t>
        </is>
      </c>
      <c r="E406" s="28" t="inlineStr">
        <is>
          <t>1. Set the device to another time zone
2. Compare slot, summary, payment, appointment and receipt times</t>
        </is>
      </c>
      <c r="F406" s="28" t="inlineStr">
        <is>
          <t>All match the hospital's local time (India time when the hospital has no zone).</t>
        </is>
      </c>
      <c r="G406" s="29" t="inlineStr">
        <is>
          <t>P0</t>
        </is>
      </c>
      <c r="H406" s="29" t="inlineStr">
        <is>
          <t>Calculation</t>
        </is>
      </c>
      <c r="I406" s="30" t="inlineStr">
        <is>
          <t>lib/core/utils/date_utils.dart:303</t>
        </is>
      </c>
      <c r="J406" s="29" t="n"/>
      <c r="K406" s="31" t="inlineStr">
        <is>
          <t>Not Run</t>
        </is>
      </c>
      <c r="L406" s="32" t="n"/>
      <c r="M406" s="33" t="n"/>
      <c r="N406" s="32" t="n"/>
      <c r="O406" s="32" t="n"/>
      <c r="P406" s="32" t="n"/>
      <c r="Q406" s="32" t="n"/>
    </row>
    <row r="407" ht="43" customHeight="1">
      <c r="A407" s="27" t="inlineStr">
        <is>
          <t>BL-CORE-005</t>
        </is>
      </c>
      <c r="B407" s="28" t="inlineStr">
        <is>
          <t>Shared rules: money &amp; time</t>
        </is>
      </c>
      <c r="C407" s="28" t="inlineStr">
        <is>
          <t>Hospital time</t>
        </is>
      </c>
      <c r="D407" s="28" t="inlineStr">
        <is>
          <t>Hospitals outside the supported zones</t>
        </is>
      </c>
      <c r="E407" s="28" t="inlineStr">
        <is>
          <t>Use a hospital in a daylight-saving zone (e.g. Europe/London)</t>
        </is>
      </c>
      <c r="F407" s="28" t="inlineStr">
        <is>
          <t>Confirm acceptable: such zones fall back to the device's time (supported: India, UAE, Singapore, Nepal, Sri Lanka, Bangladesh, UTC).</t>
        </is>
      </c>
      <c r="G407" s="29" t="inlineStr">
        <is>
          <t>P3</t>
        </is>
      </c>
      <c r="H407" s="29" t="inlineStr">
        <is>
          <t>Verify gap</t>
        </is>
      </c>
      <c r="I407" s="30" t="inlineStr">
        <is>
          <t>lib/features/booking/domain/hospital_clock.dart:25</t>
        </is>
      </c>
      <c r="J407" s="29" t="n"/>
      <c r="K407" s="31" t="inlineStr">
        <is>
          <t>Not Run</t>
        </is>
      </c>
      <c r="L407" s="32" t="n"/>
      <c r="M407" s="33" t="n"/>
      <c r="N407" s="32" t="n"/>
      <c r="O407" s="32" t="n"/>
      <c r="P407" s="32" t="n"/>
      <c r="Q407" s="32" t="n"/>
    </row>
    <row r="408" ht="30" customHeight="1">
      <c r="A408" s="27" t="inlineStr">
        <is>
          <t>BL-CORE-006</t>
        </is>
      </c>
      <c r="B408" s="28" t="inlineStr">
        <is>
          <t>Shared rules: money &amp; time</t>
        </is>
      </c>
      <c r="C408" s="28" t="inlineStr">
        <is>
          <t>Hospital time</t>
        </is>
      </c>
      <c r="D408" s="28" t="inlineStr">
        <is>
          <t>Day labels</t>
        </is>
      </c>
      <c r="E408" s="28" t="inlineStr">
        <is>
          <t>Book for today, tomorrow and a later day</t>
        </is>
      </c>
      <c r="F408" s="28" t="inlineStr">
        <is>
          <t>'Today · 22 Sep 2026', 'Tomorrow · …', 'Wed, 24 Sep · …'; times like '9:00 AM'.</t>
        </is>
      </c>
      <c r="G408" s="29" t="inlineStr">
        <is>
          <t>P2</t>
        </is>
      </c>
      <c r="H408" s="29" t="inlineStr">
        <is>
          <t>Calculation</t>
        </is>
      </c>
      <c r="I408" s="30" t="inlineStr">
        <is>
          <t>lib/features/booking/presentation/components/slot_labels.dart:30</t>
        </is>
      </c>
      <c r="J408" s="29" t="n"/>
      <c r="K408" s="31" t="inlineStr">
        <is>
          <t>Not Run</t>
        </is>
      </c>
      <c r="L408" s="32" t="n"/>
      <c r="M408" s="33" t="n"/>
      <c r="N408" s="32" t="n"/>
      <c r="O408" s="32" t="n"/>
      <c r="P408" s="32" t="n"/>
      <c r="Q408" s="32" t="n"/>
    </row>
    <row r="409" ht="43" customHeight="1">
      <c r="A409" s="27" t="inlineStr">
        <is>
          <t>BL-CORE-007</t>
        </is>
      </c>
      <c r="B409" s="28" t="inlineStr">
        <is>
          <t>Shared rules: money &amp; time</t>
        </is>
      </c>
      <c r="C409" s="28" t="inlineStr">
        <is>
          <t>Hospital time</t>
        </is>
      </c>
      <c r="D409" s="28" t="inlineStr">
        <is>
          <t>Deadlines trust the device clock</t>
        </is>
      </c>
      <c r="E409" s="28" t="inlineStr">
        <is>
          <t>1. Set the device clock 10 minutes wrong
2. Watch the payment countdown and the 'Pay within' timer</t>
        </is>
      </c>
      <c r="F409" s="28" t="inlineStr">
        <is>
          <t>Server still enforces the real deadline; check the user is not shown time that does not exist (or an early expiry).</t>
        </is>
      </c>
      <c r="G409" s="29" t="inlineStr">
        <is>
          <t>P1</t>
        </is>
      </c>
      <c r="H409" s="29" t="inlineStr">
        <is>
          <t>Verify gap</t>
        </is>
      </c>
      <c r="I409" s="30" t="inlineStr">
        <is>
          <t>lib/features/booking/domain/hospital_clock.dart:25</t>
        </is>
      </c>
      <c r="J409" s="29" t="n"/>
      <c r="K409" s="31" t="inlineStr">
        <is>
          <t>Not Run</t>
        </is>
      </c>
      <c r="L409" s="32" t="n"/>
      <c r="M409" s="33" t="n"/>
      <c r="N409" s="32" t="n"/>
      <c r="O409" s="32" t="n"/>
      <c r="P409" s="32" t="n"/>
      <c r="Q409" s="32" t="n"/>
    </row>
  </sheetData>
  <autoFilter ref="A1:Q409"/>
  <conditionalFormatting sqref="K2:K1000">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conditionalFormatting sqref="G2:G1000">
    <cfRule type="cellIs" priority="5" operator="equal" dxfId="7">
      <formula>"P0"</formula>
    </cfRule>
  </conditionalFormatting>
  <conditionalFormatting sqref="P2:P1000">
    <cfRule type="expression" priority="6" dxfId="8">
      <formula>AND($K2="Fail",$P2="")</formula>
    </cfRule>
  </conditionalFormatting>
  <dataValidations count="2">
    <dataValidation sqref="K2:K1000" showDropDown="0" showInputMessage="0" showErrorMessage="0" allowBlank="0" type="list">
      <formula1>"Not Run,Pass,Fail,Blocked,N/A"</formula1>
    </dataValidation>
    <dataValidation sqref="G2:G1000" showDropDown="0" showInputMessage="0" showErrorMessage="0" allowBlank="1" type="list">
      <formula1>"P0,P1,P2,P3"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Q439"/>
  <sheetViews>
    <sheetView tabSelected="0"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6" customWidth="1" min="3" max="3"/>
    <col width="34" customWidth="1" min="4" max="4"/>
    <col width="52" customWidth="1" min="5" max="5"/>
    <col width="52" customWidth="1" min="6" max="6"/>
    <col width="9" customWidth="1" min="7" max="7"/>
    <col width="13" customWidth="1" min="8" max="8"/>
    <col width="10" customWidth="1" min="9" max="9"/>
    <col width="13" customWidth="1" min="10" max="10"/>
    <col width="11" customWidth="1" min="11" max="11"/>
    <col width="12" customWidth="1" min="12" max="12"/>
    <col width="12" customWidth="1" min="13" max="13"/>
    <col width="10" customWidth="1" min="14" max="14"/>
    <col width="16" customWidth="1" min="15" max="15"/>
    <col width="11" customWidth="1" min="16" max="16"/>
    <col width="34" customWidth="1" min="17" max="17"/>
  </cols>
  <sheetData>
    <row r="1" ht="30" customHeight="1">
      <c r="A1" s="15" t="inlineStr">
        <is>
          <t>ID</t>
        </is>
      </c>
      <c r="B1" s="15" t="inlineStr">
        <is>
          <t>Module</t>
        </is>
      </c>
      <c r="C1" s="15" t="inlineStr">
        <is>
          <t>Screen / Area</t>
        </is>
      </c>
      <c r="D1" s="15" t="inlineStr">
        <is>
          <t>Test case</t>
        </is>
      </c>
      <c r="E1" s="15" t="inlineStr">
        <is>
          <t>Steps</t>
        </is>
      </c>
      <c r="F1" s="15" t="inlineStr">
        <is>
          <t>Expected result</t>
        </is>
      </c>
      <c r="G1" s="15" t="inlineStr">
        <is>
          <t>Priority</t>
        </is>
      </c>
      <c r="H1" s="15" t="inlineStr">
        <is>
          <t>Type</t>
        </is>
      </c>
      <c r="I1" s="15" t="inlineStr">
        <is>
          <t>Platform</t>
        </is>
      </c>
      <c r="J1" s="15" t="inlineStr">
        <is>
          <t>Needs / Blocker</t>
        </is>
      </c>
      <c r="K1" s="15" t="inlineStr">
        <is>
          <t>Status</t>
        </is>
      </c>
      <c r="L1" s="15" t="inlineStr">
        <is>
          <t>Tester</t>
        </is>
      </c>
      <c r="M1" s="15" t="inlineStr">
        <is>
          <t>Date tested</t>
        </is>
      </c>
      <c r="N1" s="15" t="inlineStr">
        <is>
          <t>Build</t>
        </is>
      </c>
      <c r="O1" s="15" t="inlineStr">
        <is>
          <t>Device / OS</t>
        </is>
      </c>
      <c r="P1" s="15" t="inlineStr">
        <is>
          <t>Defect ID</t>
        </is>
      </c>
      <c r="Q1" s="15" t="inlineStr">
        <is>
          <t>Notes / Actual result</t>
        </is>
      </c>
    </row>
    <row r="2" ht="30" customHeight="1">
      <c r="A2" s="27" t="inlineStr">
        <is>
          <t>ENV-001</t>
        </is>
      </c>
      <c r="B2" s="28" t="inlineStr">
        <is>
          <t>00 Test environment &amp; prerequisites</t>
        </is>
      </c>
      <c r="C2" s="28" t="inlineStr">
        <is>
          <t>Backend</t>
        </is>
      </c>
      <c r="D2" s="28" t="inlineStr">
        <is>
          <t>API reachable over HTTPS with a CA-signed certificate</t>
        </is>
      </c>
      <c r="E2" s="28" t="inlineStr">
        <is>
          <t>1. Run curl against &lt;host&gt;/api/v1/shared/health without -k
2. Open the same URL in a device browser</t>
        </is>
      </c>
      <c r="F2" s="28" t="inlineStr">
        <is>
          <t>200 response, no certificate warning. A self-signed certificate is not acceptable for a production run.</t>
        </is>
      </c>
      <c r="G2" s="29" t="inlineStr">
        <is>
          <t>P0</t>
        </is>
      </c>
      <c r="H2" s="29" t="inlineStr">
        <is>
          <t>Release</t>
        </is>
      </c>
      <c r="I2" s="29" t="inlineStr">
        <is>
          <t>Both</t>
        </is>
      </c>
      <c r="J2" s="29" t="inlineStr">
        <is>
          <t>KB-03</t>
        </is>
      </c>
      <c r="K2" s="31" t="inlineStr">
        <is>
          <t>Not Run</t>
        </is>
      </c>
      <c r="L2" s="32" t="n"/>
      <c r="M2" s="33" t="n"/>
      <c r="N2" s="32" t="n"/>
      <c r="O2" s="32" t="n"/>
      <c r="P2" s="32" t="n"/>
      <c r="Q2" s="32" t="n"/>
    </row>
    <row r="3" ht="69" customHeight="1">
      <c r="A3" s="27" t="inlineStr">
        <is>
          <t>ENV-002</t>
        </is>
      </c>
      <c r="B3" s="28" t="inlineStr">
        <is>
          <t>00 Test environment &amp; prerequisites</t>
        </is>
      </c>
      <c r="C3" s="28" t="inlineStr">
        <is>
          <t>Build</t>
        </is>
      </c>
      <c r="D3" s="28" t="inlineStr">
        <is>
          <t>Build under test is a release build with production defines</t>
        </is>
      </c>
      <c r="E3" s="28" t="inlineStr">
        <is>
          <t>1. Build with --release and MEDIBOOK_ENV=prod, MEDIBOOK_API_BASE_URL=&lt;prod host&gt;, MEDIBOOK_DEMO=false, MEDIBOOK_ALLOW_BAD_CERT=false
2. Install on a device
3. Record the build number in the Read Me sheet</t>
        </is>
      </c>
      <c r="F3" s="28" t="inlineStr">
        <is>
          <t>App starts and talks to the production/pre-prod host. No debug banner. The integration-server IP is not used.</t>
        </is>
      </c>
      <c r="G3" s="29" t="inlineStr">
        <is>
          <t>P0</t>
        </is>
      </c>
      <c r="H3" s="29" t="inlineStr">
        <is>
          <t>Release</t>
        </is>
      </c>
      <c r="I3" s="29" t="inlineStr">
        <is>
          <t>Both</t>
        </is>
      </c>
      <c r="J3" s="29" t="inlineStr">
        <is>
          <t>KB-07</t>
        </is>
      </c>
      <c r="K3" s="31" t="inlineStr">
        <is>
          <t>Not Run</t>
        </is>
      </c>
      <c r="L3" s="32" t="n"/>
      <c r="M3" s="33" t="n"/>
      <c r="N3" s="32" t="n"/>
      <c r="O3" s="32" t="n"/>
      <c r="P3" s="32" t="n"/>
      <c r="Q3" s="32" t="n"/>
    </row>
    <row r="4" ht="43" customHeight="1">
      <c r="A4" s="27" t="inlineStr">
        <is>
          <t>ENV-003</t>
        </is>
      </c>
      <c r="B4" s="28" t="inlineStr">
        <is>
          <t>00 Test environment &amp; prerequisites</t>
        </is>
      </c>
      <c r="C4" s="28" t="inlineStr">
        <is>
          <t>Payments</t>
        </is>
      </c>
      <c r="D4" s="28" t="inlineStr">
        <is>
          <t>Razorpay keys are configured on the backend</t>
        </is>
      </c>
      <c r="E4" s="28" t="inlineStr">
        <is>
          <t>1. Create a booking
2. Inspect the payment_order in the response (proxy)</t>
        </is>
      </c>
      <c r="F4" s="28" t="inlineStr">
        <is>
          <t>payment_order.key_id is a real rzp_test_/rzp_live_ key and gateway_order_id is a real Razorpay order (not order_fake...).</t>
        </is>
      </c>
      <c r="G4" s="29" t="inlineStr">
        <is>
          <t>P0</t>
        </is>
      </c>
      <c r="H4" s="29" t="inlineStr">
        <is>
          <t>Release</t>
        </is>
      </c>
      <c r="I4" s="29" t="inlineStr">
        <is>
          <t>Both</t>
        </is>
      </c>
      <c r="J4" s="29" t="inlineStr">
        <is>
          <t>KB-02</t>
        </is>
      </c>
      <c r="K4" s="31" t="inlineStr">
        <is>
          <t>Not Run</t>
        </is>
      </c>
      <c r="L4" s="32" t="n"/>
      <c r="M4" s="33" t="n"/>
      <c r="N4" s="32" t="n"/>
      <c r="O4" s="32" t="n"/>
      <c r="P4" s="32" t="n"/>
      <c r="Q4" s="32" t="n"/>
    </row>
    <row r="5" ht="30" customHeight="1">
      <c r="A5" s="27" t="inlineStr">
        <is>
          <t>ENV-004</t>
        </is>
      </c>
      <c r="B5" s="28" t="inlineStr">
        <is>
          <t>00 Test environment &amp; prerequisites</t>
        </is>
      </c>
      <c r="C5" s="28" t="inlineStr">
        <is>
          <t>Storage</t>
        </is>
      </c>
      <c r="D5" s="28" t="inlineStr">
        <is>
          <t>File storage host resolves and accepts uploads</t>
        </is>
      </c>
      <c r="E5" s="28" t="inlineStr">
        <is>
          <t>1. POST /shared/files/uploads
2. PUT a file to the returned upload_url</t>
        </is>
      </c>
      <c r="F5" s="28" t="inlineStr">
        <is>
          <t>upload_url points at a resolvable host; PUT returns 2xx; the file reaches status 'clean'.</t>
        </is>
      </c>
      <c r="G5" s="29" t="inlineStr">
        <is>
          <t>P0</t>
        </is>
      </c>
      <c r="H5" s="29" t="inlineStr">
        <is>
          <t>Release</t>
        </is>
      </c>
      <c r="I5" s="29" t="inlineStr">
        <is>
          <t>Both</t>
        </is>
      </c>
      <c r="J5" s="29" t="inlineStr">
        <is>
          <t>KB-01</t>
        </is>
      </c>
      <c r="K5" s="31" t="inlineStr">
        <is>
          <t>Not Run</t>
        </is>
      </c>
      <c r="L5" s="32" t="n"/>
      <c r="M5" s="33" t="n"/>
      <c r="N5" s="32" t="n"/>
      <c r="O5" s="32" t="n"/>
      <c r="P5" s="32" t="n"/>
      <c r="Q5" s="32" t="n"/>
    </row>
    <row r="6" ht="30" customHeight="1">
      <c r="A6" s="27" t="inlineStr">
        <is>
          <t>ENV-005</t>
        </is>
      </c>
      <c r="B6" s="28" t="inlineStr">
        <is>
          <t>00 Test environment &amp; prerequisites</t>
        </is>
      </c>
      <c r="C6" s="28" t="inlineStr">
        <is>
          <t>SMS</t>
        </is>
      </c>
      <c r="D6" s="28" t="inlineStr">
        <is>
          <t>OTP SMS is delivered to real test numbers</t>
        </is>
      </c>
      <c r="E6" s="28" t="inlineStr">
        <is>
          <t>1. Start an OTP login for a test number
2. Wait for the SMS</t>
        </is>
      </c>
      <c r="F6" s="28" t="inlineStr">
        <is>
          <t>SMS arrives within 30 s with a 4-digit code. (India: DLT sender ID and template are registered.)</t>
        </is>
      </c>
      <c r="G6" s="29" t="inlineStr">
        <is>
          <t>P0</t>
        </is>
      </c>
      <c r="H6" s="29" t="inlineStr">
        <is>
          <t>Release</t>
        </is>
      </c>
      <c r="I6" s="29" t="inlineStr">
        <is>
          <t>Both</t>
        </is>
      </c>
      <c r="J6" s="29" t="inlineStr">
        <is>
          <t>KB-05</t>
        </is>
      </c>
      <c r="K6" s="31" t="inlineStr">
        <is>
          <t>Not Run</t>
        </is>
      </c>
      <c r="L6" s="32" t="n"/>
      <c r="M6" s="33" t="n"/>
      <c r="N6" s="32" t="n"/>
      <c r="O6" s="32" t="n"/>
      <c r="P6" s="32" t="n"/>
      <c r="Q6" s="32" t="n"/>
    </row>
    <row r="7" ht="30" customHeight="1">
      <c r="A7" s="27" t="inlineStr">
        <is>
          <t>ENV-006</t>
        </is>
      </c>
      <c r="B7" s="28" t="inlineStr">
        <is>
          <t>00 Test environment &amp; prerequisites</t>
        </is>
      </c>
      <c r="C7" s="28" t="inlineStr">
        <is>
          <t>Push</t>
        </is>
      </c>
      <c r="D7" s="28" t="inlineStr">
        <is>
          <t>Push provider configured for Android and iOS</t>
        </is>
      </c>
      <c r="E7" s="28" t="inlineStr">
        <is>
          <t>Confirm FCM project, APNs key and app registration exist for the release bundle IDs</t>
        </is>
      </c>
      <c r="F7" s="28" t="inlineStr">
        <is>
          <t>A test push sent from the console reaches both platforms.</t>
        </is>
      </c>
      <c r="G7" s="29" t="inlineStr">
        <is>
          <t>P0</t>
        </is>
      </c>
      <c r="H7" s="29" t="inlineStr">
        <is>
          <t>Release</t>
        </is>
      </c>
      <c r="I7" s="29" t="inlineStr">
        <is>
          <t>Both</t>
        </is>
      </c>
      <c r="J7" s="29" t="inlineStr">
        <is>
          <t>KB-04</t>
        </is>
      </c>
      <c r="K7" s="31" t="inlineStr">
        <is>
          <t>Not Run</t>
        </is>
      </c>
      <c r="L7" s="32" t="n"/>
      <c r="M7" s="33" t="n"/>
      <c r="N7" s="32" t="n"/>
      <c r="O7" s="32" t="n"/>
      <c r="P7" s="32" t="n"/>
      <c r="Q7" s="32" t="n"/>
    </row>
    <row r="8" ht="56" customHeight="1">
      <c r="A8" s="27" t="inlineStr">
        <is>
          <t>ENV-007</t>
        </is>
      </c>
      <c r="B8" s="28" t="inlineStr">
        <is>
          <t>00 Test environment &amp; prerequisites</t>
        </is>
      </c>
      <c r="C8" s="28" t="inlineStr">
        <is>
          <t>Test data</t>
        </is>
      </c>
      <c r="D8" s="28" t="inlineStr">
        <is>
          <t>Test accounts are prepared</t>
        </is>
      </c>
      <c r="E8" s="28" t="inlineStr">
        <is>
          <t>Prepare: (a) unregistered mobile number, (b) account with password, (c) OTP-only account, (d) account with 2+ family members, (e) blocked account, (f) account with a completed paid visit, (g) account with a pending deletion request</t>
        </is>
      </c>
      <c r="F8" s="28" t="inlineStr">
        <is>
          <t>All seven accounts exist and their credentials are recorded outside this workbook.</t>
        </is>
      </c>
      <c r="G8" s="29" t="inlineStr">
        <is>
          <t>P0</t>
        </is>
      </c>
      <c r="H8" s="29" t="inlineStr">
        <is>
          <t>Release</t>
        </is>
      </c>
      <c r="I8" s="29" t="inlineStr">
        <is>
          <t>Both</t>
        </is>
      </c>
      <c r="J8" s="29" t="n"/>
      <c r="K8" s="31" t="inlineStr">
        <is>
          <t>Not Run</t>
        </is>
      </c>
      <c r="L8" s="32" t="n"/>
      <c r="M8" s="33" t="n"/>
      <c r="N8" s="32" t="n"/>
      <c r="O8" s="32" t="n"/>
      <c r="P8" s="32" t="n"/>
      <c r="Q8" s="32" t="n"/>
    </row>
    <row r="9" ht="69" customHeight="1">
      <c r="A9" s="27" t="inlineStr">
        <is>
          <t>ENV-008</t>
        </is>
      </c>
      <c r="B9" s="28" t="inlineStr">
        <is>
          <t>00 Test environment &amp; prerequisites</t>
        </is>
      </c>
      <c r="C9" s="28" t="inlineStr">
        <is>
          <t>Test data</t>
        </is>
      </c>
      <c r="D9" s="28" t="inlineStr">
        <is>
          <t>Hospital seed data covers every booking state</t>
        </is>
      </c>
      <c r="E9" s="28" t="inlineStr">
        <is>
          <t>Prepare: hospital with online booking on, hospital with manual approval, hospital with booking off, doctor with free slots today and next 7 days, doctor on leave, a full session, department with no doctors, coupons (valid, expired, minimum-order, usage-capped)</t>
        </is>
      </c>
      <c r="F9" s="28" t="inlineStr">
        <is>
          <t>Every state can be reached from the app without database edits during the run.</t>
        </is>
      </c>
      <c r="G9" s="29" t="inlineStr">
        <is>
          <t>P0</t>
        </is>
      </c>
      <c r="H9" s="29" t="inlineStr">
        <is>
          <t>Release</t>
        </is>
      </c>
      <c r="I9" s="29" t="inlineStr">
        <is>
          <t>Both</t>
        </is>
      </c>
      <c r="J9" s="29" t="n"/>
      <c r="K9" s="31" t="inlineStr">
        <is>
          <t>Not Run</t>
        </is>
      </c>
      <c r="L9" s="32" t="n"/>
      <c r="M9" s="33" t="n"/>
      <c r="N9" s="32" t="n"/>
      <c r="O9" s="32" t="n"/>
      <c r="P9" s="32" t="n"/>
      <c r="Q9" s="32" t="n"/>
    </row>
    <row r="10" ht="30" customHeight="1">
      <c r="A10" s="27" t="inlineStr">
        <is>
          <t>ENV-009</t>
        </is>
      </c>
      <c r="B10" s="28" t="inlineStr">
        <is>
          <t>00 Test environment &amp; prerequisites</t>
        </is>
      </c>
      <c r="C10" s="28" t="inlineStr">
        <is>
          <t>Test data</t>
        </is>
      </c>
      <c r="D10" s="28" t="inlineStr">
        <is>
          <t>Hospital desk user available to run a live session</t>
        </is>
      </c>
      <c r="E10" s="28" t="inlineStr">
        <is>
          <t>Arrange a staff login that can open a session, call tokens, pause, complete and mark no-show</t>
        </is>
      </c>
      <c r="F10" s="28" t="inlineStr">
        <is>
          <t>A tester can drive the queue while a second tester watches the patient app.</t>
        </is>
      </c>
      <c r="G10" s="29" t="inlineStr">
        <is>
          <t>P1</t>
        </is>
      </c>
      <c r="H10" s="29" t="inlineStr">
        <is>
          <t>Release</t>
        </is>
      </c>
      <c r="I10" s="29" t="inlineStr">
        <is>
          <t>Both</t>
        </is>
      </c>
      <c r="J10" s="29" t="inlineStr">
        <is>
          <t>KB-08</t>
        </is>
      </c>
      <c r="K10" s="31" t="inlineStr">
        <is>
          <t>Not Run</t>
        </is>
      </c>
      <c r="L10" s="32" t="n"/>
      <c r="M10" s="33" t="n"/>
      <c r="N10" s="32" t="n"/>
      <c r="O10" s="32" t="n"/>
      <c r="P10" s="32" t="n"/>
      <c r="Q10" s="32" t="n"/>
    </row>
    <row r="11" ht="56" customHeight="1">
      <c r="A11" s="27" t="inlineStr">
        <is>
          <t>ENV-010</t>
        </is>
      </c>
      <c r="B11" s="28" t="inlineStr">
        <is>
          <t>00 Test environment &amp; prerequisites</t>
        </is>
      </c>
      <c r="C11" s="28" t="inlineStr">
        <is>
          <t>Tools</t>
        </is>
      </c>
      <c r="D11" s="28" t="inlineStr">
        <is>
          <t>Test devices and tooling ready</t>
        </is>
      </c>
      <c r="E11" s="28" t="inlineStr">
        <is>
          <t>1. Collect the devices in the Device Matrix sheet
2. Install a proxy (Charles/Proxyman/mitmproxy) and a network throttler
3. Enable adb / Xcode console access</t>
        </is>
      </c>
      <c r="F11" s="28" t="inlineStr">
        <is>
          <t>All devices charged and enrolled; proxy can observe traffic on a debug/profile build for the NET and SEC cases.</t>
        </is>
      </c>
      <c r="G11" s="29" t="inlineStr">
        <is>
          <t>P1</t>
        </is>
      </c>
      <c r="H11" s="29" t="inlineStr">
        <is>
          <t>Release</t>
        </is>
      </c>
      <c r="I11" s="29" t="inlineStr">
        <is>
          <t>Both</t>
        </is>
      </c>
      <c r="J11" s="29" t="n"/>
      <c r="K11" s="31" t="inlineStr">
        <is>
          <t>Not Run</t>
        </is>
      </c>
      <c r="L11" s="32" t="n"/>
      <c r="M11" s="33" t="n"/>
      <c r="N11" s="32" t="n"/>
      <c r="O11" s="32" t="n"/>
      <c r="P11" s="32" t="n"/>
      <c r="Q11" s="32" t="n"/>
    </row>
    <row r="12" ht="69" customHeight="1">
      <c r="A12" s="27" t="inlineStr">
        <is>
          <t>E2E-001</t>
        </is>
      </c>
      <c r="B12" s="28" t="inlineStr">
        <is>
          <t>01 End-to-end journeys (run first)</t>
        </is>
      </c>
      <c r="C12" s="28" t="inlineStr">
        <is>
          <t>Journey 1</t>
        </is>
      </c>
      <c r="D12" s="28" t="inlineStr">
        <is>
          <t>New patient: install to Home</t>
        </is>
      </c>
      <c r="E12" s="28" t="inlineStr">
        <is>
          <t>1. Fresh install
2. Swipe through onboarding
3. Accept terms on the consent screen
4. Sign up with a new mobile number
5. Enter the OTP</t>
        </is>
      </c>
      <c r="F12" s="28" t="inlineStr">
        <is>
          <t>User lands on Home, greeted by first name. Profile shows the entered details. Relaunch goes straight to Home.</t>
        </is>
      </c>
      <c r="G12" s="29" t="inlineStr">
        <is>
          <t>P0</t>
        </is>
      </c>
      <c r="H12" s="29" t="inlineStr">
        <is>
          <t>Functional</t>
        </is>
      </c>
      <c r="I12" s="29" t="inlineStr">
        <is>
          <t>Both</t>
        </is>
      </c>
      <c r="J12" s="29" t="inlineStr">
        <is>
          <t>KB-05</t>
        </is>
      </c>
      <c r="K12" s="31" t="inlineStr">
        <is>
          <t>Not Run</t>
        </is>
      </c>
      <c r="L12" s="32" t="n"/>
      <c r="M12" s="33" t="n"/>
      <c r="N12" s="32" t="n"/>
      <c r="O12" s="32" t="n"/>
      <c r="P12" s="32" t="n"/>
      <c r="Q12" s="32" t="n"/>
    </row>
    <row r="13" ht="69" customHeight="1">
      <c r="A13" s="27" t="inlineStr">
        <is>
          <t>E2E-002</t>
        </is>
      </c>
      <c r="B13" s="28" t="inlineStr">
        <is>
          <t>01 End-to-end journeys (run first)</t>
        </is>
      </c>
      <c r="C13" s="28" t="inlineStr">
        <is>
          <t>Journey 2</t>
        </is>
      </c>
      <c r="D13" s="28" t="inlineStr">
        <is>
          <t>Book and pay for myself</t>
        </is>
      </c>
      <c r="E13" s="28" t="inlineStr">
        <is>
          <t>1. Home &gt; pick a department
2. Choose hospital, doctor, date and slot
3. Select yourself as patient
4. Review the fee
5. Confirm and pay with a Razorpay test method</t>
        </is>
      </c>
      <c r="F13" s="28" t="inlineStr">
        <is>
          <t>Success screen shows the server booking reference and token. Appointment appears under Upcoming as confirmed and paid. A confirmation notification arrives.</t>
        </is>
      </c>
      <c r="G13" s="29" t="inlineStr">
        <is>
          <t>P0</t>
        </is>
      </c>
      <c r="H13" s="29" t="inlineStr">
        <is>
          <t>Functional</t>
        </is>
      </c>
      <c r="I13" s="29" t="inlineStr">
        <is>
          <t>Both</t>
        </is>
      </c>
      <c r="J13" s="29" t="inlineStr">
        <is>
          <t>KB-02</t>
        </is>
      </c>
      <c r="K13" s="31" t="inlineStr">
        <is>
          <t>Not Run</t>
        </is>
      </c>
      <c r="L13" s="32" t="n"/>
      <c r="M13" s="33" t="n"/>
      <c r="N13" s="32" t="n"/>
      <c r="O13" s="32" t="n"/>
      <c r="P13" s="32" t="n"/>
      <c r="Q13" s="32" t="n"/>
    </row>
    <row r="14" ht="56" customHeight="1">
      <c r="A14" s="27" t="inlineStr">
        <is>
          <t>E2E-003</t>
        </is>
      </c>
      <c r="B14" s="28" t="inlineStr">
        <is>
          <t>01 End-to-end journeys (run first)</t>
        </is>
      </c>
      <c r="C14" s="28" t="inlineStr">
        <is>
          <t>Journey 3</t>
        </is>
      </c>
      <c r="D14" s="28" t="inlineStr">
        <is>
          <t>Book for a family member with a coupon</t>
        </is>
      </c>
      <c r="E14" s="28" t="inlineStr">
        <is>
          <t>1. Add a family member
2. Start a booking and choose that member
3. Apply a valid coupon
4. Pay</t>
        </is>
      </c>
      <c r="F14" s="28" t="inlineStr">
        <is>
          <t>Discount line appears and the amount charged equals the discounted total. Appointment shows the family member as patient.</t>
        </is>
      </c>
      <c r="G14" s="29" t="inlineStr">
        <is>
          <t>P0</t>
        </is>
      </c>
      <c r="H14" s="29" t="inlineStr">
        <is>
          <t>Functional</t>
        </is>
      </c>
      <c r="I14" s="29" t="inlineStr">
        <is>
          <t>Both</t>
        </is>
      </c>
      <c r="J14" s="29" t="inlineStr">
        <is>
          <t>KB-02</t>
        </is>
      </c>
      <c r="K14" s="31" t="inlineStr">
        <is>
          <t>Not Run</t>
        </is>
      </c>
      <c r="L14" s="32" t="n"/>
      <c r="M14" s="33" t="n"/>
      <c r="N14" s="32" t="n"/>
      <c r="O14" s="32" t="n"/>
      <c r="P14" s="32" t="n"/>
      <c r="Q14" s="32" t="n"/>
    </row>
    <row r="15" ht="69" customHeight="1">
      <c r="A15" s="27" t="inlineStr">
        <is>
          <t>E2E-004</t>
        </is>
      </c>
      <c r="B15" s="28" t="inlineStr">
        <is>
          <t>01 End-to-end journeys (run first)</t>
        </is>
      </c>
      <c r="C15" s="28" t="inlineStr">
        <is>
          <t>Journey 4</t>
        </is>
      </c>
      <c r="D15" s="28" t="inlineStr">
        <is>
          <t>Visit day: queue to receipt to review</t>
        </is>
      </c>
      <c r="E15" s="28" t="inlineStr">
        <is>
          <t>1. With a booking for today, open Live queue
2. Desk user opens the session and calls tokens up to yours
3. Desk completes the consultation
4. Open the receipt
5. Rate the visit</t>
        </is>
      </c>
      <c r="F15" s="28" t="inlineStr">
        <is>
          <t>Queue updates live; 'your turn' alert appears when the token is called; appointment moves to Completed; receipt shows correct lines and GST; rating is saved and the Rate button disappears.</t>
        </is>
      </c>
      <c r="G15" s="29" t="inlineStr">
        <is>
          <t>P0</t>
        </is>
      </c>
      <c r="H15" s="29" t="inlineStr">
        <is>
          <t>Functional</t>
        </is>
      </c>
      <c r="I15" s="29" t="inlineStr">
        <is>
          <t>Both</t>
        </is>
      </c>
      <c r="J15" s="29" t="inlineStr">
        <is>
          <t>KB-02, KB-08</t>
        </is>
      </c>
      <c r="K15" s="31" t="inlineStr">
        <is>
          <t>Not Run</t>
        </is>
      </c>
      <c r="L15" s="32" t="n"/>
      <c r="M15" s="33" t="n"/>
      <c r="N15" s="32" t="n"/>
      <c r="O15" s="32" t="n"/>
      <c r="P15" s="32" t="n"/>
      <c r="Q15" s="32" t="n"/>
    </row>
    <row r="16" ht="56" customHeight="1">
      <c r="A16" s="27" t="inlineStr">
        <is>
          <t>E2E-005</t>
        </is>
      </c>
      <c r="B16" s="28" t="inlineStr">
        <is>
          <t>01 End-to-end journeys (run first)</t>
        </is>
      </c>
      <c r="C16" s="28" t="inlineStr">
        <is>
          <t>Journey 5</t>
        </is>
      </c>
      <c r="D16" s="28" t="inlineStr">
        <is>
          <t>Cancel a paid appointment and receive a refund</t>
        </is>
      </c>
      <c r="E16" s="28" t="inlineStr">
        <is>
          <t>1. Open an upcoming paid appointment
2. Tap Cancel
3. Read the refund preview
4. Confirm</t>
        </is>
      </c>
      <c r="F16" s="28" t="inlineStr">
        <is>
          <t>Refund amount in the preview matches the hospital policy; appointment moves to Cancelled; refund record shows with a status; the slot is bookable again.</t>
        </is>
      </c>
      <c r="G16" s="29" t="inlineStr">
        <is>
          <t>P0</t>
        </is>
      </c>
      <c r="H16" s="29" t="inlineStr">
        <is>
          <t>Functional</t>
        </is>
      </c>
      <c r="I16" s="29" t="inlineStr">
        <is>
          <t>Both</t>
        </is>
      </c>
      <c r="J16" s="29" t="inlineStr">
        <is>
          <t>KB-02</t>
        </is>
      </c>
      <c r="K16" s="31" t="inlineStr">
        <is>
          <t>Not Run</t>
        </is>
      </c>
      <c r="L16" s="32" t="n"/>
      <c r="M16" s="33" t="n"/>
      <c r="N16" s="32" t="n"/>
      <c r="O16" s="32" t="n"/>
      <c r="P16" s="32" t="n"/>
      <c r="Q16" s="32" t="n"/>
    </row>
    <row r="17" ht="95" customHeight="1">
      <c r="A17" s="27" t="inlineStr">
        <is>
          <t>E2E-006</t>
        </is>
      </c>
      <c r="B17" s="28" t="inlineStr">
        <is>
          <t>01 End-to-end journeys (run first)</t>
        </is>
      </c>
      <c r="C17" s="28" t="inlineStr">
        <is>
          <t>Journey 6</t>
        </is>
      </c>
      <c r="D17" s="28" t="inlineStr">
        <is>
          <t>Health record lifecycle</t>
        </is>
      </c>
      <c r="E17" s="28" t="inlineStr">
        <is>
          <t>1. Records &gt; Add record
2. Attach a PDF, fill title, type, date and person
3. Save
4. Open it
5. Download
6. Edit the title
7. Delete</t>
        </is>
      </c>
      <c r="F17" s="28" t="inlineStr">
        <is>
          <t>Upload completes after the virus scan, document opens and downloads, edit is saved, delete removes it from the list.</t>
        </is>
      </c>
      <c r="G17" s="29" t="inlineStr">
        <is>
          <t>P0</t>
        </is>
      </c>
      <c r="H17" s="29" t="inlineStr">
        <is>
          <t>Functional</t>
        </is>
      </c>
      <c r="I17" s="29" t="inlineStr">
        <is>
          <t>Both</t>
        </is>
      </c>
      <c r="J17" s="29" t="inlineStr">
        <is>
          <t>KB-01</t>
        </is>
      </c>
      <c r="K17" s="31" t="inlineStr">
        <is>
          <t>Not Run</t>
        </is>
      </c>
      <c r="L17" s="32" t="n"/>
      <c r="M17" s="33" t="n"/>
      <c r="N17" s="32" t="n"/>
      <c r="O17" s="32" t="n"/>
      <c r="P17" s="32" t="n"/>
      <c r="Q17" s="32" t="n"/>
    </row>
    <row r="18" ht="56" customHeight="1">
      <c r="A18" s="27" t="inlineStr">
        <is>
          <t>E2E-007</t>
        </is>
      </c>
      <c r="B18" s="28" t="inlineStr">
        <is>
          <t>01 End-to-end journeys (run first)</t>
        </is>
      </c>
      <c r="C18" s="28" t="inlineStr">
        <is>
          <t>Journey 7</t>
        </is>
      </c>
      <c r="D18" s="28" t="inlineStr">
        <is>
          <t>Returning user after app kill</t>
        </is>
      </c>
      <c r="E18" s="28" t="inlineStr">
        <is>
          <t>1. Sign in
2. Use the app
3. Force-stop the app
4. Relaunch</t>
        </is>
      </c>
      <c r="F18" s="28" t="inlineStr">
        <is>
          <t>Splash then Home with no flash of the sign-in screen. Cached content appears immediately and refreshes in the background.</t>
        </is>
      </c>
      <c r="G18" s="29" t="inlineStr">
        <is>
          <t>P0</t>
        </is>
      </c>
      <c r="H18" s="29" t="inlineStr">
        <is>
          <t>Functional</t>
        </is>
      </c>
      <c r="I18" s="29" t="inlineStr">
        <is>
          <t>Both</t>
        </is>
      </c>
      <c r="J18" s="29" t="n"/>
      <c r="K18" s="31" t="inlineStr">
        <is>
          <t>Not Run</t>
        </is>
      </c>
      <c r="L18" s="32" t="n"/>
      <c r="M18" s="33" t="n"/>
      <c r="N18" s="32" t="n"/>
      <c r="O18" s="32" t="n"/>
      <c r="P18" s="32" t="n"/>
      <c r="Q18" s="32" t="n"/>
    </row>
    <row r="19" ht="69" customHeight="1">
      <c r="A19" s="27" t="inlineStr">
        <is>
          <t>E2E-008</t>
        </is>
      </c>
      <c r="B19" s="28" t="inlineStr">
        <is>
          <t>01 End-to-end journeys (run first)</t>
        </is>
      </c>
      <c r="C19" s="28" t="inlineStr">
        <is>
          <t>Journey 8</t>
        </is>
      </c>
      <c r="D19" s="28" t="inlineStr">
        <is>
          <t>Forgot password</t>
        </is>
      </c>
      <c r="E19" s="28" t="inlineStr">
        <is>
          <t>1. Login &gt; Forgot password
2. Enter the mobile number
3. Enter the OTP
4. Set a new password
5. Sign in</t>
        </is>
      </c>
      <c r="F19" s="28" t="inlineStr">
        <is>
          <t>Reset succeeds, user is sent to sign-in, the new password works and the old one does not. Other signed-in devices are signed out.</t>
        </is>
      </c>
      <c r="G19" s="29" t="inlineStr">
        <is>
          <t>P0</t>
        </is>
      </c>
      <c r="H19" s="29" t="inlineStr">
        <is>
          <t>Functional</t>
        </is>
      </c>
      <c r="I19" s="29" t="inlineStr">
        <is>
          <t>Both</t>
        </is>
      </c>
      <c r="J19" s="29" t="inlineStr">
        <is>
          <t>KB-05</t>
        </is>
      </c>
      <c r="K19" s="31" t="inlineStr">
        <is>
          <t>Not Run</t>
        </is>
      </c>
      <c r="L19" s="32" t="n"/>
      <c r="M19" s="33" t="n"/>
      <c r="N19" s="32" t="n"/>
      <c r="O19" s="32" t="n"/>
      <c r="P19" s="32" t="n"/>
      <c r="Q19" s="32" t="n"/>
    </row>
    <row r="20" ht="69" customHeight="1">
      <c r="A20" s="27" t="inlineStr">
        <is>
          <t>E2E-009</t>
        </is>
      </c>
      <c r="B20" s="28" t="inlineStr">
        <is>
          <t>01 End-to-end journeys (run first)</t>
        </is>
      </c>
      <c r="C20" s="28" t="inlineStr">
        <is>
          <t>Journey 9</t>
        </is>
      </c>
      <c r="D20" s="28" t="inlineStr">
        <is>
          <t>Offline and back</t>
        </is>
      </c>
      <c r="E20" s="28" t="inlineStr">
        <is>
          <t>1. Load Home, Appointments and Records online
2. Turn on airplane mode
3. Browse the same screens
4. Try to book
5. Turn airplane mode off</t>
        </is>
      </c>
      <c r="F20" s="28" t="inlineStr">
        <is>
          <t>Saved data is shown with an offline indication; booking is refused with a clear message (no crash, no duplicate); everything refreshes when the connection returns.</t>
        </is>
      </c>
      <c r="G20" s="29" t="inlineStr">
        <is>
          <t>P0</t>
        </is>
      </c>
      <c r="H20" s="29" t="inlineStr">
        <is>
          <t>Offline</t>
        </is>
      </c>
      <c r="I20" s="29" t="inlineStr">
        <is>
          <t>Both</t>
        </is>
      </c>
      <c r="J20" s="29" t="n"/>
      <c r="K20" s="31" t="inlineStr">
        <is>
          <t>Not Run</t>
        </is>
      </c>
      <c r="L20" s="32" t="n"/>
      <c r="M20" s="33" t="n"/>
      <c r="N20" s="32" t="n"/>
      <c r="O20" s="32" t="n"/>
      <c r="P20" s="32" t="n"/>
      <c r="Q20" s="32" t="n"/>
    </row>
    <row r="21" ht="56" customHeight="1">
      <c r="A21" s="27" t="inlineStr">
        <is>
          <t>E2E-010</t>
        </is>
      </c>
      <c r="B21" s="28" t="inlineStr">
        <is>
          <t>01 End-to-end journeys (run first)</t>
        </is>
      </c>
      <c r="C21" s="28" t="inlineStr">
        <is>
          <t>Journey 10</t>
        </is>
      </c>
      <c r="D21" s="28" t="inlineStr">
        <is>
          <t>Support ticket</t>
        </is>
      </c>
      <c r="E21" s="28" t="inlineStr">
        <is>
          <t>1. Profile &gt; Help &amp; Support
2. Raise a request with category, subject and description
3. Open the ticket
4. Send a reply</t>
        </is>
      </c>
      <c r="F21" s="28" t="inlineStr">
        <is>
          <t>Ticket is created with a ticket number, appears in the list, and the reply shows in the thread.</t>
        </is>
      </c>
      <c r="G21" s="29" t="inlineStr">
        <is>
          <t>P1</t>
        </is>
      </c>
      <c r="H21" s="29" t="inlineStr">
        <is>
          <t>Functional</t>
        </is>
      </c>
      <c r="I21" s="29" t="inlineStr">
        <is>
          <t>Both</t>
        </is>
      </c>
      <c r="J21" s="29" t="n"/>
      <c r="K21" s="31" t="inlineStr">
        <is>
          <t>Not Run</t>
        </is>
      </c>
      <c r="L21" s="32" t="n"/>
      <c r="M21" s="33" t="n"/>
      <c r="N21" s="32" t="n"/>
      <c r="O21" s="32" t="n"/>
      <c r="P21" s="32" t="n"/>
      <c r="Q21" s="32" t="n"/>
    </row>
    <row r="22" ht="56" customHeight="1">
      <c r="A22" s="27" t="inlineStr">
        <is>
          <t>E2E-011</t>
        </is>
      </c>
      <c r="B22" s="28" t="inlineStr">
        <is>
          <t>01 End-to-end journeys (run first)</t>
        </is>
      </c>
      <c r="C22" s="28" t="inlineStr">
        <is>
          <t>Journey 11</t>
        </is>
      </c>
      <c r="D22" s="28" t="inlineStr">
        <is>
          <t>Account deletion and reactivation</t>
        </is>
      </c>
      <c r="E22" s="28" t="inlineStr">
        <is>
          <t>1. Profile &gt; Delete account
2. Give a reason and confirm
3. Observe the pending state
4. Reactivate</t>
        </is>
      </c>
      <c r="F22" s="28" t="inlineStr">
        <is>
          <t>Request number and the cooling-off end date are shown; account shows as pending deletion; Reactivate restores it to active.</t>
        </is>
      </c>
      <c r="G22" s="29" t="inlineStr">
        <is>
          <t>P0</t>
        </is>
      </c>
      <c r="H22" s="29" t="inlineStr">
        <is>
          <t>Functional</t>
        </is>
      </c>
      <c r="I22" s="29" t="inlineStr">
        <is>
          <t>Both</t>
        </is>
      </c>
      <c r="J22" s="29" t="n"/>
      <c r="K22" s="31" t="inlineStr">
        <is>
          <t>Not Run</t>
        </is>
      </c>
      <c r="L22" s="32" t="n"/>
      <c r="M22" s="33" t="n"/>
      <c r="N22" s="32" t="n"/>
      <c r="O22" s="32" t="n"/>
      <c r="P22" s="32" t="n"/>
      <c r="Q22" s="32" t="n"/>
    </row>
    <row r="23" ht="43" customHeight="1">
      <c r="A23" s="27" t="inlineStr">
        <is>
          <t>E2E-012</t>
        </is>
      </c>
      <c r="B23" s="28" t="inlineStr">
        <is>
          <t>01 End-to-end journeys (run first)</t>
        </is>
      </c>
      <c r="C23" s="28" t="inlineStr">
        <is>
          <t>Journey 12</t>
        </is>
      </c>
      <c r="D23" s="28" t="inlineStr">
        <is>
          <t>Sign out and sign back in with OTP</t>
        </is>
      </c>
      <c r="E23" s="28" t="inlineStr">
        <is>
          <t>1. Profile &gt; Log out
2. Confirm
3. Sign in with mobile + OTP</t>
        </is>
      </c>
      <c r="F23" s="28" t="inlineStr">
        <is>
          <t>Logout returns to sign-in and Back does not reveal signed-in screens. OTP sign-in lands on Home with the same data.</t>
        </is>
      </c>
      <c r="G23" s="29" t="inlineStr">
        <is>
          <t>P0</t>
        </is>
      </c>
      <c r="H23" s="29" t="inlineStr">
        <is>
          <t>Functional</t>
        </is>
      </c>
      <c r="I23" s="29" t="inlineStr">
        <is>
          <t>Both</t>
        </is>
      </c>
      <c r="J23" s="29" t="inlineStr">
        <is>
          <t>KB-05</t>
        </is>
      </c>
      <c r="K23" s="31" t="inlineStr">
        <is>
          <t>Not Run</t>
        </is>
      </c>
      <c r="L23" s="32" t="n"/>
      <c r="M23" s="33" t="n"/>
      <c r="N23" s="32" t="n"/>
      <c r="O23" s="32" t="n"/>
      <c r="P23" s="32" t="n"/>
      <c r="Q23" s="32" t="n"/>
    </row>
    <row r="24" ht="43" customHeight="1">
      <c r="A24" s="27" t="inlineStr">
        <is>
          <t>INS-001</t>
        </is>
      </c>
      <c r="B24" s="28" t="inlineStr">
        <is>
          <t>02 Install, launch &amp; bootstrap</t>
        </is>
      </c>
      <c r="C24" s="28" t="inlineStr">
        <is>
          <t>Install</t>
        </is>
      </c>
      <c r="D24" s="28" t="inlineStr">
        <is>
          <t>Fresh install of the release build launches</t>
        </is>
      </c>
      <c r="E24" s="28" t="inlineStr">
        <is>
          <t>1. Install the signed release build (Play internal track / TestFlight)
2. Tap the icon</t>
        </is>
      </c>
      <c r="F24" s="28" t="inlineStr">
        <is>
          <t>App opens without a crash or ANR.</t>
        </is>
      </c>
      <c r="G24" s="29" t="inlineStr">
        <is>
          <t>P0</t>
        </is>
      </c>
      <c r="H24" s="29" t="inlineStr">
        <is>
          <t>Functional</t>
        </is>
      </c>
      <c r="I24" s="29" t="inlineStr">
        <is>
          <t>Both</t>
        </is>
      </c>
      <c r="J24" s="29" t="n"/>
      <c r="K24" s="31" t="inlineStr">
        <is>
          <t>Not Run</t>
        </is>
      </c>
      <c r="L24" s="32" t="n"/>
      <c r="M24" s="33" t="n"/>
      <c r="N24" s="32" t="n"/>
      <c r="O24" s="32" t="n"/>
      <c r="P24" s="32" t="n"/>
      <c r="Q24" s="32" t="n"/>
    </row>
    <row r="25" ht="30" customHeight="1">
      <c r="A25" s="27" t="inlineStr">
        <is>
          <t>INS-002</t>
        </is>
      </c>
      <c r="B25" s="28" t="inlineStr">
        <is>
          <t>02 Install, launch &amp; bootstrap</t>
        </is>
      </c>
      <c r="C25" s="28" t="inlineStr">
        <is>
          <t>Splash</t>
        </is>
      </c>
      <c r="D25" s="28" t="inlineStr">
        <is>
          <t>Splash sequence has no flash</t>
        </is>
      </c>
      <c r="E25" s="28" t="inlineStr">
        <is>
          <t>1. Launch on a light-mode device
2. Launch on a dark-mode device</t>
        </is>
      </c>
      <c r="F25" s="28" t="inlineStr">
        <is>
          <t>Light: white splash with the brand mark. Dark: navy splash. No white/black flash before the first screen.</t>
        </is>
      </c>
      <c r="G25" s="29" t="inlineStr">
        <is>
          <t>P2</t>
        </is>
      </c>
      <c r="H25" s="29" t="inlineStr">
        <is>
          <t>UI</t>
        </is>
      </c>
      <c r="I25" s="29" t="inlineStr">
        <is>
          <t>Both</t>
        </is>
      </c>
      <c r="J25" s="29" t="n"/>
      <c r="K25" s="31" t="inlineStr">
        <is>
          <t>Not Run</t>
        </is>
      </c>
      <c r="L25" s="32" t="n"/>
      <c r="M25" s="33" t="n"/>
      <c r="N25" s="32" t="n"/>
      <c r="O25" s="32" t="n"/>
      <c r="P25" s="32" t="n"/>
      <c r="Q25" s="32" t="n"/>
    </row>
    <row r="26" ht="30" customHeight="1">
      <c r="A26" s="27" t="inlineStr">
        <is>
          <t>INS-003</t>
        </is>
      </c>
      <c r="B26" s="28" t="inlineStr">
        <is>
          <t>02 Install, launch &amp; bootstrap</t>
        </is>
      </c>
      <c r="C26" s="28" t="inlineStr">
        <is>
          <t>Launcher</t>
        </is>
      </c>
      <c r="D26" s="28" t="inlineStr">
        <is>
          <t>App name and icon are correct</t>
        </is>
      </c>
      <c r="E26" s="28" t="inlineStr">
        <is>
          <t>1. Look at the launcher / home screen
2. On Android 13+, enable themed icons</t>
        </is>
      </c>
      <c r="F26" s="28" t="inlineStr">
        <is>
          <t>Label reads 'Medibook'. Icon is the brand mark; adaptive and monochrome icons render correctly.</t>
        </is>
      </c>
      <c r="G26" s="29" t="inlineStr">
        <is>
          <t>P2</t>
        </is>
      </c>
      <c r="H26" s="29" t="inlineStr">
        <is>
          <t>UI</t>
        </is>
      </c>
      <c r="I26" s="29" t="inlineStr">
        <is>
          <t>Both</t>
        </is>
      </c>
      <c r="J26" s="29" t="n"/>
      <c r="K26" s="31" t="inlineStr">
        <is>
          <t>Not Run</t>
        </is>
      </c>
      <c r="L26" s="32" t="n"/>
      <c r="M26" s="33" t="n"/>
      <c r="N26" s="32" t="n"/>
      <c r="O26" s="32" t="n"/>
      <c r="P26" s="32" t="n"/>
      <c r="Q26" s="32" t="n"/>
    </row>
    <row r="27" ht="43" customHeight="1">
      <c r="A27" s="27" t="inlineStr">
        <is>
          <t>INS-004</t>
        </is>
      </c>
      <c r="B27" s="28" t="inlineStr">
        <is>
          <t>02 Install, launch &amp; bootstrap</t>
        </is>
      </c>
      <c r="C27" s="28" t="inlineStr">
        <is>
          <t>First run</t>
        </is>
      </c>
      <c r="D27" s="28" t="inlineStr">
        <is>
          <t>Onboarding shows only on first run</t>
        </is>
      </c>
      <c r="E27" s="28" t="inlineStr">
        <is>
          <t>1. Fresh install &gt; launch
2. Finish onboarding
3. Kill and relaunch</t>
        </is>
      </c>
      <c r="F27" s="28" t="inlineStr">
        <is>
          <t>Onboarding appears the first time only; later launches go to sign-in or Home.</t>
        </is>
      </c>
      <c r="G27" s="29" t="inlineStr">
        <is>
          <t>P1</t>
        </is>
      </c>
      <c r="H27" s="29" t="inlineStr">
        <is>
          <t>Functional</t>
        </is>
      </c>
      <c r="I27" s="29" t="inlineStr">
        <is>
          <t>Both</t>
        </is>
      </c>
      <c r="J27" s="29" t="n"/>
      <c r="K27" s="31" t="inlineStr">
        <is>
          <t>Not Run</t>
        </is>
      </c>
      <c r="L27" s="32" t="n"/>
      <c r="M27" s="33" t="n"/>
      <c r="N27" s="32" t="n"/>
      <c r="O27" s="32" t="n"/>
      <c r="P27" s="32" t="n"/>
      <c r="Q27" s="32" t="n"/>
    </row>
    <row r="28" ht="43" customHeight="1">
      <c r="A28" s="27" t="inlineStr">
        <is>
          <t>INS-005</t>
        </is>
      </c>
      <c r="B28" s="28" t="inlineStr">
        <is>
          <t>02 Install, launch &amp; bootstrap</t>
        </is>
      </c>
      <c r="C28" s="28" t="inlineStr">
        <is>
          <t>Splash</t>
        </is>
      </c>
      <c r="D28" s="28" t="inlineStr">
        <is>
          <t>Session is resolved before any screen is shown</t>
        </is>
      </c>
      <c r="E28" s="28" t="inlineStr">
        <is>
          <t>1. Sign in
2. Kill the app
3. Relaunch on a slow device</t>
        </is>
      </c>
      <c r="F28" s="28" t="inlineStr">
        <is>
          <t>Splash stays until the session is known; a signed-in user never sees the sign-in screen flash.</t>
        </is>
      </c>
      <c r="G28" s="29" t="inlineStr">
        <is>
          <t>P1</t>
        </is>
      </c>
      <c r="H28" s="29" t="inlineStr">
        <is>
          <t>Functional</t>
        </is>
      </c>
      <c r="I28" s="29" t="inlineStr">
        <is>
          <t>Both</t>
        </is>
      </c>
      <c r="J28" s="29" t="n"/>
      <c r="K28" s="31" t="inlineStr">
        <is>
          <t>Not Run</t>
        </is>
      </c>
      <c r="L28" s="32" t="n"/>
      <c r="M28" s="33" t="n"/>
      <c r="N28" s="32" t="n"/>
      <c r="O28" s="32" t="n"/>
      <c r="P28" s="32" t="n"/>
      <c r="Q28" s="32" t="n"/>
    </row>
    <row r="29" ht="30" customHeight="1">
      <c r="A29" s="27" t="inlineStr">
        <is>
          <t>INS-006</t>
        </is>
      </c>
      <c r="B29" s="28" t="inlineStr">
        <is>
          <t>02 Install, launch &amp; bootstrap</t>
        </is>
      </c>
      <c r="C29" s="28" t="inlineStr">
        <is>
          <t>Release</t>
        </is>
      </c>
      <c r="D29" s="28" t="inlineStr">
        <is>
          <t>No demo affordances in the release build</t>
        </is>
      </c>
      <c r="E29" s="28" t="inlineStr">
        <is>
          <t>Open sign-in, sign-up and OTP screens</t>
        </is>
      </c>
      <c r="F29" s="28" t="inlineStr">
        <is>
          <t>No prefilled credentials, no 'Demo login is prefilled' text, no 'Demo code: 1234' hint, no reviewer screen-jump menu.</t>
        </is>
      </c>
      <c r="G29" s="29" t="inlineStr">
        <is>
          <t>P0</t>
        </is>
      </c>
      <c r="H29" s="29" t="inlineStr">
        <is>
          <t>Security</t>
        </is>
      </c>
      <c r="I29" s="29" t="inlineStr">
        <is>
          <t>Both</t>
        </is>
      </c>
      <c r="J29" s="29" t="n"/>
      <c r="K29" s="31" t="inlineStr">
        <is>
          <t>Not Run</t>
        </is>
      </c>
      <c r="L29" s="32" t="n"/>
      <c r="M29" s="33" t="n"/>
      <c r="N29" s="32" t="n"/>
      <c r="O29" s="32" t="n"/>
      <c r="P29" s="32" t="n"/>
      <c r="Q29" s="32" t="n"/>
    </row>
    <row r="30" ht="43" customHeight="1">
      <c r="A30" s="27" t="inlineStr">
        <is>
          <t>INS-007</t>
        </is>
      </c>
      <c r="B30" s="28" t="inlineStr">
        <is>
          <t>02 Install, launch &amp; bootstrap</t>
        </is>
      </c>
      <c r="C30" s="28" t="inlineStr">
        <is>
          <t>Release</t>
        </is>
      </c>
      <c r="D30" s="28" t="inlineStr">
        <is>
          <t>Production build refuses unsafe configuration</t>
        </is>
      </c>
      <c r="E30" s="28" t="inlineStr">
        <is>
          <t>1. Build with MEDIBOOK_ENV=prod and MEDIBOOK_DEMO=true (then again with MEDIBOOK_ALLOW_BAD_CERT=true)
2. Launch</t>
        </is>
      </c>
      <c r="F30" s="28" t="inlineStr">
        <is>
          <t>The app refuses to start and logs a clear configuration error for each case.</t>
        </is>
      </c>
      <c r="G30" s="29" t="inlineStr">
        <is>
          <t>P1</t>
        </is>
      </c>
      <c r="H30" s="29" t="inlineStr">
        <is>
          <t>Release</t>
        </is>
      </c>
      <c r="I30" s="29" t="inlineStr">
        <is>
          <t>Both</t>
        </is>
      </c>
      <c r="J30" s="29" t="n"/>
      <c r="K30" s="31" t="inlineStr">
        <is>
          <t>Not Run</t>
        </is>
      </c>
      <c r="L30" s="32" t="n"/>
      <c r="M30" s="33" t="n"/>
      <c r="N30" s="32" t="n"/>
      <c r="O30" s="32" t="n"/>
      <c r="P30" s="32" t="n"/>
      <c r="Q30" s="32" t="n"/>
    </row>
    <row r="31" ht="43" customHeight="1">
      <c r="A31" s="27" t="inlineStr">
        <is>
          <t>INS-008</t>
        </is>
      </c>
      <c r="B31" s="28" t="inlineStr">
        <is>
          <t>02 Install, launch &amp; bootstrap</t>
        </is>
      </c>
      <c r="C31" s="28" t="inlineStr">
        <is>
          <t>Upgrade</t>
        </is>
      </c>
      <c r="D31" s="28" t="inlineStr">
        <is>
          <t>Upgrade over an older build keeps the user signed in</t>
        </is>
      </c>
      <c r="E31" s="28" t="inlineStr">
        <is>
          <t>1. Install the previous build and sign in
2. Install the new build over it
3. Launch</t>
        </is>
      </c>
      <c r="F31" s="28" t="inlineStr">
        <is>
          <t>No crash; session and settings survive; cached data is migrated or rebuilt cleanly.</t>
        </is>
      </c>
      <c r="G31" s="29" t="inlineStr">
        <is>
          <t>P1</t>
        </is>
      </c>
      <c r="H31" s="29" t="inlineStr">
        <is>
          <t>Compatibility</t>
        </is>
      </c>
      <c r="I31" s="29" t="inlineStr">
        <is>
          <t>Both</t>
        </is>
      </c>
      <c r="J31" s="29" t="n"/>
      <c r="K31" s="31" t="inlineStr">
        <is>
          <t>Not Run</t>
        </is>
      </c>
      <c r="L31" s="32" t="n"/>
      <c r="M31" s="33" t="n"/>
      <c r="N31" s="32" t="n"/>
      <c r="O31" s="32" t="n"/>
      <c r="P31" s="32" t="n"/>
      <c r="Q31" s="32" t="n"/>
    </row>
    <row r="32" ht="43" customHeight="1">
      <c r="A32" s="27" t="inlineStr">
        <is>
          <t>INS-009</t>
        </is>
      </c>
      <c r="B32" s="28" t="inlineStr">
        <is>
          <t>02 Install, launch &amp; bootstrap</t>
        </is>
      </c>
      <c r="C32" s="28" t="inlineStr">
        <is>
          <t>Bootstrap</t>
        </is>
      </c>
      <c r="D32" s="28" t="inlineStr">
        <is>
          <t>Launch with no network</t>
        </is>
      </c>
      <c r="E32" s="28" t="inlineStr">
        <is>
          <t>1. Fresh install
2. Enable airplane mode
3. Launch</t>
        </is>
      </c>
      <c r="F32" s="28" t="inlineStr">
        <is>
          <t>App opens to onboarding/sign-in with an offline message where data is needed; no infinite spinner and no crash.</t>
        </is>
      </c>
      <c r="G32" s="29" t="inlineStr">
        <is>
          <t>P1</t>
        </is>
      </c>
      <c r="H32" s="29" t="inlineStr">
        <is>
          <t>Offline</t>
        </is>
      </c>
      <c r="I32" s="29" t="inlineStr">
        <is>
          <t>Both</t>
        </is>
      </c>
      <c r="J32" s="29" t="n"/>
      <c r="K32" s="31" t="inlineStr">
        <is>
          <t>Not Run</t>
        </is>
      </c>
      <c r="L32" s="32" t="n"/>
      <c r="M32" s="33" t="n"/>
      <c r="N32" s="32" t="n"/>
      <c r="O32" s="32" t="n"/>
      <c r="P32" s="32" t="n"/>
      <c r="Q32" s="32" t="n"/>
    </row>
    <row r="33" ht="43" customHeight="1">
      <c r="A33" s="27" t="inlineStr">
        <is>
          <t>INS-010</t>
        </is>
      </c>
      <c r="B33" s="28" t="inlineStr">
        <is>
          <t>02 Install, launch &amp; bootstrap</t>
        </is>
      </c>
      <c r="C33" s="28" t="inlineStr">
        <is>
          <t>Bootstrap</t>
        </is>
      </c>
      <c r="D33" s="28" t="inlineStr">
        <is>
          <t>Launch succeeds when local storage is damaged</t>
        </is>
      </c>
      <c r="E33" s="28" t="inlineStr">
        <is>
          <t>1. On a debug build, corrupt or delete a Hive box file in the app data directory
2. Launch</t>
        </is>
      </c>
      <c r="F33" s="28" t="inlineStr">
        <is>
          <t>App starts, rebuilds the cache from the network and does not crash.</t>
        </is>
      </c>
      <c r="G33" s="29" t="inlineStr">
        <is>
          <t>P1</t>
        </is>
      </c>
      <c r="H33" s="29" t="inlineStr">
        <is>
          <t>Negative</t>
        </is>
      </c>
      <c r="I33" s="29" t="inlineStr">
        <is>
          <t>Both</t>
        </is>
      </c>
      <c r="J33" s="29" t="n"/>
      <c r="K33" s="31" t="inlineStr">
        <is>
          <t>Not Run</t>
        </is>
      </c>
      <c r="L33" s="32" t="n"/>
      <c r="M33" s="33" t="n"/>
      <c r="N33" s="32" t="n"/>
      <c r="O33" s="32" t="n"/>
      <c r="P33" s="32" t="n"/>
      <c r="Q33" s="32" t="n"/>
    </row>
    <row r="34" ht="30" customHeight="1">
      <c r="A34" s="27" t="inlineStr">
        <is>
          <t>ONB-001</t>
        </is>
      </c>
      <c r="B34" s="28" t="inlineStr">
        <is>
          <t>03 Onboarding &amp; consent</t>
        </is>
      </c>
      <c r="C34" s="28" t="inlineStr">
        <is>
          <t>Onboarding</t>
        </is>
      </c>
      <c r="D34" s="28" t="inlineStr">
        <is>
          <t>Intro slides navigate correctly</t>
        </is>
      </c>
      <c r="E34" s="28" t="inlineStr">
        <is>
          <t>1. Swipe between the two slides
2. Use the Next/Skip controls</t>
        </is>
      </c>
      <c r="F34" s="28" t="inlineStr">
        <is>
          <t>Slides and carousel dots stay in sync; the final action leads to the consent screen.</t>
        </is>
      </c>
      <c r="G34" s="29" t="inlineStr">
        <is>
          <t>P2</t>
        </is>
      </c>
      <c r="H34" s="29" t="inlineStr">
        <is>
          <t>Functional</t>
        </is>
      </c>
      <c r="I34" s="29" t="inlineStr">
        <is>
          <t>Both</t>
        </is>
      </c>
      <c r="J34" s="29" t="n"/>
      <c r="K34" s="31" t="inlineStr">
        <is>
          <t>Not Run</t>
        </is>
      </c>
      <c r="L34" s="32" t="n"/>
      <c r="M34" s="33" t="n"/>
      <c r="N34" s="32" t="n"/>
      <c r="O34" s="32" t="n"/>
      <c r="P34" s="32" t="n"/>
      <c r="Q34" s="32" t="n"/>
    </row>
    <row r="35" ht="30" customHeight="1">
      <c r="A35" s="27" t="inlineStr">
        <is>
          <t>ONB-002</t>
        </is>
      </c>
      <c r="B35" s="28" t="inlineStr">
        <is>
          <t>03 Onboarding &amp; consent</t>
        </is>
      </c>
      <c r="C35" s="28" t="inlineStr">
        <is>
          <t>Consent</t>
        </is>
      </c>
      <c r="D35" s="28" t="inlineStr">
        <is>
          <t>Cannot continue without accepting the policies</t>
        </is>
      </c>
      <c r="E35" s="28" t="inlineStr">
        <is>
          <t>1. Leave the acceptance box unticked
2. Tap Continue</t>
        </is>
      </c>
      <c r="F35" s="28" t="inlineStr">
        <is>
          <t>Continue is disabled or an inline message explains that acceptance is required.</t>
        </is>
      </c>
      <c r="G35" s="29" t="inlineStr">
        <is>
          <t>P0</t>
        </is>
      </c>
      <c r="H35" s="29" t="inlineStr">
        <is>
          <t>Negative</t>
        </is>
      </c>
      <c r="I35" s="29" t="inlineStr">
        <is>
          <t>Both</t>
        </is>
      </c>
      <c r="J35" s="29" t="n"/>
      <c r="K35" s="31" t="inlineStr">
        <is>
          <t>Not Run</t>
        </is>
      </c>
      <c r="L35" s="32" t="n"/>
      <c r="M35" s="33" t="n"/>
      <c r="N35" s="32" t="n"/>
      <c r="O35" s="32" t="n"/>
      <c r="P35" s="32" t="n"/>
      <c r="Q35" s="32" t="n"/>
    </row>
    <row r="36" ht="30" customHeight="1">
      <c r="A36" s="27" t="inlineStr">
        <is>
          <t>ONB-003</t>
        </is>
      </c>
      <c r="B36" s="28" t="inlineStr">
        <is>
          <t>03 Onboarding &amp; consent</t>
        </is>
      </c>
      <c r="C36" s="28" t="inlineStr">
        <is>
          <t>Consent</t>
        </is>
      </c>
      <c r="D36" s="28" t="inlineStr">
        <is>
          <t>Marketing opt-in is optional</t>
        </is>
      </c>
      <c r="E36" s="28" t="inlineStr">
        <is>
          <t>1. Accept the policies but leave offers/marketing unticked
2. Continue</t>
        </is>
      </c>
      <c r="F36" s="28" t="inlineStr">
        <is>
          <t>User proceeds; marketing_opt_in is false on the account.</t>
        </is>
      </c>
      <c r="G36" s="29" t="inlineStr">
        <is>
          <t>P2</t>
        </is>
      </c>
      <c r="H36" s="29" t="inlineStr">
        <is>
          <t>Functional</t>
        </is>
      </c>
      <c r="I36" s="29" t="inlineStr">
        <is>
          <t>Both</t>
        </is>
      </c>
      <c r="J36" s="29" t="n"/>
      <c r="K36" s="31" t="inlineStr">
        <is>
          <t>Not Run</t>
        </is>
      </c>
      <c r="L36" s="32" t="n"/>
      <c r="M36" s="33" t="n"/>
      <c r="N36" s="32" t="n"/>
      <c r="O36" s="32" t="n"/>
      <c r="P36" s="32" t="n"/>
      <c r="Q36" s="32" t="n"/>
    </row>
    <row r="37" ht="30" customHeight="1">
      <c r="A37" s="27" t="inlineStr">
        <is>
          <t>ONB-004</t>
        </is>
      </c>
      <c r="B37" s="28" t="inlineStr">
        <is>
          <t>03 Onboarding &amp; consent</t>
        </is>
      </c>
      <c r="C37" s="28" t="inlineStr">
        <is>
          <t>Legal</t>
        </is>
      </c>
      <c r="D37" s="28" t="inlineStr">
        <is>
          <t>Policy links open the right documents</t>
        </is>
      </c>
      <c r="E37" s="28" t="inlineStr">
        <is>
          <t>From the consent screen tap Terms &amp; Conditions, Privacy Policy and User Guidelines in turn</t>
        </is>
      </c>
      <c r="F37" s="28" t="inlineStr">
        <is>
          <t>Each opens its own document loaded from the server, with a way back to where the user came from.</t>
        </is>
      </c>
      <c r="G37" s="29" t="inlineStr">
        <is>
          <t>P1</t>
        </is>
      </c>
      <c r="H37" s="29" t="inlineStr">
        <is>
          <t>Functional</t>
        </is>
      </c>
      <c r="I37" s="29" t="inlineStr">
        <is>
          <t>Both</t>
        </is>
      </c>
      <c r="J37" s="29" t="n"/>
      <c r="K37" s="31" t="inlineStr">
        <is>
          <t>Not Run</t>
        </is>
      </c>
      <c r="L37" s="32" t="n"/>
      <c r="M37" s="33" t="n"/>
      <c r="N37" s="32" t="n"/>
      <c r="O37" s="32" t="n"/>
      <c r="P37" s="32" t="n"/>
      <c r="Q37" s="32" t="n"/>
    </row>
    <row r="38" ht="30" customHeight="1">
      <c r="A38" s="27" t="inlineStr">
        <is>
          <t>ONB-005</t>
        </is>
      </c>
      <c r="B38" s="28" t="inlineStr">
        <is>
          <t>03 Onboarding &amp; consent</t>
        </is>
      </c>
      <c r="C38" s="28" t="inlineStr">
        <is>
          <t>Legal</t>
        </is>
      </c>
      <c r="D38" s="28" t="inlineStr">
        <is>
          <t>Policy document fails to load</t>
        </is>
      </c>
      <c r="E38" s="28" t="inlineStr">
        <is>
          <t>Open a policy with the network off</t>
        </is>
      </c>
      <c r="F38" s="28" t="inlineStr">
        <is>
          <t>Error state with a retry (or the cached copy), never a blank page.</t>
        </is>
      </c>
      <c r="G38" s="29" t="inlineStr">
        <is>
          <t>P2</t>
        </is>
      </c>
      <c r="H38" s="29" t="inlineStr">
        <is>
          <t>Negative</t>
        </is>
      </c>
      <c r="I38" s="29" t="inlineStr">
        <is>
          <t>Both</t>
        </is>
      </c>
      <c r="J38" s="29" t="n"/>
      <c r="K38" s="31" t="inlineStr">
        <is>
          <t>Not Run</t>
        </is>
      </c>
      <c r="L38" s="32" t="n"/>
      <c r="M38" s="33" t="n"/>
      <c r="N38" s="32" t="n"/>
      <c r="O38" s="32" t="n"/>
      <c r="P38" s="32" t="n"/>
      <c r="Q38" s="32" t="n"/>
    </row>
    <row r="39" ht="30" customHeight="1">
      <c r="A39" s="27" t="inlineStr">
        <is>
          <t>ONB-006</t>
        </is>
      </c>
      <c r="B39" s="28" t="inlineStr">
        <is>
          <t>03 Onboarding &amp; consent</t>
        </is>
      </c>
      <c r="C39" s="28" t="inlineStr">
        <is>
          <t>Consent</t>
        </is>
      </c>
      <c r="D39" s="28" t="inlineStr">
        <is>
          <t>Policy version change triggers re-consent</t>
        </is>
      </c>
      <c r="E39" s="28" t="inlineStr">
        <is>
          <t>1. Publish a new terms version on the backend
2. Open the app as an existing user</t>
        </is>
      </c>
      <c r="F39" s="28" t="inlineStr">
        <is>
          <t>'Our policies have changed' prompt appears; accepting records the consent and the prompt does not return.</t>
        </is>
      </c>
      <c r="G39" s="29" t="inlineStr">
        <is>
          <t>P1</t>
        </is>
      </c>
      <c r="H39" s="29" t="inlineStr">
        <is>
          <t>Functional</t>
        </is>
      </c>
      <c r="I39" s="29" t="inlineStr">
        <is>
          <t>Both</t>
        </is>
      </c>
      <c r="J39" s="29" t="n"/>
      <c r="K39" s="31" t="inlineStr">
        <is>
          <t>Not Run</t>
        </is>
      </c>
      <c r="L39" s="32" t="n"/>
      <c r="M39" s="33" t="n"/>
      <c r="N39" s="32" t="n"/>
      <c r="O39" s="32" t="n"/>
      <c r="P39" s="32" t="n"/>
      <c r="Q39" s="32" t="n"/>
    </row>
    <row r="40" ht="56" customHeight="1">
      <c r="A40" s="27" t="inlineStr">
        <is>
          <t>AUTH-001</t>
        </is>
      </c>
      <c r="B40" s="28" t="inlineStr">
        <is>
          <t>04 Authentication &amp; session</t>
        </is>
      </c>
      <c r="C40" s="28" t="inlineStr">
        <is>
          <t>Sign up</t>
        </is>
      </c>
      <c r="D40" s="28" t="inlineStr">
        <is>
          <t>Sign up with valid details</t>
        </is>
      </c>
      <c r="E40" s="28" t="inlineStr">
        <is>
          <t>1. Enter first name, mobile, date of birth, password
2. Accept the policies
3. Submit
4. Enter the OTP</t>
        </is>
      </c>
      <c r="F40" s="28" t="inlineStr">
        <is>
          <t>Account is created, user lands on Home, and a 'self' person exists for booking.</t>
        </is>
      </c>
      <c r="G40" s="29" t="inlineStr">
        <is>
          <t>P0</t>
        </is>
      </c>
      <c r="H40" s="29" t="inlineStr">
        <is>
          <t>Functional</t>
        </is>
      </c>
      <c r="I40" s="29" t="inlineStr">
        <is>
          <t>Both</t>
        </is>
      </c>
      <c r="J40" s="29" t="inlineStr">
        <is>
          <t>KB-05</t>
        </is>
      </c>
      <c r="K40" s="31" t="inlineStr">
        <is>
          <t>Not Run</t>
        </is>
      </c>
      <c r="L40" s="32" t="n"/>
      <c r="M40" s="33" t="n"/>
      <c r="N40" s="32" t="n"/>
      <c r="O40" s="32" t="n"/>
      <c r="P40" s="32" t="n"/>
      <c r="Q40" s="32" t="n"/>
    </row>
    <row r="41" ht="30" customHeight="1">
      <c r="A41" s="27" t="inlineStr">
        <is>
          <t>AUTH-002</t>
        </is>
      </c>
      <c r="B41" s="28" t="inlineStr">
        <is>
          <t>04 Authentication &amp; session</t>
        </is>
      </c>
      <c r="C41" s="28" t="inlineStr">
        <is>
          <t>Sign up</t>
        </is>
      </c>
      <c r="D41" s="28" t="inlineStr">
        <is>
          <t>Required fields are enforced</t>
        </is>
      </c>
      <c r="E41" s="28" t="inlineStr">
        <is>
          <t>Submit with first name, mobile and date of birth empty, one at a time</t>
        </is>
      </c>
      <c r="F41" s="28" t="inlineStr">
        <is>
          <t>Each missing field shows its own inline message; no request is sent.</t>
        </is>
      </c>
      <c r="G41" s="29" t="inlineStr">
        <is>
          <t>P1</t>
        </is>
      </c>
      <c r="H41" s="29" t="inlineStr">
        <is>
          <t>Negative</t>
        </is>
      </c>
      <c r="I41" s="29" t="inlineStr">
        <is>
          <t>Both</t>
        </is>
      </c>
      <c r="J41" s="29" t="n"/>
      <c r="K41" s="31" t="inlineStr">
        <is>
          <t>Not Run</t>
        </is>
      </c>
      <c r="L41" s="32" t="n"/>
      <c r="M41" s="33" t="n"/>
      <c r="N41" s="32" t="n"/>
      <c r="O41" s="32" t="n"/>
      <c r="P41" s="32" t="n"/>
      <c r="Q41" s="32" t="n"/>
    </row>
    <row r="42" ht="30" customHeight="1">
      <c r="A42" s="27" t="inlineStr">
        <is>
          <t>AUTH-003</t>
        </is>
      </c>
      <c r="B42" s="28" t="inlineStr">
        <is>
          <t>04 Authentication &amp; session</t>
        </is>
      </c>
      <c r="C42" s="28" t="inlineStr">
        <is>
          <t>Sign up</t>
        </is>
      </c>
      <c r="D42" s="28" t="inlineStr">
        <is>
          <t>Mobile number validation</t>
        </is>
      </c>
      <c r="E42" s="28" t="inlineStr">
        <is>
          <t>Try: empty, letters, 9 digits, 11 digits, a number starting with 0-5, a valid number typed with spaces/dashes</t>
        </is>
      </c>
      <c r="F42" s="28" t="inlineStr">
        <is>
          <t>All invalid inputs are rejected inline; the valid number with spaces/dashes is accepted.</t>
        </is>
      </c>
      <c r="G42" s="29" t="inlineStr">
        <is>
          <t>P1</t>
        </is>
      </c>
      <c r="H42" s="29" t="inlineStr">
        <is>
          <t>Negative</t>
        </is>
      </c>
      <c r="I42" s="29" t="inlineStr">
        <is>
          <t>Both</t>
        </is>
      </c>
      <c r="J42" s="29" t="n"/>
      <c r="K42" s="31" t="inlineStr">
        <is>
          <t>Not Run</t>
        </is>
      </c>
      <c r="L42" s="32" t="n"/>
      <c r="M42" s="33" t="n"/>
      <c r="N42" s="32" t="n"/>
      <c r="O42" s="32" t="n"/>
      <c r="P42" s="32" t="n"/>
      <c r="Q42" s="32" t="n"/>
    </row>
    <row r="43" ht="30" customHeight="1">
      <c r="A43" s="27" t="inlineStr">
        <is>
          <t>AUTH-004</t>
        </is>
      </c>
      <c r="B43" s="28" t="inlineStr">
        <is>
          <t>04 Authentication &amp; session</t>
        </is>
      </c>
      <c r="C43" s="28" t="inlineStr">
        <is>
          <t>Sign up</t>
        </is>
      </c>
      <c r="D43" s="28" t="inlineStr">
        <is>
          <t>Already-registered mobile number</t>
        </is>
      </c>
      <c r="E43" s="28" t="inlineStr">
        <is>
          <t>Sign up with a number that already has an account</t>
        </is>
      </c>
      <c r="F43" s="28" t="inlineStr">
        <is>
          <t>Inline error on the mobile field saying it is already registered; no OTP screen.</t>
        </is>
      </c>
      <c r="G43" s="29" t="inlineStr">
        <is>
          <t>P1</t>
        </is>
      </c>
      <c r="H43" s="29" t="inlineStr">
        <is>
          <t>Negative</t>
        </is>
      </c>
      <c r="I43" s="29" t="inlineStr">
        <is>
          <t>Both</t>
        </is>
      </c>
      <c r="J43" s="29" t="n"/>
      <c r="K43" s="31" t="inlineStr">
        <is>
          <t>Not Run</t>
        </is>
      </c>
      <c r="L43" s="32" t="n"/>
      <c r="M43" s="33" t="n"/>
      <c r="N43" s="32" t="n"/>
      <c r="O43" s="32" t="n"/>
      <c r="P43" s="32" t="n"/>
      <c r="Q43" s="32" t="n"/>
    </row>
    <row r="44" ht="30" customHeight="1">
      <c r="A44" s="27" t="inlineStr">
        <is>
          <t>AUTH-005</t>
        </is>
      </c>
      <c r="B44" s="28" t="inlineStr">
        <is>
          <t>04 Authentication &amp; session</t>
        </is>
      </c>
      <c r="C44" s="28" t="inlineStr">
        <is>
          <t>Sign up</t>
        </is>
      </c>
      <c r="D44" s="28" t="inlineStr">
        <is>
          <t>Account holder under 18</t>
        </is>
      </c>
      <c r="E44" s="28" t="inlineStr">
        <is>
          <t>1. Enter a date of birth less than 18 years ago
2. Submit</t>
        </is>
      </c>
      <c r="F44" s="28" t="inlineStr">
        <is>
          <t>Sign-up is refused with a clear age message (UNDER_AGE).</t>
        </is>
      </c>
      <c r="G44" s="29" t="inlineStr">
        <is>
          <t>P1</t>
        </is>
      </c>
      <c r="H44" s="29" t="inlineStr">
        <is>
          <t>Negative</t>
        </is>
      </c>
      <c r="I44" s="29" t="inlineStr">
        <is>
          <t>Both</t>
        </is>
      </c>
      <c r="J44" s="29" t="n"/>
      <c r="K44" s="31" t="inlineStr">
        <is>
          <t>Not Run</t>
        </is>
      </c>
      <c r="L44" s="32" t="n"/>
      <c r="M44" s="33" t="n"/>
      <c r="N44" s="32" t="n"/>
      <c r="O44" s="32" t="n"/>
      <c r="P44" s="32" t="n"/>
      <c r="Q44" s="32" t="n"/>
    </row>
    <row r="45" ht="30" customHeight="1">
      <c r="A45" s="27" t="inlineStr">
        <is>
          <t>AUTH-006</t>
        </is>
      </c>
      <c r="B45" s="28" t="inlineStr">
        <is>
          <t>04 Authentication &amp; session</t>
        </is>
      </c>
      <c r="C45" s="28" t="inlineStr">
        <is>
          <t>Sign up</t>
        </is>
      </c>
      <c r="D45" s="28" t="inlineStr">
        <is>
          <t>Email is optional and validated</t>
        </is>
      </c>
      <c r="E45" s="28" t="inlineStr">
        <is>
          <t>1. Submit without an email
2. Submit with 'abc', 'a@b', 'a b@c.com'</t>
        </is>
      </c>
      <c r="F45" s="28" t="inlineStr">
        <is>
          <t>Blank is accepted; malformed emails are rejected inline.</t>
        </is>
      </c>
      <c r="G45" s="29" t="inlineStr">
        <is>
          <t>P2</t>
        </is>
      </c>
      <c r="H45" s="29" t="inlineStr">
        <is>
          <t>Negative</t>
        </is>
      </c>
      <c r="I45" s="29" t="inlineStr">
        <is>
          <t>Both</t>
        </is>
      </c>
      <c r="J45" s="29" t="n"/>
      <c r="K45" s="31" t="inlineStr">
        <is>
          <t>Not Run</t>
        </is>
      </c>
      <c r="L45" s="32" t="n"/>
      <c r="M45" s="33" t="n"/>
      <c r="N45" s="32" t="n"/>
      <c r="O45" s="32" t="n"/>
      <c r="P45" s="32" t="n"/>
      <c r="Q45" s="32" t="n"/>
    </row>
    <row r="46" ht="43" customHeight="1">
      <c r="A46" s="27" t="inlineStr">
        <is>
          <t>AUTH-007</t>
        </is>
      </c>
      <c r="B46" s="28" t="inlineStr">
        <is>
          <t>04 Authentication &amp; session</t>
        </is>
      </c>
      <c r="C46" s="28" t="inlineStr">
        <is>
          <t>Sign up</t>
        </is>
      </c>
      <c r="D46" s="28" t="inlineStr">
        <is>
          <t>Password rule matches the server (10+ characters)</t>
        </is>
      </c>
      <c r="E46" s="28" t="inlineStr">
        <is>
          <t>1. Try a 6-character password, a 9-character password, one containing your name/phone, and a valid 10+ character one
2. Compare the on-screen hint with the rule</t>
        </is>
      </c>
      <c r="F46" s="28" t="inlineStr">
        <is>
          <t>Short and personal-data passwords are rejected with a clear message; the hint reads 'At least 10 characters'.</t>
        </is>
      </c>
      <c r="G46" s="29" t="inlineStr">
        <is>
          <t>P1</t>
        </is>
      </c>
      <c r="H46" s="29" t="inlineStr">
        <is>
          <t>Negative</t>
        </is>
      </c>
      <c r="I46" s="29" t="inlineStr">
        <is>
          <t>Both</t>
        </is>
      </c>
      <c r="J46" s="29" t="n"/>
      <c r="K46" s="31" t="inlineStr">
        <is>
          <t>Not Run</t>
        </is>
      </c>
      <c r="L46" s="32" t="n"/>
      <c r="M46" s="33" t="n"/>
      <c r="N46" s="32" t="n"/>
      <c r="O46" s="32" t="n"/>
      <c r="P46" s="32" t="n"/>
      <c r="Q46" s="32" t="n"/>
    </row>
    <row r="47" ht="17" customHeight="1">
      <c r="A47" s="27" t="inlineStr">
        <is>
          <t>AUTH-008</t>
        </is>
      </c>
      <c r="B47" s="28" t="inlineStr">
        <is>
          <t>04 Authentication &amp; session</t>
        </is>
      </c>
      <c r="C47" s="28" t="inlineStr">
        <is>
          <t>Sign up</t>
        </is>
      </c>
      <c r="D47" s="28" t="inlineStr">
        <is>
          <t>Confirm password mismatch</t>
        </is>
      </c>
      <c r="E47" s="28" t="inlineStr">
        <is>
          <t>Enter different values in Password and Confirm Password</t>
        </is>
      </c>
      <c r="F47" s="28" t="inlineStr">
        <is>
          <t>Inline mismatch error; submit blocked.</t>
        </is>
      </c>
      <c r="G47" s="29" t="inlineStr">
        <is>
          <t>P2</t>
        </is>
      </c>
      <c r="H47" s="29" t="inlineStr">
        <is>
          <t>Negative</t>
        </is>
      </c>
      <c r="I47" s="29" t="inlineStr">
        <is>
          <t>Both</t>
        </is>
      </c>
      <c r="J47" s="29" t="n"/>
      <c r="K47" s="31" t="inlineStr">
        <is>
          <t>Not Run</t>
        </is>
      </c>
      <c r="L47" s="32" t="n"/>
      <c r="M47" s="33" t="n"/>
      <c r="N47" s="32" t="n"/>
      <c r="O47" s="32" t="n"/>
      <c r="P47" s="32" t="n"/>
      <c r="Q47" s="32" t="n"/>
    </row>
    <row r="48" ht="30" customHeight="1">
      <c r="A48" s="27" t="inlineStr">
        <is>
          <t>AUTH-009</t>
        </is>
      </c>
      <c r="B48" s="28" t="inlineStr">
        <is>
          <t>04 Authentication &amp; session</t>
        </is>
      </c>
      <c r="C48" s="28" t="inlineStr">
        <is>
          <t>Sign up</t>
        </is>
      </c>
      <c r="D48" s="28" t="inlineStr">
        <is>
          <t>Server field errors land on the right fields</t>
        </is>
      </c>
      <c r="E48" s="28" t="inlineStr">
        <is>
          <t>Trigger server-side errors for phone, email and password (proxy or real data)</t>
        </is>
      </c>
      <c r="F48" s="28" t="inlineStr">
        <is>
          <t>Each server message is shown under its field, not as a generic toast.</t>
        </is>
      </c>
      <c r="G48" s="29" t="inlineStr">
        <is>
          <t>P1</t>
        </is>
      </c>
      <c r="H48" s="29" t="inlineStr">
        <is>
          <t>Negative</t>
        </is>
      </c>
      <c r="I48" s="29" t="inlineStr">
        <is>
          <t>Both</t>
        </is>
      </c>
      <c r="J48" s="29" t="n"/>
      <c r="K48" s="31" t="inlineStr">
        <is>
          <t>Not Run</t>
        </is>
      </c>
      <c r="L48" s="32" t="n"/>
      <c r="M48" s="33" t="n"/>
      <c r="N48" s="32" t="n"/>
      <c r="O48" s="32" t="n"/>
      <c r="P48" s="32" t="n"/>
      <c r="Q48" s="32" t="n"/>
    </row>
    <row r="49" ht="30" customHeight="1">
      <c r="A49" s="27" t="inlineStr">
        <is>
          <t>AUTH-010</t>
        </is>
      </c>
      <c r="B49" s="28" t="inlineStr">
        <is>
          <t>04 Authentication &amp; session</t>
        </is>
      </c>
      <c r="C49" s="28" t="inlineStr">
        <is>
          <t>Sign up</t>
        </is>
      </c>
      <c r="D49" s="28" t="inlineStr">
        <is>
          <t>Optional address validation</t>
        </is>
      </c>
      <c r="E49" s="28" t="inlineStr">
        <is>
          <t>Add an address with a 5-digit PIN, then a PIN starting with 0, then a valid 6-digit PIN</t>
        </is>
      </c>
      <c r="F49" s="28" t="inlineStr">
        <is>
          <t>Invalid PINs rejected inline; valid address becomes the default address in Profile.</t>
        </is>
      </c>
      <c r="G49" s="29" t="inlineStr">
        <is>
          <t>P2</t>
        </is>
      </c>
      <c r="H49" s="29" t="inlineStr">
        <is>
          <t>Functional</t>
        </is>
      </c>
      <c r="I49" s="29" t="inlineStr">
        <is>
          <t>Both</t>
        </is>
      </c>
      <c r="J49" s="29" t="n"/>
      <c r="K49" s="31" t="inlineStr">
        <is>
          <t>Not Run</t>
        </is>
      </c>
      <c r="L49" s="32" t="n"/>
      <c r="M49" s="33" t="n"/>
      <c r="N49" s="32" t="n"/>
      <c r="O49" s="32" t="n"/>
      <c r="P49" s="32" t="n"/>
      <c r="Q49" s="32" t="n"/>
    </row>
    <row r="50" ht="56" customHeight="1">
      <c r="A50" s="27" t="inlineStr">
        <is>
          <t>AUTH-011</t>
        </is>
      </c>
      <c r="B50" s="28" t="inlineStr">
        <is>
          <t>04 Authentication &amp; session</t>
        </is>
      </c>
      <c r="C50" s="28" t="inlineStr">
        <is>
          <t>OTP</t>
        </is>
      </c>
      <c r="D50" s="28" t="inlineStr">
        <is>
          <t>OTP entry behaviour</t>
        </is>
      </c>
      <c r="E50" s="28" t="inlineStr">
        <is>
          <t>1. Type the 4 digits
2. Use backspace
3. Paste a 4-digit code
4. On iOS use the keyboard's one-time-code suggestion</t>
        </is>
      </c>
      <c r="F50" s="28" t="inlineStr">
        <is>
          <t>Focus advances and retreats correctly, paste fills all boxes, numeric keyboard is shown.</t>
        </is>
      </c>
      <c r="G50" s="29" t="inlineStr">
        <is>
          <t>P1</t>
        </is>
      </c>
      <c r="H50" s="29" t="inlineStr">
        <is>
          <t>Functional</t>
        </is>
      </c>
      <c r="I50" s="29" t="inlineStr">
        <is>
          <t>Both</t>
        </is>
      </c>
      <c r="J50" s="29" t="n"/>
      <c r="K50" s="31" t="inlineStr">
        <is>
          <t>Not Run</t>
        </is>
      </c>
      <c r="L50" s="32" t="n"/>
      <c r="M50" s="33" t="n"/>
      <c r="N50" s="32" t="n"/>
      <c r="O50" s="32" t="n"/>
      <c r="P50" s="32" t="n"/>
      <c r="Q50" s="32" t="n"/>
    </row>
    <row r="51" ht="30" customHeight="1">
      <c r="A51" s="27" t="inlineStr">
        <is>
          <t>AUTH-012</t>
        </is>
      </c>
      <c r="B51" s="28" t="inlineStr">
        <is>
          <t>04 Authentication &amp; session</t>
        </is>
      </c>
      <c r="C51" s="28" t="inlineStr">
        <is>
          <t>OTP</t>
        </is>
      </c>
      <c r="D51" s="28" t="inlineStr">
        <is>
          <t>Masked destination is displayed</t>
        </is>
      </c>
      <c r="E51" s="28" t="inlineStr">
        <is>
          <t>Reach the verify screen</t>
        </is>
      </c>
      <c r="F51" s="28" t="inlineStr">
        <is>
          <t>Text shows the masked number (e.g. +91******10), never another user's number.</t>
        </is>
      </c>
      <c r="G51" s="29" t="inlineStr">
        <is>
          <t>P2</t>
        </is>
      </c>
      <c r="H51" s="29" t="inlineStr">
        <is>
          <t>Functional</t>
        </is>
      </c>
      <c r="I51" s="29" t="inlineStr">
        <is>
          <t>Both</t>
        </is>
      </c>
      <c r="J51" s="29" t="n"/>
      <c r="K51" s="31" t="inlineStr">
        <is>
          <t>Not Run</t>
        </is>
      </c>
      <c r="L51" s="32" t="n"/>
      <c r="M51" s="33" t="n"/>
      <c r="N51" s="32" t="n"/>
      <c r="O51" s="32" t="n"/>
      <c r="P51" s="32" t="n"/>
      <c r="Q51" s="32" t="n"/>
    </row>
    <row r="52" ht="30" customHeight="1">
      <c r="A52" s="27" t="inlineStr">
        <is>
          <t>AUTH-013</t>
        </is>
      </c>
      <c r="B52" s="28" t="inlineStr">
        <is>
          <t>04 Authentication &amp; session</t>
        </is>
      </c>
      <c r="C52" s="28" t="inlineStr">
        <is>
          <t>OTP</t>
        </is>
      </c>
      <c r="D52" s="28" t="inlineStr">
        <is>
          <t>Wrong code</t>
        </is>
      </c>
      <c r="E52" s="28" t="inlineStr">
        <is>
          <t>Enter an incorrect code once, then twice, then a third time</t>
        </is>
      </c>
      <c r="F52" s="28" t="inlineStr">
        <is>
          <t>Each failure shows the attempts remaining; after the third the user is told to request a new code.</t>
        </is>
      </c>
      <c r="G52" s="29" t="inlineStr">
        <is>
          <t>P0</t>
        </is>
      </c>
      <c r="H52" s="29" t="inlineStr">
        <is>
          <t>Negative</t>
        </is>
      </c>
      <c r="I52" s="29" t="inlineStr">
        <is>
          <t>Both</t>
        </is>
      </c>
      <c r="J52" s="29" t="inlineStr">
        <is>
          <t>KB-05</t>
        </is>
      </c>
      <c r="K52" s="31" t="inlineStr">
        <is>
          <t>Not Run</t>
        </is>
      </c>
      <c r="L52" s="32" t="n"/>
      <c r="M52" s="33" t="n"/>
      <c r="N52" s="32" t="n"/>
      <c r="O52" s="32" t="n"/>
      <c r="P52" s="32" t="n"/>
      <c r="Q52" s="32" t="n"/>
    </row>
    <row r="53" ht="30" customHeight="1">
      <c r="A53" s="27" t="inlineStr">
        <is>
          <t>AUTH-014</t>
        </is>
      </c>
      <c r="B53" s="28" t="inlineStr">
        <is>
          <t>04 Authentication &amp; session</t>
        </is>
      </c>
      <c r="C53" s="28" t="inlineStr">
        <is>
          <t>OTP</t>
        </is>
      </c>
      <c r="D53" s="28" t="inlineStr">
        <is>
          <t>Expired code</t>
        </is>
      </c>
      <c r="E53" s="28" t="inlineStr">
        <is>
          <t>1. Wait more than 180 s after the SMS
2. Enter the code</t>
        </is>
      </c>
      <c r="F53" s="28" t="inlineStr">
        <is>
          <t>Clear 'code expired' message with a resend option.</t>
        </is>
      </c>
      <c r="G53" s="29" t="inlineStr">
        <is>
          <t>P1</t>
        </is>
      </c>
      <c r="H53" s="29" t="inlineStr">
        <is>
          <t>Negative</t>
        </is>
      </c>
      <c r="I53" s="29" t="inlineStr">
        <is>
          <t>Both</t>
        </is>
      </c>
      <c r="J53" s="29" t="inlineStr">
        <is>
          <t>KB-05</t>
        </is>
      </c>
      <c r="K53" s="31" t="inlineStr">
        <is>
          <t>Not Run</t>
        </is>
      </c>
      <c r="L53" s="32" t="n"/>
      <c r="M53" s="33" t="n"/>
      <c r="N53" s="32" t="n"/>
      <c r="O53" s="32" t="n"/>
      <c r="P53" s="32" t="n"/>
      <c r="Q53" s="32" t="n"/>
    </row>
    <row r="54" ht="56" customHeight="1">
      <c r="A54" s="27" t="inlineStr">
        <is>
          <t>AUTH-015</t>
        </is>
      </c>
      <c r="B54" s="28" t="inlineStr">
        <is>
          <t>04 Authentication &amp; session</t>
        </is>
      </c>
      <c r="C54" s="28" t="inlineStr">
        <is>
          <t>OTP</t>
        </is>
      </c>
      <c r="D54" s="28" t="inlineStr">
        <is>
          <t>Resend cooldown and limit</t>
        </is>
      </c>
      <c r="E54" s="28" t="inlineStr">
        <is>
          <t>1. Check the resend control immediately
2. Wait 30 s and resend
3. Use the old code
4. Resend more than 3 times</t>
        </is>
      </c>
      <c r="F54" s="28" t="inlineStr">
        <is>
          <t>Resend is disabled with a countdown for 30 s; the new code works and the old one fails; exceeding the limit shows a wait time.</t>
        </is>
      </c>
      <c r="G54" s="29" t="inlineStr">
        <is>
          <t>P1</t>
        </is>
      </c>
      <c r="H54" s="29" t="inlineStr">
        <is>
          <t>Functional</t>
        </is>
      </c>
      <c r="I54" s="29" t="inlineStr">
        <is>
          <t>Both</t>
        </is>
      </c>
      <c r="J54" s="29" t="inlineStr">
        <is>
          <t>KB-05</t>
        </is>
      </c>
      <c r="K54" s="31" t="inlineStr">
        <is>
          <t>Not Run</t>
        </is>
      </c>
      <c r="L54" s="32" t="n"/>
      <c r="M54" s="33" t="n"/>
      <c r="N54" s="32" t="n"/>
      <c r="O54" s="32" t="n"/>
      <c r="P54" s="32" t="n"/>
      <c r="Q54" s="32" t="n"/>
    </row>
    <row r="55" ht="30" customHeight="1">
      <c r="A55" s="27" t="inlineStr">
        <is>
          <t>AUTH-016</t>
        </is>
      </c>
      <c r="B55" s="28" t="inlineStr">
        <is>
          <t>04 Authentication &amp; session</t>
        </is>
      </c>
      <c r="C55" s="28" t="inlineStr">
        <is>
          <t>OTP</t>
        </is>
      </c>
      <c r="D55" s="28" t="inlineStr">
        <is>
          <t>Verify screen survives backgrounding</t>
        </is>
      </c>
      <c r="E55" s="28" t="inlineStr">
        <is>
          <t>On the verify screen, switch to the SMS app and return</t>
        </is>
      </c>
      <c r="F55" s="28" t="inlineStr">
        <is>
          <t>The same challenge is still active and the code can be entered.</t>
        </is>
      </c>
      <c r="G55" s="29" t="inlineStr">
        <is>
          <t>P1</t>
        </is>
      </c>
      <c r="H55" s="29" t="inlineStr">
        <is>
          <t>Functional</t>
        </is>
      </c>
      <c r="I55" s="29" t="inlineStr">
        <is>
          <t>Both</t>
        </is>
      </c>
      <c r="J55" s="29" t="inlineStr">
        <is>
          <t>KB-05</t>
        </is>
      </c>
      <c r="K55" s="31" t="inlineStr">
        <is>
          <t>Not Run</t>
        </is>
      </c>
      <c r="L55" s="32" t="n"/>
      <c r="M55" s="33" t="n"/>
      <c r="N55" s="32" t="n"/>
      <c r="O55" s="32" t="n"/>
      <c r="P55" s="32" t="n"/>
      <c r="Q55" s="32" t="n"/>
    </row>
    <row r="56" ht="30" customHeight="1">
      <c r="A56" s="27" t="inlineStr">
        <is>
          <t>AUTH-017</t>
        </is>
      </c>
      <c r="B56" s="28" t="inlineStr">
        <is>
          <t>04 Authentication &amp; session</t>
        </is>
      </c>
      <c r="C56" s="28" t="inlineStr">
        <is>
          <t>Login</t>
        </is>
      </c>
      <c r="D56" s="28" t="inlineStr">
        <is>
          <t>Sign in with mobile + password</t>
        </is>
      </c>
      <c r="E56" s="28" t="inlineStr">
        <is>
          <t>1. Enter a registered mobile and the correct password
2. Log In</t>
        </is>
      </c>
      <c r="F56" s="28" t="inlineStr">
        <is>
          <t>User lands on Home.</t>
        </is>
      </c>
      <c r="G56" s="29" t="inlineStr">
        <is>
          <t>P0</t>
        </is>
      </c>
      <c r="H56" s="29" t="inlineStr">
        <is>
          <t>Functional</t>
        </is>
      </c>
      <c r="I56" s="29" t="inlineStr">
        <is>
          <t>Both</t>
        </is>
      </c>
      <c r="J56" s="29" t="n"/>
      <c r="K56" s="31" t="inlineStr">
        <is>
          <t>Not Run</t>
        </is>
      </c>
      <c r="L56" s="32" t="n"/>
      <c r="M56" s="33" t="n"/>
      <c r="N56" s="32" t="n"/>
      <c r="O56" s="32" t="n"/>
      <c r="P56" s="32" t="n"/>
      <c r="Q56" s="32" t="n"/>
    </row>
    <row r="57" ht="30" customHeight="1">
      <c r="A57" s="27" t="inlineStr">
        <is>
          <t>AUTH-018</t>
        </is>
      </c>
      <c r="B57" s="28" t="inlineStr">
        <is>
          <t>04 Authentication &amp; session</t>
        </is>
      </c>
      <c r="C57" s="28" t="inlineStr">
        <is>
          <t>Login</t>
        </is>
      </c>
      <c r="D57" s="28" t="inlineStr">
        <is>
          <t>Sign in with email + password</t>
        </is>
      </c>
      <c r="E57" s="28" t="inlineStr">
        <is>
          <t>1. Enter a registered email and the correct password
2. Log In</t>
        </is>
      </c>
      <c r="F57" s="28" t="inlineStr">
        <is>
          <t>User lands on Home.</t>
        </is>
      </c>
      <c r="G57" s="29" t="inlineStr">
        <is>
          <t>P1</t>
        </is>
      </c>
      <c r="H57" s="29" t="inlineStr">
        <is>
          <t>Functional</t>
        </is>
      </c>
      <c r="I57" s="29" t="inlineStr">
        <is>
          <t>Both</t>
        </is>
      </c>
      <c r="J57" s="29" t="n"/>
      <c r="K57" s="31" t="inlineStr">
        <is>
          <t>Not Run</t>
        </is>
      </c>
      <c r="L57" s="32" t="n"/>
      <c r="M57" s="33" t="n"/>
      <c r="N57" s="32" t="n"/>
      <c r="O57" s="32" t="n"/>
      <c r="P57" s="32" t="n"/>
      <c r="Q57" s="32" t="n"/>
    </row>
    <row r="58" ht="30" customHeight="1">
      <c r="A58" s="27" t="inlineStr">
        <is>
          <t>AUTH-019</t>
        </is>
      </c>
      <c r="B58" s="28" t="inlineStr">
        <is>
          <t>04 Authentication &amp; session</t>
        </is>
      </c>
      <c r="C58" s="28" t="inlineStr">
        <is>
          <t>Login</t>
        </is>
      </c>
      <c r="D58" s="28" t="inlineStr">
        <is>
          <t>Wrong password</t>
        </is>
      </c>
      <c r="E58" s="28" t="inlineStr">
        <is>
          <t>Enter a wrong password</t>
        </is>
      </c>
      <c r="F58" s="28" t="inlineStr">
        <is>
          <t>Error is shown on the form with attempts remaining; the fields stay filled; the user is not logged out or redirected.</t>
        </is>
      </c>
      <c r="G58" s="29" t="inlineStr">
        <is>
          <t>P0</t>
        </is>
      </c>
      <c r="H58" s="29" t="inlineStr">
        <is>
          <t>Negative</t>
        </is>
      </c>
      <c r="I58" s="29" t="inlineStr">
        <is>
          <t>Both</t>
        </is>
      </c>
      <c r="J58" s="29" t="n"/>
      <c r="K58" s="31" t="inlineStr">
        <is>
          <t>Not Run</t>
        </is>
      </c>
      <c r="L58" s="32" t="n"/>
      <c r="M58" s="33" t="n"/>
      <c r="N58" s="32" t="n"/>
      <c r="O58" s="32" t="n"/>
      <c r="P58" s="32" t="n"/>
      <c r="Q58" s="32" t="n"/>
    </row>
    <row r="59" ht="56" customHeight="1">
      <c r="A59" s="27" t="inlineStr">
        <is>
          <t>AUTH-020</t>
        </is>
      </c>
      <c r="B59" s="28" t="inlineStr">
        <is>
          <t>04 Authentication &amp; session</t>
        </is>
      </c>
      <c r="C59" s="28" t="inlineStr">
        <is>
          <t>Login</t>
        </is>
      </c>
      <c r="D59" s="28" t="inlineStr">
        <is>
          <t>Lockout after 5 failed attempts</t>
        </is>
      </c>
      <c r="E59" s="28" t="inlineStr">
        <is>
          <t>1. Fail 4 times and note the 'One attempt left' warning
2. Fail a 5th time
3. Kill and relaunch
4. Try OTP login for the same account</t>
        </is>
      </c>
      <c r="F59" s="28" t="inlineStr">
        <is>
          <t>Lockout screen with a countdown to the server's locked_until time; countdown survives relaunch; the lock cannot be bypassed via the other sign-in method.</t>
        </is>
      </c>
      <c r="G59" s="29" t="inlineStr">
        <is>
          <t>P0</t>
        </is>
      </c>
      <c r="H59" s="29" t="inlineStr">
        <is>
          <t>Security</t>
        </is>
      </c>
      <c r="I59" s="29" t="inlineStr">
        <is>
          <t>Both</t>
        </is>
      </c>
      <c r="J59" s="29" t="n"/>
      <c r="K59" s="31" t="inlineStr">
        <is>
          <t>Not Run</t>
        </is>
      </c>
      <c r="L59" s="32" t="n"/>
      <c r="M59" s="33" t="n"/>
      <c r="N59" s="32" t="n"/>
      <c r="O59" s="32" t="n"/>
      <c r="P59" s="32" t="n"/>
      <c r="Q59" s="32" t="n"/>
    </row>
    <row r="60" ht="30" customHeight="1">
      <c r="A60" s="27" t="inlineStr">
        <is>
          <t>AUTH-021</t>
        </is>
      </c>
      <c r="B60" s="28" t="inlineStr">
        <is>
          <t>04 Authentication &amp; session</t>
        </is>
      </c>
      <c r="C60" s="28" t="inlineStr">
        <is>
          <t>Login</t>
        </is>
      </c>
      <c r="D60" s="28" t="inlineStr">
        <is>
          <t>Sign-in works after the lockout ends</t>
        </is>
      </c>
      <c r="E60" s="28" t="inlineStr">
        <is>
          <t>1. Wait for the lockout to expire
2. Sign in with correct credentials</t>
        </is>
      </c>
      <c r="F60" s="28" t="inlineStr">
        <is>
          <t>Sign-in succeeds.</t>
        </is>
      </c>
      <c r="G60" s="29" t="inlineStr">
        <is>
          <t>P1</t>
        </is>
      </c>
      <c r="H60" s="29" t="inlineStr">
        <is>
          <t>Functional</t>
        </is>
      </c>
      <c r="I60" s="29" t="inlineStr">
        <is>
          <t>Both</t>
        </is>
      </c>
      <c r="J60" s="29" t="n"/>
      <c r="K60" s="31" t="inlineStr">
        <is>
          <t>Not Run</t>
        </is>
      </c>
      <c r="L60" s="32" t="n"/>
      <c r="M60" s="33" t="n"/>
      <c r="N60" s="32" t="n"/>
      <c r="O60" s="32" t="n"/>
      <c r="P60" s="32" t="n"/>
      <c r="Q60" s="32" t="n"/>
    </row>
    <row r="61" ht="43" customHeight="1">
      <c r="A61" s="27" t="inlineStr">
        <is>
          <t>AUTH-022</t>
        </is>
      </c>
      <c r="B61" s="28" t="inlineStr">
        <is>
          <t>04 Authentication &amp; session</t>
        </is>
      </c>
      <c r="C61" s="28" t="inlineStr">
        <is>
          <t>Login</t>
        </is>
      </c>
      <c r="D61" s="28" t="inlineStr">
        <is>
          <t>Sign in with OTP</t>
        </is>
      </c>
      <c r="E61" s="28" t="inlineStr">
        <is>
          <t>1. Choose mobile sign-in
2. Send Code
3. Enter the OTP</t>
        </is>
      </c>
      <c r="F61" s="28" t="inlineStr">
        <is>
          <t>User lands on Home.</t>
        </is>
      </c>
      <c r="G61" s="29" t="inlineStr">
        <is>
          <t>P0</t>
        </is>
      </c>
      <c r="H61" s="29" t="inlineStr">
        <is>
          <t>Functional</t>
        </is>
      </c>
      <c r="I61" s="29" t="inlineStr">
        <is>
          <t>Both</t>
        </is>
      </c>
      <c r="J61" s="29" t="inlineStr">
        <is>
          <t>KB-05</t>
        </is>
      </c>
      <c r="K61" s="31" t="inlineStr">
        <is>
          <t>Not Run</t>
        </is>
      </c>
      <c r="L61" s="32" t="n"/>
      <c r="M61" s="33" t="n"/>
      <c r="N61" s="32" t="n"/>
      <c r="O61" s="32" t="n"/>
      <c r="P61" s="32" t="n"/>
      <c r="Q61" s="32" t="n"/>
    </row>
    <row r="62" ht="30" customHeight="1">
      <c r="A62" s="27" t="inlineStr">
        <is>
          <t>AUTH-023</t>
        </is>
      </c>
      <c r="B62" s="28" t="inlineStr">
        <is>
          <t>04 Authentication &amp; session</t>
        </is>
      </c>
      <c r="C62" s="28" t="inlineStr">
        <is>
          <t>Login</t>
        </is>
      </c>
      <c r="D62" s="28" t="inlineStr">
        <is>
          <t>OTP sign-in for an unregistered number does not reveal account existence</t>
        </is>
      </c>
      <c r="E62" s="28" t="inlineStr">
        <is>
          <t>Request a code for an unregistered number</t>
        </is>
      </c>
      <c r="F62" s="28" t="inlineStr">
        <is>
          <t>Same screen and wording as for a registered number; verification simply fails. No 'number not registered' message.</t>
        </is>
      </c>
      <c r="G62" s="29" t="inlineStr">
        <is>
          <t>P1</t>
        </is>
      </c>
      <c r="H62" s="29" t="inlineStr">
        <is>
          <t>Security</t>
        </is>
      </c>
      <c r="I62" s="29" t="inlineStr">
        <is>
          <t>Both</t>
        </is>
      </c>
      <c r="J62" s="29" t="n"/>
      <c r="K62" s="31" t="inlineStr">
        <is>
          <t>Not Run</t>
        </is>
      </c>
      <c r="L62" s="32" t="n"/>
      <c r="M62" s="33" t="n"/>
      <c r="N62" s="32" t="n"/>
      <c r="O62" s="32" t="n"/>
      <c r="P62" s="32" t="n"/>
      <c r="Q62" s="32" t="n"/>
    </row>
    <row r="63" ht="30" customHeight="1">
      <c r="A63" s="27" t="inlineStr">
        <is>
          <t>AUTH-024</t>
        </is>
      </c>
      <c r="B63" s="28" t="inlineStr">
        <is>
          <t>04 Authentication &amp; session</t>
        </is>
      </c>
      <c r="C63" s="28" t="inlineStr">
        <is>
          <t>Login</t>
        </is>
      </c>
      <c r="D63" s="28" t="inlineStr">
        <is>
          <t>OTP-only account tries password sign-in</t>
        </is>
      </c>
      <c r="E63" s="28" t="inlineStr">
        <is>
          <t>1. Use an account that has no password
2. Sign in with any password</t>
        </is>
      </c>
      <c r="F63" s="28" t="inlineStr">
        <is>
          <t>Generic invalid-credentials message; guidance to use a code or 'Forgot password?'.</t>
        </is>
      </c>
      <c r="G63" s="29" t="inlineStr">
        <is>
          <t>P2</t>
        </is>
      </c>
      <c r="H63" s="29" t="inlineStr">
        <is>
          <t>Negative</t>
        </is>
      </c>
      <c r="I63" s="29" t="inlineStr">
        <is>
          <t>Both</t>
        </is>
      </c>
      <c r="J63" s="29" t="n"/>
      <c r="K63" s="31" t="inlineStr">
        <is>
          <t>Not Run</t>
        </is>
      </c>
      <c r="L63" s="32" t="n"/>
      <c r="M63" s="33" t="n"/>
      <c r="N63" s="32" t="n"/>
      <c r="O63" s="32" t="n"/>
      <c r="P63" s="32" t="n"/>
      <c r="Q63" s="32" t="n"/>
    </row>
    <row r="64" ht="30" customHeight="1">
      <c r="A64" s="27" t="inlineStr">
        <is>
          <t>AUTH-025</t>
        </is>
      </c>
      <c r="B64" s="28" t="inlineStr">
        <is>
          <t>04 Authentication &amp; session</t>
        </is>
      </c>
      <c r="C64" s="28" t="inlineStr">
        <is>
          <t>Login</t>
        </is>
      </c>
      <c r="D64" s="28" t="inlineStr">
        <is>
          <t>Blocked account</t>
        </is>
      </c>
      <c r="E64" s="28" t="inlineStr">
        <is>
          <t>Sign in with the blocked test account</t>
        </is>
      </c>
      <c r="F64" s="28" t="inlineStr">
        <is>
          <t>'Account blocked' message with a support route; no session is created.</t>
        </is>
      </c>
      <c r="G64" s="29" t="inlineStr">
        <is>
          <t>P1</t>
        </is>
      </c>
      <c r="H64" s="29" t="inlineStr">
        <is>
          <t>Negative</t>
        </is>
      </c>
      <c r="I64" s="29" t="inlineStr">
        <is>
          <t>Both</t>
        </is>
      </c>
      <c r="J64" s="29" t="n"/>
      <c r="K64" s="31" t="inlineStr">
        <is>
          <t>Not Run</t>
        </is>
      </c>
      <c r="L64" s="32" t="n"/>
      <c r="M64" s="33" t="n"/>
      <c r="N64" s="32" t="n"/>
      <c r="O64" s="32" t="n"/>
      <c r="P64" s="32" t="n"/>
      <c r="Q64" s="32" t="n"/>
    </row>
    <row r="65" ht="30" customHeight="1">
      <c r="A65" s="27" t="inlineStr">
        <is>
          <t>AUTH-026</t>
        </is>
      </c>
      <c r="B65" s="28" t="inlineStr">
        <is>
          <t>04 Authentication &amp; session</t>
        </is>
      </c>
      <c r="C65" s="28" t="inlineStr">
        <is>
          <t>Login</t>
        </is>
      </c>
      <c r="D65" s="28" t="inlineStr">
        <is>
          <t>Too many requests</t>
        </is>
      </c>
      <c r="E65" s="28" t="inlineStr">
        <is>
          <t>Submit sign-in rapidly more than 5 times in a minute</t>
        </is>
      </c>
      <c r="F65" s="28" t="inlineStr">
        <is>
          <t>A 'please wait N seconds' message based on the server's Retry-After; no crash.</t>
        </is>
      </c>
      <c r="G65" s="29" t="inlineStr">
        <is>
          <t>P2</t>
        </is>
      </c>
      <c r="H65" s="29" t="inlineStr">
        <is>
          <t>Negative</t>
        </is>
      </c>
      <c r="I65" s="29" t="inlineStr">
        <is>
          <t>Both</t>
        </is>
      </c>
      <c r="J65" s="29" t="n"/>
      <c r="K65" s="31" t="inlineStr">
        <is>
          <t>Not Run</t>
        </is>
      </c>
      <c r="L65" s="32" t="n"/>
      <c r="M65" s="33" t="n"/>
      <c r="N65" s="32" t="n"/>
      <c r="O65" s="32" t="n"/>
      <c r="P65" s="32" t="n"/>
      <c r="Q65" s="32" t="n"/>
    </row>
    <row r="66" ht="56" customHeight="1">
      <c r="A66" s="27" t="inlineStr">
        <is>
          <t>AUTH-027</t>
        </is>
      </c>
      <c r="B66" s="28" t="inlineStr">
        <is>
          <t>04 Authentication &amp; session</t>
        </is>
      </c>
      <c r="C66" s="28" t="inlineStr">
        <is>
          <t>Login</t>
        </is>
      </c>
      <c r="D66" s="28" t="inlineStr">
        <is>
          <t>Form usability</t>
        </is>
      </c>
      <c r="E66" s="28" t="inlineStr">
        <is>
          <t>1. Toggle password visibility
2. Move between fields with the keyboard Next key
3. Submit with the keyboard Done key
4. Double-tap Log In</t>
        </is>
      </c>
      <c r="F66" s="28" t="inlineStr">
        <is>
          <t>Visibility toggles; focus order is logical; only one request is sent on double-tap; the button shows progress.</t>
        </is>
      </c>
      <c r="G66" s="29" t="inlineStr">
        <is>
          <t>P2</t>
        </is>
      </c>
      <c r="H66" s="29" t="inlineStr">
        <is>
          <t>UI</t>
        </is>
      </c>
      <c r="I66" s="29" t="inlineStr">
        <is>
          <t>Both</t>
        </is>
      </c>
      <c r="J66" s="29" t="n"/>
      <c r="K66" s="31" t="inlineStr">
        <is>
          <t>Not Run</t>
        </is>
      </c>
      <c r="L66" s="32" t="n"/>
      <c r="M66" s="33" t="n"/>
      <c r="N66" s="32" t="n"/>
      <c r="O66" s="32" t="n"/>
      <c r="P66" s="32" t="n"/>
      <c r="Q66" s="32" t="n"/>
    </row>
    <row r="67" ht="43" customHeight="1">
      <c r="A67" s="27" t="inlineStr">
        <is>
          <t>AUTH-028</t>
        </is>
      </c>
      <c r="B67" s="28" t="inlineStr">
        <is>
          <t>04 Authentication &amp; session</t>
        </is>
      </c>
      <c r="C67" s="28" t="inlineStr">
        <is>
          <t>Forgot password</t>
        </is>
      </c>
      <c r="D67" s="28" t="inlineStr">
        <is>
          <t>Reset by mobile number</t>
        </is>
      </c>
      <c r="E67" s="28" t="inlineStr">
        <is>
          <t>1. Forgot password &gt; enter mobile
2. Enter OTP
3. Enter a new valid password</t>
        </is>
      </c>
      <c r="F67" s="28" t="inlineStr">
        <is>
          <t>User is returned to sign-in; the new password works; the old one is rejected.</t>
        </is>
      </c>
      <c r="G67" s="29" t="inlineStr">
        <is>
          <t>P0</t>
        </is>
      </c>
      <c r="H67" s="29" t="inlineStr">
        <is>
          <t>Functional</t>
        </is>
      </c>
      <c r="I67" s="29" t="inlineStr">
        <is>
          <t>Both</t>
        </is>
      </c>
      <c r="J67" s="29" t="inlineStr">
        <is>
          <t>KB-05</t>
        </is>
      </c>
      <c r="K67" s="31" t="inlineStr">
        <is>
          <t>Not Run</t>
        </is>
      </c>
      <c r="L67" s="32" t="n"/>
      <c r="M67" s="33" t="n"/>
      <c r="N67" s="32" t="n"/>
      <c r="O67" s="32" t="n"/>
      <c r="P67" s="32" t="n"/>
      <c r="Q67" s="32" t="n"/>
    </row>
    <row r="68" ht="17" customHeight="1">
      <c r="A68" s="27" t="inlineStr">
        <is>
          <t>AUTH-029</t>
        </is>
      </c>
      <c r="B68" s="28" t="inlineStr">
        <is>
          <t>04 Authentication &amp; session</t>
        </is>
      </c>
      <c r="C68" s="28" t="inlineStr">
        <is>
          <t>Forgot password</t>
        </is>
      </c>
      <c r="D68" s="28" t="inlineStr">
        <is>
          <t>Reset by email identifier</t>
        </is>
      </c>
      <c r="E68" s="28" t="inlineStr">
        <is>
          <t>Enter a registered email as the identifier</t>
        </is>
      </c>
      <c r="F68" s="28" t="inlineStr">
        <is>
          <t>Flow proceeds; the destination number is not revealed.</t>
        </is>
      </c>
      <c r="G68" s="29" t="inlineStr">
        <is>
          <t>P2</t>
        </is>
      </c>
      <c r="H68" s="29" t="inlineStr">
        <is>
          <t>Security</t>
        </is>
      </c>
      <c r="I68" s="29" t="inlineStr">
        <is>
          <t>Both</t>
        </is>
      </c>
      <c r="J68" s="29" t="inlineStr">
        <is>
          <t>KB-05</t>
        </is>
      </c>
      <c r="K68" s="31" t="inlineStr">
        <is>
          <t>Not Run</t>
        </is>
      </c>
      <c r="L68" s="32" t="n"/>
      <c r="M68" s="33" t="n"/>
      <c r="N68" s="32" t="n"/>
      <c r="O68" s="32" t="n"/>
      <c r="P68" s="32" t="n"/>
      <c r="Q68" s="32" t="n"/>
    </row>
    <row r="69" ht="17" customHeight="1">
      <c r="A69" s="27" t="inlineStr">
        <is>
          <t>AUTH-030</t>
        </is>
      </c>
      <c r="B69" s="28" t="inlineStr">
        <is>
          <t>04 Authentication &amp; session</t>
        </is>
      </c>
      <c r="C69" s="28" t="inlineStr">
        <is>
          <t>Forgot password</t>
        </is>
      </c>
      <c r="D69" s="28" t="inlineStr">
        <is>
          <t>Unknown identifier</t>
        </is>
      </c>
      <c r="E69" s="28" t="inlineStr">
        <is>
          <t>Enter an unregistered number</t>
        </is>
      </c>
      <c r="F69" s="28" t="inlineStr">
        <is>
          <t>Same response as for a known account (no enumeration).</t>
        </is>
      </c>
      <c r="G69" s="29" t="inlineStr">
        <is>
          <t>P1</t>
        </is>
      </c>
      <c r="H69" s="29" t="inlineStr">
        <is>
          <t>Security</t>
        </is>
      </c>
      <c r="I69" s="29" t="inlineStr">
        <is>
          <t>Both</t>
        </is>
      </c>
      <c r="J69" s="29" t="n"/>
      <c r="K69" s="31" t="inlineStr">
        <is>
          <t>Not Run</t>
        </is>
      </c>
      <c r="L69" s="32" t="n"/>
      <c r="M69" s="33" t="n"/>
      <c r="N69" s="32" t="n"/>
      <c r="O69" s="32" t="n"/>
      <c r="P69" s="32" t="n"/>
      <c r="Q69" s="32" t="n"/>
    </row>
    <row r="70" ht="43" customHeight="1">
      <c r="A70" s="27" t="inlineStr">
        <is>
          <t>AUTH-031</t>
        </is>
      </c>
      <c r="B70" s="28" t="inlineStr">
        <is>
          <t>04 Authentication &amp; session</t>
        </is>
      </c>
      <c r="C70" s="28" t="inlineStr">
        <is>
          <t>Forgot password</t>
        </is>
      </c>
      <c r="D70" s="28" t="inlineStr">
        <is>
          <t>Reset token expired</t>
        </is>
      </c>
      <c r="E70" s="28" t="inlineStr">
        <is>
          <t>1. Verify the OTP
2. Wait more than 15 minutes
3. Submit a new password</t>
        </is>
      </c>
      <c r="F70" s="28" t="inlineStr">
        <is>
          <t>Clear message that the link/session expired, with a way to restart.</t>
        </is>
      </c>
      <c r="G70" s="29" t="inlineStr">
        <is>
          <t>P2</t>
        </is>
      </c>
      <c r="H70" s="29" t="inlineStr">
        <is>
          <t>Negative</t>
        </is>
      </c>
      <c r="I70" s="29" t="inlineStr">
        <is>
          <t>Both</t>
        </is>
      </c>
      <c r="J70" s="29" t="inlineStr">
        <is>
          <t>KB-05</t>
        </is>
      </c>
      <c r="K70" s="31" t="inlineStr">
        <is>
          <t>Not Run</t>
        </is>
      </c>
      <c r="L70" s="32" t="n"/>
      <c r="M70" s="33" t="n"/>
      <c r="N70" s="32" t="n"/>
      <c r="O70" s="32" t="n"/>
      <c r="P70" s="32" t="n"/>
      <c r="Q70" s="32" t="n"/>
    </row>
    <row r="71" ht="56" customHeight="1">
      <c r="A71" s="27" t="inlineStr">
        <is>
          <t>AUTH-032</t>
        </is>
      </c>
      <c r="B71" s="28" t="inlineStr">
        <is>
          <t>04 Authentication &amp; session</t>
        </is>
      </c>
      <c r="C71" s="28" t="inlineStr">
        <is>
          <t>Forgot password</t>
        </is>
      </c>
      <c r="D71" s="28" t="inlineStr">
        <is>
          <t>New-password hint matches the rule on reset and change-password</t>
        </is>
      </c>
      <c r="E71" s="28" t="inlineStr">
        <is>
          <t>1. Open the new-password form in Forgot password and in Profile &gt; Change password
2. Read the hint
3. Try a 6-character and a 9-character password</t>
        </is>
      </c>
      <c r="F71" s="28" t="inlineStr">
        <is>
          <t>Hint states the real rule (at least 10 characters) and both short passwords are rejected inline.</t>
        </is>
      </c>
      <c r="G71" s="29" t="inlineStr">
        <is>
          <t>P1</t>
        </is>
      </c>
      <c r="H71" s="29" t="inlineStr">
        <is>
          <t>Negative</t>
        </is>
      </c>
      <c r="I71" s="29" t="inlineStr">
        <is>
          <t>Both</t>
        </is>
      </c>
      <c r="J71" s="29" t="inlineStr">
        <is>
          <t>KB-09</t>
        </is>
      </c>
      <c r="K71" s="31" t="inlineStr">
        <is>
          <t>Not Run</t>
        </is>
      </c>
      <c r="L71" s="32" t="n"/>
      <c r="M71" s="33" t="n"/>
      <c r="N71" s="32" t="n"/>
      <c r="O71" s="32" t="n"/>
      <c r="P71" s="32" t="n"/>
      <c r="Q71" s="32" t="n"/>
    </row>
    <row r="72" ht="43" customHeight="1">
      <c r="A72" s="27" t="inlineStr">
        <is>
          <t>AUTH-033</t>
        </is>
      </c>
      <c r="B72" s="28" t="inlineStr">
        <is>
          <t>04 Authentication &amp; session</t>
        </is>
      </c>
      <c r="C72" s="28" t="inlineStr">
        <is>
          <t>Session</t>
        </is>
      </c>
      <c r="D72" s="28" t="inlineStr">
        <is>
          <t>Access token refresh is silent</t>
        </is>
      </c>
      <c r="E72" s="28" t="inlineStr">
        <is>
          <t>1. Sign in
2. Leave the app idle for 16+ minutes
3. Pull to refresh on any screen</t>
        </is>
      </c>
      <c r="F72" s="28" t="inlineStr">
        <is>
          <t>Data loads; the user is not logged out and sees no error.</t>
        </is>
      </c>
      <c r="G72" s="29" t="inlineStr">
        <is>
          <t>P0</t>
        </is>
      </c>
      <c r="H72" s="29" t="inlineStr">
        <is>
          <t>Functional</t>
        </is>
      </c>
      <c r="I72" s="29" t="inlineStr">
        <is>
          <t>Both</t>
        </is>
      </c>
      <c r="J72" s="29" t="n"/>
      <c r="K72" s="31" t="inlineStr">
        <is>
          <t>Not Run</t>
        </is>
      </c>
      <c r="L72" s="32" t="n"/>
      <c r="M72" s="33" t="n"/>
      <c r="N72" s="32" t="n"/>
      <c r="O72" s="32" t="n"/>
      <c r="P72" s="32" t="n"/>
      <c r="Q72" s="32" t="n"/>
    </row>
    <row r="73" ht="30" customHeight="1">
      <c r="A73" s="27" t="inlineStr">
        <is>
          <t>AUTH-034</t>
        </is>
      </c>
      <c r="B73" s="28" t="inlineStr">
        <is>
          <t>04 Authentication &amp; session</t>
        </is>
      </c>
      <c r="C73" s="28" t="inlineStr">
        <is>
          <t>Session</t>
        </is>
      </c>
      <c r="D73" s="28" t="inlineStr">
        <is>
          <t>Refresh is single-flight</t>
        </is>
      </c>
      <c r="E73" s="28" t="inlineStr">
        <is>
          <t>1. With a proxy attached, let the access token expire
2. Open Home (several requests fire together)</t>
        </is>
      </c>
      <c r="F73" s="28" t="inlineStr">
        <is>
          <t>Exactly one token/refresh call is made; every original request then succeeds. The session is not revoked.</t>
        </is>
      </c>
      <c r="G73" s="29" t="inlineStr">
        <is>
          <t>P0</t>
        </is>
      </c>
      <c r="H73" s="29" t="inlineStr">
        <is>
          <t>Security</t>
        </is>
      </c>
      <c r="I73" s="29" t="inlineStr">
        <is>
          <t>Both</t>
        </is>
      </c>
      <c r="J73" s="29" t="n"/>
      <c r="K73" s="31" t="inlineStr">
        <is>
          <t>Not Run</t>
        </is>
      </c>
      <c r="L73" s="32" t="n"/>
      <c r="M73" s="33" t="n"/>
      <c r="N73" s="32" t="n"/>
      <c r="O73" s="32" t="n"/>
      <c r="P73" s="32" t="n"/>
      <c r="Q73" s="32" t="n"/>
    </row>
    <row r="74" ht="43" customHeight="1">
      <c r="A74" s="27" t="inlineStr">
        <is>
          <t>AUTH-035</t>
        </is>
      </c>
      <c r="B74" s="28" t="inlineStr">
        <is>
          <t>04 Authentication &amp; session</t>
        </is>
      </c>
      <c r="C74" s="28" t="inlineStr">
        <is>
          <t>Session</t>
        </is>
      </c>
      <c r="D74" s="28" t="inlineStr">
        <is>
          <t>Rotated refresh token is persisted</t>
        </is>
      </c>
      <c r="E74" s="28" t="inlineStr">
        <is>
          <t>1. Trigger a refresh
2. Force-stop the app
3. Relaunch</t>
        </is>
      </c>
      <c r="F74" s="28" t="inlineStr">
        <is>
          <t>User is still signed in (the new refresh token was stored).</t>
        </is>
      </c>
      <c r="G74" s="29" t="inlineStr">
        <is>
          <t>P0</t>
        </is>
      </c>
      <c r="H74" s="29" t="inlineStr">
        <is>
          <t>Functional</t>
        </is>
      </c>
      <c r="I74" s="29" t="inlineStr">
        <is>
          <t>Both</t>
        </is>
      </c>
      <c r="J74" s="29" t="n"/>
      <c r="K74" s="31" t="inlineStr">
        <is>
          <t>Not Run</t>
        </is>
      </c>
      <c r="L74" s="32" t="n"/>
      <c r="M74" s="33" t="n"/>
      <c r="N74" s="32" t="n"/>
      <c r="O74" s="32" t="n"/>
      <c r="P74" s="32" t="n"/>
      <c r="Q74" s="32" t="n"/>
    </row>
    <row r="75" ht="43" customHeight="1">
      <c r="A75" s="27" t="inlineStr">
        <is>
          <t>AUTH-036</t>
        </is>
      </c>
      <c r="B75" s="28" t="inlineStr">
        <is>
          <t>04 Authentication &amp; session</t>
        </is>
      </c>
      <c r="C75" s="28" t="inlineStr">
        <is>
          <t>Session</t>
        </is>
      </c>
      <c r="D75" s="28" t="inlineStr">
        <is>
          <t>Session revoked from another device</t>
        </is>
      </c>
      <c r="E75" s="28" t="inlineStr">
        <is>
          <t>1. Sign in on devices A and B
2. On A, end B's session from Signed-in devices
3. Use B</t>
        </is>
      </c>
      <c r="F75" s="28" t="inlineStr">
        <is>
          <t>B is returned to sign-in with an explanatory message; its tokens and cached data are cleared.</t>
        </is>
      </c>
      <c r="G75" s="29" t="inlineStr">
        <is>
          <t>P0</t>
        </is>
      </c>
      <c r="H75" s="29" t="inlineStr">
        <is>
          <t>Security</t>
        </is>
      </c>
      <c r="I75" s="29" t="inlineStr">
        <is>
          <t>Both</t>
        </is>
      </c>
      <c r="J75" s="29" t="n"/>
      <c r="K75" s="31" t="inlineStr">
        <is>
          <t>Not Run</t>
        </is>
      </c>
      <c r="L75" s="32" t="n"/>
      <c r="M75" s="33" t="n"/>
      <c r="N75" s="32" t="n"/>
      <c r="O75" s="32" t="n"/>
      <c r="P75" s="32" t="n"/>
      <c r="Q75" s="32" t="n"/>
    </row>
    <row r="76" ht="43" customHeight="1">
      <c r="A76" s="27" t="inlineStr">
        <is>
          <t>AUTH-037</t>
        </is>
      </c>
      <c r="B76" s="28" t="inlineStr">
        <is>
          <t>04 Authentication &amp; session</t>
        </is>
      </c>
      <c r="C76" s="28" t="inlineStr">
        <is>
          <t>Session</t>
        </is>
      </c>
      <c r="D76" s="28" t="inlineStr">
        <is>
          <t>Stay signed in across restart and reboot</t>
        </is>
      </c>
      <c r="E76" s="28" t="inlineStr">
        <is>
          <t>1. Sign in
2. Reboot the device
3. Open the app</t>
        </is>
      </c>
      <c r="F76" s="28" t="inlineStr">
        <is>
          <t>User is still signed in.</t>
        </is>
      </c>
      <c r="G76" s="29" t="inlineStr">
        <is>
          <t>P1</t>
        </is>
      </c>
      <c r="H76" s="29" t="inlineStr">
        <is>
          <t>Functional</t>
        </is>
      </c>
      <c r="I76" s="29" t="inlineStr">
        <is>
          <t>Both</t>
        </is>
      </c>
      <c r="J76" s="29" t="n"/>
      <c r="K76" s="31" t="inlineStr">
        <is>
          <t>Not Run</t>
        </is>
      </c>
      <c r="L76" s="32" t="n"/>
      <c r="M76" s="33" t="n"/>
      <c r="N76" s="32" t="n"/>
      <c r="O76" s="32" t="n"/>
      <c r="P76" s="32" t="n"/>
      <c r="Q76" s="32" t="n"/>
    </row>
    <row r="77" ht="30" customHeight="1">
      <c r="A77" s="27" t="inlineStr">
        <is>
          <t>AUTH-038</t>
        </is>
      </c>
      <c r="B77" s="28" t="inlineStr">
        <is>
          <t>04 Authentication &amp; session</t>
        </is>
      </c>
      <c r="C77" s="28" t="inlineStr">
        <is>
          <t>Session</t>
        </is>
      </c>
      <c r="D77" s="28" t="inlineStr">
        <is>
          <t>Expired session (7 days idle / 30 days absolute)</t>
        </is>
      </c>
      <c r="E77" s="28" t="inlineStr">
        <is>
          <t>1. Use a session expired on the backend (or wait)
2. Open the app</t>
        </is>
      </c>
      <c r="F77" s="28" t="inlineStr">
        <is>
          <t>User is taken to sign-in with a 'session expired' message; no error loop.</t>
        </is>
      </c>
      <c r="G77" s="29" t="inlineStr">
        <is>
          <t>P1</t>
        </is>
      </c>
      <c r="H77" s="29" t="inlineStr">
        <is>
          <t>Functional</t>
        </is>
      </c>
      <c r="I77" s="29" t="inlineStr">
        <is>
          <t>Both</t>
        </is>
      </c>
      <c r="J77" s="29" t="n"/>
      <c r="K77" s="31" t="inlineStr">
        <is>
          <t>Not Run</t>
        </is>
      </c>
      <c r="L77" s="32" t="n"/>
      <c r="M77" s="33" t="n"/>
      <c r="N77" s="32" t="n"/>
      <c r="O77" s="32" t="n"/>
      <c r="P77" s="32" t="n"/>
      <c r="Q77" s="32" t="n"/>
    </row>
    <row r="78" ht="43" customHeight="1">
      <c r="A78" s="27" t="inlineStr">
        <is>
          <t>AUTH-039</t>
        </is>
      </c>
      <c r="B78" s="28" t="inlineStr">
        <is>
          <t>04 Authentication &amp; session</t>
        </is>
      </c>
      <c r="C78" s="28" t="inlineStr">
        <is>
          <t>Logout</t>
        </is>
      </c>
      <c r="D78" s="28" t="inlineStr">
        <is>
          <t>Log out</t>
        </is>
      </c>
      <c r="E78" s="28" t="inlineStr">
        <is>
          <t>1. Profile &gt; Log out
2. Confirm
3. Press Back</t>
        </is>
      </c>
      <c r="F78" s="28" t="inlineStr">
        <is>
          <t>Sign-in screen is shown; Back does not return to signed-in screens; relaunch stays signed out; the push device is unregistered.</t>
        </is>
      </c>
      <c r="G78" s="29" t="inlineStr">
        <is>
          <t>P0</t>
        </is>
      </c>
      <c r="H78" s="29" t="inlineStr">
        <is>
          <t>Security</t>
        </is>
      </c>
      <c r="I78" s="29" t="inlineStr">
        <is>
          <t>Both</t>
        </is>
      </c>
      <c r="J78" s="29" t="n"/>
      <c r="K78" s="31" t="inlineStr">
        <is>
          <t>Not Run</t>
        </is>
      </c>
      <c r="L78" s="32" t="n"/>
      <c r="M78" s="33" t="n"/>
      <c r="N78" s="32" t="n"/>
      <c r="O78" s="32" t="n"/>
      <c r="P78" s="32" t="n"/>
      <c r="Q78" s="32" t="n"/>
    </row>
    <row r="79" ht="30" customHeight="1">
      <c r="A79" s="27" t="inlineStr">
        <is>
          <t>AUTH-040</t>
        </is>
      </c>
      <c r="B79" s="28" t="inlineStr">
        <is>
          <t>04 Authentication &amp; session</t>
        </is>
      </c>
      <c r="C79" s="28" t="inlineStr">
        <is>
          <t>Logout</t>
        </is>
      </c>
      <c r="D79" s="28" t="inlineStr">
        <is>
          <t>Cancel the logout dialog</t>
        </is>
      </c>
      <c r="E79" s="28" t="inlineStr">
        <is>
          <t>1. Profile &gt; Log out
2. Dismiss the dialog</t>
        </is>
      </c>
      <c r="F79" s="28" t="inlineStr">
        <is>
          <t>User stays signed in.</t>
        </is>
      </c>
      <c r="G79" s="29" t="inlineStr">
        <is>
          <t>P3</t>
        </is>
      </c>
      <c r="H79" s="29" t="inlineStr">
        <is>
          <t>Functional</t>
        </is>
      </c>
      <c r="I79" s="29" t="inlineStr">
        <is>
          <t>Both</t>
        </is>
      </c>
      <c r="J79" s="29" t="n"/>
      <c r="K79" s="31" t="inlineStr">
        <is>
          <t>Not Run</t>
        </is>
      </c>
      <c r="L79" s="32" t="n"/>
      <c r="M79" s="33" t="n"/>
      <c r="N79" s="32" t="n"/>
      <c r="O79" s="32" t="n"/>
      <c r="P79" s="32" t="n"/>
      <c r="Q79" s="32" t="n"/>
    </row>
    <row r="80" ht="30" customHeight="1">
      <c r="A80" s="27" t="inlineStr">
        <is>
          <t>AUTH-041</t>
        </is>
      </c>
      <c r="B80" s="28" t="inlineStr">
        <is>
          <t>04 Authentication &amp; session</t>
        </is>
      </c>
      <c r="C80" s="28" t="inlineStr">
        <is>
          <t>Guard</t>
        </is>
      </c>
      <c r="D80" s="28" t="inlineStr">
        <is>
          <t>Signed-out user cannot reach protected screens</t>
        </is>
      </c>
      <c r="E80" s="28" t="inlineStr">
        <is>
          <t>While signed out, open deep links to /appointments, /profile/edit and /records</t>
        </is>
      </c>
      <c r="F80" s="28" t="inlineStr">
        <is>
          <t>User is redirected to sign-in, and after signing in continues to the requested screen (or Home).</t>
        </is>
      </c>
      <c r="G80" s="29" t="inlineStr">
        <is>
          <t>P0</t>
        </is>
      </c>
      <c r="H80" s="29" t="inlineStr">
        <is>
          <t>Security</t>
        </is>
      </c>
      <c r="I80" s="29" t="inlineStr">
        <is>
          <t>Both</t>
        </is>
      </c>
      <c r="J80" s="29" t="n"/>
      <c r="K80" s="31" t="inlineStr">
        <is>
          <t>Not Run</t>
        </is>
      </c>
      <c r="L80" s="32" t="n"/>
      <c r="M80" s="33" t="n"/>
      <c r="N80" s="32" t="n"/>
      <c r="O80" s="32" t="n"/>
      <c r="P80" s="32" t="n"/>
      <c r="Q80" s="32" t="n"/>
    </row>
    <row r="81" ht="43" customHeight="1">
      <c r="A81" s="27" t="inlineStr">
        <is>
          <t>AUTH-042</t>
        </is>
      </c>
      <c r="B81" s="28" t="inlineStr">
        <is>
          <t>04 Authentication &amp; session</t>
        </is>
      </c>
      <c r="C81" s="28" t="inlineStr">
        <is>
          <t>Change password</t>
        </is>
      </c>
      <c r="D81" s="28" t="inlineStr">
        <is>
          <t>Change password with the correct current password</t>
        </is>
      </c>
      <c r="E81" s="28" t="inlineStr">
        <is>
          <t>1. Profile &gt; Change password
2. Enter current and a new valid password
3. Save</t>
        </is>
      </c>
      <c r="F81" s="28" t="inlineStr">
        <is>
          <t>Success message; this device stays signed in; other devices are signed out.</t>
        </is>
      </c>
      <c r="G81" s="29" t="inlineStr">
        <is>
          <t>P1</t>
        </is>
      </c>
      <c r="H81" s="29" t="inlineStr">
        <is>
          <t>Functional</t>
        </is>
      </c>
      <c r="I81" s="29" t="inlineStr">
        <is>
          <t>Both</t>
        </is>
      </c>
      <c r="J81" s="29" t="n"/>
      <c r="K81" s="31" t="inlineStr">
        <is>
          <t>Not Run</t>
        </is>
      </c>
      <c r="L81" s="32" t="n"/>
      <c r="M81" s="33" t="n"/>
      <c r="N81" s="32" t="n"/>
      <c r="O81" s="32" t="n"/>
      <c r="P81" s="32" t="n"/>
      <c r="Q81" s="32" t="n"/>
    </row>
    <row r="82" ht="30" customHeight="1">
      <c r="A82" s="27" t="inlineStr">
        <is>
          <t>AUTH-043</t>
        </is>
      </c>
      <c r="B82" s="28" t="inlineStr">
        <is>
          <t>04 Authentication &amp; session</t>
        </is>
      </c>
      <c r="C82" s="28" t="inlineStr">
        <is>
          <t>Change password</t>
        </is>
      </c>
      <c r="D82" s="28" t="inlineStr">
        <is>
          <t>Wrong current password does not log the user out</t>
        </is>
      </c>
      <c r="E82" s="28" t="inlineStr">
        <is>
          <t>1. Enter a wrong current password
2. Save</t>
        </is>
      </c>
      <c r="F82" s="28" t="inlineStr">
        <is>
          <t>Inline error on the current-password field. The user stays signed in.</t>
        </is>
      </c>
      <c r="G82" s="29" t="inlineStr">
        <is>
          <t>P0</t>
        </is>
      </c>
      <c r="H82" s="29" t="inlineStr">
        <is>
          <t>Negative</t>
        </is>
      </c>
      <c r="I82" s="29" t="inlineStr">
        <is>
          <t>Both</t>
        </is>
      </c>
      <c r="J82" s="29" t="n"/>
      <c r="K82" s="31" t="inlineStr">
        <is>
          <t>Not Run</t>
        </is>
      </c>
      <c r="L82" s="32" t="n"/>
      <c r="M82" s="33" t="n"/>
      <c r="N82" s="32" t="n"/>
      <c r="O82" s="32" t="n"/>
      <c r="P82" s="32" t="n"/>
      <c r="Q82" s="32" t="n"/>
    </row>
    <row r="83" ht="30" customHeight="1">
      <c r="A83" s="27" t="inlineStr">
        <is>
          <t>AUTH-044</t>
        </is>
      </c>
      <c r="B83" s="28" t="inlineStr">
        <is>
          <t>04 Authentication &amp; session</t>
        </is>
      </c>
      <c r="C83" s="28" t="inlineStr">
        <is>
          <t>Change password</t>
        </is>
      </c>
      <c r="D83" s="28" t="inlineStr">
        <is>
          <t>OTP-only account sets a password</t>
        </is>
      </c>
      <c r="E83" s="28" t="inlineStr">
        <is>
          <t>1. On an account without a password, open 'Set a password'
2. Save a valid password</t>
        </is>
      </c>
      <c r="F83" s="28" t="inlineStr">
        <is>
          <t>No current password is asked; afterwards password sign-in works.</t>
        </is>
      </c>
      <c r="G83" s="29" t="inlineStr">
        <is>
          <t>P2</t>
        </is>
      </c>
      <c r="H83" s="29" t="inlineStr">
        <is>
          <t>Functional</t>
        </is>
      </c>
      <c r="I83" s="29" t="inlineStr">
        <is>
          <t>Both</t>
        </is>
      </c>
      <c r="J83" s="29" t="n"/>
      <c r="K83" s="31" t="inlineStr">
        <is>
          <t>Not Run</t>
        </is>
      </c>
      <c r="L83" s="32" t="n"/>
      <c r="M83" s="33" t="n"/>
      <c r="N83" s="32" t="n"/>
      <c r="O83" s="32" t="n"/>
      <c r="P83" s="32" t="n"/>
      <c r="Q83" s="32" t="n"/>
    </row>
    <row r="84" ht="43" customHeight="1">
      <c r="A84" s="27" t="inlineStr">
        <is>
          <t>HOME-001</t>
        </is>
      </c>
      <c r="B84" s="28" t="inlineStr">
        <is>
          <t>05 Home dashboard</t>
        </is>
      </c>
      <c r="C84" s="28" t="inlineStr">
        <is>
          <t>Home</t>
        </is>
      </c>
      <c r="D84" s="28" t="inlineStr">
        <is>
          <t>Home renders all sections with live data</t>
        </is>
      </c>
      <c r="E84" s="28" t="inlineStr">
        <is>
          <t>Open Home as a signed-in user</t>
        </is>
      </c>
      <c r="F84" s="28" t="inlineStr">
        <is>
          <t>Greeting with first name, search bar, Quick Booking, Available Services, Hospitals Near You, offers and family sections all show server data.</t>
        </is>
      </c>
      <c r="G84" s="29" t="inlineStr">
        <is>
          <t>P0</t>
        </is>
      </c>
      <c r="H84" s="29" t="inlineStr">
        <is>
          <t>Functional</t>
        </is>
      </c>
      <c r="I84" s="29" t="inlineStr">
        <is>
          <t>Both</t>
        </is>
      </c>
      <c r="J84" s="29" t="n"/>
      <c r="K84" s="31" t="inlineStr">
        <is>
          <t>Not Run</t>
        </is>
      </c>
      <c r="L84" s="32" t="n"/>
      <c r="M84" s="33" t="n"/>
      <c r="N84" s="32" t="n"/>
      <c r="O84" s="32" t="n"/>
      <c r="P84" s="32" t="n"/>
      <c r="Q84" s="32" t="n"/>
    </row>
    <row r="85" ht="43" customHeight="1">
      <c r="A85" s="27" t="inlineStr">
        <is>
          <t>HOME-002</t>
        </is>
      </c>
      <c r="B85" s="28" t="inlineStr">
        <is>
          <t>05 Home dashboard</t>
        </is>
      </c>
      <c r="C85" s="28" t="inlineStr">
        <is>
          <t>Home</t>
        </is>
      </c>
      <c r="D85" s="28" t="inlineStr">
        <is>
          <t>Today's token card</t>
        </is>
      </c>
      <c r="E85" s="28" t="inlineStr">
        <is>
          <t>With an appointment today, open Home</t>
        </is>
      </c>
      <c r="F85" s="28" t="inlineStr">
        <is>
          <t>'Your Token' card shows the correct token label, doctor and time in the hospital's time zone; tapping opens the appointment or queue.</t>
        </is>
      </c>
      <c r="G85" s="29" t="inlineStr">
        <is>
          <t>P1</t>
        </is>
      </c>
      <c r="H85" s="29" t="inlineStr">
        <is>
          <t>Functional</t>
        </is>
      </c>
      <c r="I85" s="29" t="inlineStr">
        <is>
          <t>Both</t>
        </is>
      </c>
      <c r="J85" s="29" t="n"/>
      <c r="K85" s="31" t="inlineStr">
        <is>
          <t>Not Run</t>
        </is>
      </c>
      <c r="L85" s="32" t="n"/>
      <c r="M85" s="33" t="n"/>
      <c r="N85" s="32" t="n"/>
      <c r="O85" s="32" t="n"/>
      <c r="P85" s="32" t="n"/>
      <c r="Q85" s="32" t="n"/>
    </row>
    <row r="86" ht="17" customHeight="1">
      <c r="A86" s="27" t="inlineStr">
        <is>
          <t>HOME-003</t>
        </is>
      </c>
      <c r="B86" s="28" t="inlineStr">
        <is>
          <t>05 Home dashboard</t>
        </is>
      </c>
      <c r="C86" s="28" t="inlineStr">
        <is>
          <t>Home</t>
        </is>
      </c>
      <c r="D86" s="28" t="inlineStr">
        <is>
          <t>Services expand and collapse</t>
        </is>
      </c>
      <c r="E86" s="28" t="inlineStr">
        <is>
          <t>Tap 'Show all services' then 'Show fewer services'</t>
        </is>
      </c>
      <c r="F86" s="28" t="inlineStr">
        <is>
          <t>List expands and collapses without layout jump.</t>
        </is>
      </c>
      <c r="G86" s="29" t="inlineStr">
        <is>
          <t>P3</t>
        </is>
      </c>
      <c r="H86" s="29" t="inlineStr">
        <is>
          <t>UI</t>
        </is>
      </c>
      <c r="I86" s="29" t="inlineStr">
        <is>
          <t>Both</t>
        </is>
      </c>
      <c r="J86" s="29" t="n"/>
      <c r="K86" s="31" t="inlineStr">
        <is>
          <t>Not Run</t>
        </is>
      </c>
      <c r="L86" s="32" t="n"/>
      <c r="M86" s="33" t="n"/>
      <c r="N86" s="32" t="n"/>
      <c r="O86" s="32" t="n"/>
      <c r="P86" s="32" t="n"/>
      <c r="Q86" s="32" t="n"/>
    </row>
    <row r="87" ht="17" customHeight="1">
      <c r="A87" s="27" t="inlineStr">
        <is>
          <t>HOME-004</t>
        </is>
      </c>
      <c r="B87" s="28" t="inlineStr">
        <is>
          <t>05 Home dashboard</t>
        </is>
      </c>
      <c r="C87" s="28" t="inlineStr">
        <is>
          <t>Home</t>
        </is>
      </c>
      <c r="D87" s="28" t="inlineStr">
        <is>
          <t>Department tile starts a booking</t>
        </is>
      </c>
      <c r="E87" s="28" t="inlineStr">
        <is>
          <t>Tap a department under Available Services</t>
        </is>
      </c>
      <c r="F87" s="28" t="inlineStr">
        <is>
          <t>Booking flow opens with that department preselected.</t>
        </is>
      </c>
      <c r="G87" s="29" t="inlineStr">
        <is>
          <t>P1</t>
        </is>
      </c>
      <c r="H87" s="29" t="inlineStr">
        <is>
          <t>Functional</t>
        </is>
      </c>
      <c r="I87" s="29" t="inlineStr">
        <is>
          <t>Both</t>
        </is>
      </c>
      <c r="J87" s="29" t="n"/>
      <c r="K87" s="31" t="inlineStr">
        <is>
          <t>Not Run</t>
        </is>
      </c>
      <c r="L87" s="32" t="n"/>
      <c r="M87" s="33" t="n"/>
      <c r="N87" s="32" t="n"/>
      <c r="O87" s="32" t="n"/>
      <c r="P87" s="32" t="n"/>
      <c r="Q87" s="32" t="n"/>
    </row>
    <row r="88" ht="30" customHeight="1">
      <c r="A88" s="27" t="inlineStr">
        <is>
          <t>HOME-005</t>
        </is>
      </c>
      <c r="B88" s="28" t="inlineStr">
        <is>
          <t>05 Home dashboard</t>
        </is>
      </c>
      <c r="C88" s="28" t="inlineStr">
        <is>
          <t>Home</t>
        </is>
      </c>
      <c r="D88" s="28" t="inlineStr">
        <is>
          <t>Hospitals list and View all</t>
        </is>
      </c>
      <c r="E88" s="28" t="inlineStr">
        <is>
          <t>1. Tap a hospital card
2. Tap 'View all hospitals'</t>
        </is>
      </c>
      <c r="F88" s="28" t="inlineStr">
        <is>
          <t>Card opens that hospital's detail; View all opens the hospitals list.</t>
        </is>
      </c>
      <c r="G88" s="29" t="inlineStr">
        <is>
          <t>P1</t>
        </is>
      </c>
      <c r="H88" s="29" t="inlineStr">
        <is>
          <t>Functional</t>
        </is>
      </c>
      <c r="I88" s="29" t="inlineStr">
        <is>
          <t>Both</t>
        </is>
      </c>
      <c r="J88" s="29" t="n"/>
      <c r="K88" s="31" t="inlineStr">
        <is>
          <t>Not Run</t>
        </is>
      </c>
      <c r="L88" s="32" t="n"/>
      <c r="M88" s="33" t="n"/>
      <c r="N88" s="32" t="n"/>
      <c r="O88" s="32" t="n"/>
      <c r="P88" s="32" t="n"/>
      <c r="Q88" s="32" t="n"/>
    </row>
    <row r="89" ht="43" customHeight="1">
      <c r="A89" s="27" t="inlineStr">
        <is>
          <t>HOME-006</t>
        </is>
      </c>
      <c r="B89" s="28" t="inlineStr">
        <is>
          <t>05 Home dashboard</t>
        </is>
      </c>
      <c r="C89" s="28" t="inlineStr">
        <is>
          <t>Home</t>
        </is>
      </c>
      <c r="D89" s="28" t="inlineStr">
        <is>
          <t>Promo banners</t>
        </is>
      </c>
      <c r="E89" s="28" t="inlineStr">
        <is>
          <t>1. Watch the banner for 10 s
2. Swipe manually
3. Turn on Reduce Motion and reopen Home</t>
        </is>
      </c>
      <c r="F89" s="28" t="inlineStr">
        <is>
          <t>Banner rotates about every 4 s with dots in sync; no rotation when Reduce Motion is on.</t>
        </is>
      </c>
      <c r="G89" s="29" t="inlineStr">
        <is>
          <t>P2</t>
        </is>
      </c>
      <c r="H89" s="29" t="inlineStr">
        <is>
          <t>UI</t>
        </is>
      </c>
      <c r="I89" s="29" t="inlineStr">
        <is>
          <t>Both</t>
        </is>
      </c>
      <c r="J89" s="29" t="n"/>
      <c r="K89" s="31" t="inlineStr">
        <is>
          <t>Not Run</t>
        </is>
      </c>
      <c r="L89" s="32" t="n"/>
      <c r="M89" s="33" t="n"/>
      <c r="N89" s="32" t="n"/>
      <c r="O89" s="32" t="n"/>
      <c r="P89" s="32" t="n"/>
      <c r="Q89" s="32" t="n"/>
    </row>
    <row r="90" ht="30" customHeight="1">
      <c r="A90" s="27" t="inlineStr">
        <is>
          <t>HOME-007</t>
        </is>
      </c>
      <c r="B90" s="28" t="inlineStr">
        <is>
          <t>05 Home dashboard</t>
        </is>
      </c>
      <c r="C90" s="28" t="inlineStr">
        <is>
          <t>Home</t>
        </is>
      </c>
      <c r="D90" s="28" t="inlineStr">
        <is>
          <t>Notification bell badge</t>
        </is>
      </c>
      <c r="E90" s="28" t="inlineStr">
        <is>
          <t>1. Compare the badge with the unread notifications
2. Trigger a new notification</t>
        </is>
      </c>
      <c r="F90" s="28" t="inlineStr">
        <is>
          <t>Badge matches the unread count and updates without a manual refresh.</t>
        </is>
      </c>
      <c r="G90" s="29" t="inlineStr">
        <is>
          <t>P1</t>
        </is>
      </c>
      <c r="H90" s="29" t="inlineStr">
        <is>
          <t>Functional</t>
        </is>
      </c>
      <c r="I90" s="29" t="inlineStr">
        <is>
          <t>Both</t>
        </is>
      </c>
      <c r="J90" s="29" t="n"/>
      <c r="K90" s="31" t="inlineStr">
        <is>
          <t>Not Run</t>
        </is>
      </c>
      <c r="L90" s="32" t="n"/>
      <c r="M90" s="33" t="n"/>
      <c r="N90" s="32" t="n"/>
      <c r="O90" s="32" t="n"/>
      <c r="P90" s="32" t="n"/>
      <c r="Q90" s="32" t="n"/>
    </row>
    <row r="91" ht="30" customHeight="1">
      <c r="A91" s="27" t="inlineStr">
        <is>
          <t>HOME-008</t>
        </is>
      </c>
      <c r="B91" s="28" t="inlineStr">
        <is>
          <t>05 Home dashboard</t>
        </is>
      </c>
      <c r="C91" s="28" t="inlineStr">
        <is>
          <t>Home</t>
        </is>
      </c>
      <c r="D91" s="28" t="inlineStr">
        <is>
          <t>Pull to refresh</t>
        </is>
      </c>
      <c r="E91" s="28" t="inlineStr">
        <is>
          <t>Pull down on Home</t>
        </is>
      </c>
      <c r="F91" s="28" t="inlineStr">
        <is>
          <t>Sections reload; indicator disappears; no duplicate content.</t>
        </is>
      </c>
      <c r="G91" s="29" t="inlineStr">
        <is>
          <t>P2</t>
        </is>
      </c>
      <c r="H91" s="29" t="inlineStr">
        <is>
          <t>Functional</t>
        </is>
      </c>
      <c r="I91" s="29" t="inlineStr">
        <is>
          <t>Both</t>
        </is>
      </c>
      <c r="J91" s="29" t="n"/>
      <c r="K91" s="31" t="inlineStr">
        <is>
          <t>Not Run</t>
        </is>
      </c>
      <c r="L91" s="32" t="n"/>
      <c r="M91" s="33" t="n"/>
      <c r="N91" s="32" t="n"/>
      <c r="O91" s="32" t="n"/>
      <c r="P91" s="32" t="n"/>
      <c r="Q91" s="32" t="n"/>
    </row>
    <row r="92" ht="30" customHeight="1">
      <c r="A92" s="27" t="inlineStr">
        <is>
          <t>HOME-009</t>
        </is>
      </c>
      <c r="B92" s="28" t="inlineStr">
        <is>
          <t>05 Home dashboard</t>
        </is>
      </c>
      <c r="C92" s="28" t="inlineStr">
        <is>
          <t>Home</t>
        </is>
      </c>
      <c r="D92" s="28" t="inlineStr">
        <is>
          <t>Empty states</t>
        </is>
      </c>
      <c r="E92" s="28" t="inlineStr">
        <is>
          <t>Use a location with no live hospitals / no departments</t>
        </is>
      </c>
      <c r="F92" s="28" t="inlineStr">
        <is>
          <t>'No hospital is live…' and 'No departments are taking bookings…' messages appear instead of blank areas.</t>
        </is>
      </c>
      <c r="G92" s="29" t="inlineStr">
        <is>
          <t>P2</t>
        </is>
      </c>
      <c r="H92" s="29" t="inlineStr">
        <is>
          <t>Negative</t>
        </is>
      </c>
      <c r="I92" s="29" t="inlineStr">
        <is>
          <t>Both</t>
        </is>
      </c>
      <c r="J92" s="29" t="n"/>
      <c r="K92" s="31" t="inlineStr">
        <is>
          <t>Not Run</t>
        </is>
      </c>
      <c r="L92" s="32" t="n"/>
      <c r="M92" s="33" t="n"/>
      <c r="N92" s="32" t="n"/>
      <c r="O92" s="32" t="n"/>
      <c r="P92" s="32" t="n"/>
      <c r="Q92" s="32" t="n"/>
    </row>
    <row r="93" ht="30" customHeight="1">
      <c r="A93" s="27" t="inlineStr">
        <is>
          <t>HOME-010</t>
        </is>
      </c>
      <c r="B93" s="28" t="inlineStr">
        <is>
          <t>05 Home dashboard</t>
        </is>
      </c>
      <c r="C93" s="28" t="inlineStr">
        <is>
          <t>Home</t>
        </is>
      </c>
      <c r="D93" s="28" t="inlineStr">
        <is>
          <t>Section failure does not blank the whole screen</t>
        </is>
      </c>
      <c r="E93" s="28" t="inlineStr">
        <is>
          <t>With a proxy, fail one Home request (e.g. hospitals) with a 500</t>
        </is>
      </c>
      <c r="F93" s="28" t="inlineStr">
        <is>
          <t>Other sections still render; the failed section shows an error with retry.</t>
        </is>
      </c>
      <c r="G93" s="29" t="inlineStr">
        <is>
          <t>P1</t>
        </is>
      </c>
      <c r="H93" s="29" t="inlineStr">
        <is>
          <t>Negative</t>
        </is>
      </c>
      <c r="I93" s="29" t="inlineStr">
        <is>
          <t>Both</t>
        </is>
      </c>
      <c r="J93" s="29" t="n"/>
      <c r="K93" s="31" t="inlineStr">
        <is>
          <t>Not Run</t>
        </is>
      </c>
      <c r="L93" s="32" t="n"/>
      <c r="M93" s="33" t="n"/>
      <c r="N93" s="32" t="n"/>
      <c r="O93" s="32" t="n"/>
      <c r="P93" s="32" t="n"/>
      <c r="Q93" s="32" t="n"/>
    </row>
    <row r="94" ht="43" customHeight="1">
      <c r="A94" s="27" t="inlineStr">
        <is>
          <t>HOME-011</t>
        </is>
      </c>
      <c r="B94" s="28" t="inlineStr">
        <is>
          <t>05 Home dashboard</t>
        </is>
      </c>
      <c r="C94" s="28" t="inlineStr">
        <is>
          <t>Bottom nav</t>
        </is>
      </c>
      <c r="D94" s="28" t="inlineStr">
        <is>
          <t>Tab bar navigation and state</t>
        </is>
      </c>
      <c r="E94" s="28" t="inlineStr">
        <is>
          <t>1. Scroll within Appointments
2. Switch to Records and back
3. Re-tap the active tab</t>
        </is>
      </c>
      <c r="F94" s="28" t="inlineStr">
        <is>
          <t>Each tab keeps its scroll position and stack; the active tab is highlighted.</t>
        </is>
      </c>
      <c r="G94" s="29" t="inlineStr">
        <is>
          <t>P1</t>
        </is>
      </c>
      <c r="H94" s="29" t="inlineStr">
        <is>
          <t>Functional</t>
        </is>
      </c>
      <c r="I94" s="29" t="inlineStr">
        <is>
          <t>Both</t>
        </is>
      </c>
      <c r="J94" s="29" t="n"/>
      <c r="K94" s="31" t="inlineStr">
        <is>
          <t>Not Run</t>
        </is>
      </c>
      <c r="L94" s="32" t="n"/>
      <c r="M94" s="33" t="n"/>
      <c r="N94" s="32" t="n"/>
      <c r="O94" s="32" t="n"/>
      <c r="P94" s="32" t="n"/>
      <c r="Q94" s="32" t="n"/>
    </row>
    <row r="95" ht="17" customHeight="1">
      <c r="A95" s="27" t="inlineStr">
        <is>
          <t>HOME-012</t>
        </is>
      </c>
      <c r="B95" s="28" t="inlineStr">
        <is>
          <t>05 Home dashboard</t>
        </is>
      </c>
      <c r="C95" s="28" t="inlineStr">
        <is>
          <t>Home</t>
        </is>
      </c>
      <c r="D95" s="28" t="inlineStr">
        <is>
          <t>Search entry</t>
        </is>
      </c>
      <c r="E95" s="28" t="inlineStr">
        <is>
          <t>Tap the Home search bar</t>
        </is>
      </c>
      <c r="F95" s="28" t="inlineStr">
        <is>
          <t>Search screen opens with the keyboard focused.</t>
        </is>
      </c>
      <c r="G95" s="29" t="inlineStr">
        <is>
          <t>P2</t>
        </is>
      </c>
      <c r="H95" s="29" t="inlineStr">
        <is>
          <t>Functional</t>
        </is>
      </c>
      <c r="I95" s="29" t="inlineStr">
        <is>
          <t>Both</t>
        </is>
      </c>
      <c r="J95" s="29" t="n"/>
      <c r="K95" s="31" t="inlineStr">
        <is>
          <t>Not Run</t>
        </is>
      </c>
      <c r="L95" s="32" t="n"/>
      <c r="M95" s="33" t="n"/>
      <c r="N95" s="32" t="n"/>
      <c r="O95" s="32" t="n"/>
      <c r="P95" s="32" t="n"/>
      <c r="Q95" s="32" t="n"/>
    </row>
    <row r="96" ht="43" customHeight="1">
      <c r="A96" s="27" t="inlineStr">
        <is>
          <t>DISC-001</t>
        </is>
      </c>
      <c r="B96" s="28" t="inlineStr">
        <is>
          <t>06 Discovery: locations, hospitals, doctors, search</t>
        </is>
      </c>
      <c r="C96" s="28" t="inlineStr">
        <is>
          <t>Locations</t>
        </is>
      </c>
      <c r="D96" s="28" t="inlineStr">
        <is>
          <t>Choose a location</t>
        </is>
      </c>
      <c r="E96" s="28" t="inlineStr">
        <is>
          <t>1. Open Locations
2. Pick a city/area
3. Return Home</t>
        </is>
      </c>
      <c r="F96" s="28" t="inlineStr">
        <is>
          <t>Home and hospital lists reflect the chosen location; the choice survives relaunch.</t>
        </is>
      </c>
      <c r="G96" s="29" t="inlineStr">
        <is>
          <t>P1</t>
        </is>
      </c>
      <c r="H96" s="29" t="inlineStr">
        <is>
          <t>Functional</t>
        </is>
      </c>
      <c r="I96" s="29" t="inlineStr">
        <is>
          <t>Both</t>
        </is>
      </c>
      <c r="J96" s="29" t="n"/>
      <c r="K96" s="31" t="inlineStr">
        <is>
          <t>Not Run</t>
        </is>
      </c>
      <c r="L96" s="32" t="n"/>
      <c r="M96" s="33" t="n"/>
      <c r="N96" s="32" t="n"/>
      <c r="O96" s="32" t="n"/>
      <c r="P96" s="32" t="n"/>
      <c r="Q96" s="32" t="n"/>
    </row>
    <row r="97" ht="30" customHeight="1">
      <c r="A97" s="27" t="inlineStr">
        <is>
          <t>DISC-002</t>
        </is>
      </c>
      <c r="B97" s="28" t="inlineStr">
        <is>
          <t>06 Discovery: locations, hospitals, doctors, search</t>
        </is>
      </c>
      <c r="C97" s="28" t="inlineStr">
        <is>
          <t>Hospitals</t>
        </is>
      </c>
      <c r="D97" s="28" t="inlineStr">
        <is>
          <t>Hospital list loads and paginates</t>
        </is>
      </c>
      <c r="E97" s="28" t="inlineStr">
        <is>
          <t>1. Open Hospitals
2. Scroll to the end</t>
        </is>
      </c>
      <c r="F97" s="28" t="inlineStr">
        <is>
          <t>More results load; no duplicates; end of list handled.</t>
        </is>
      </c>
      <c r="G97" s="29" t="inlineStr">
        <is>
          <t>P1</t>
        </is>
      </c>
      <c r="H97" s="29" t="inlineStr">
        <is>
          <t>Functional</t>
        </is>
      </c>
      <c r="I97" s="29" t="inlineStr">
        <is>
          <t>Both</t>
        </is>
      </c>
      <c r="J97" s="29" t="n"/>
      <c r="K97" s="31" t="inlineStr">
        <is>
          <t>Not Run</t>
        </is>
      </c>
      <c r="L97" s="32" t="n"/>
      <c r="M97" s="33" t="n"/>
      <c r="N97" s="32" t="n"/>
      <c r="O97" s="32" t="n"/>
      <c r="P97" s="32" t="n"/>
      <c r="Q97" s="32" t="n"/>
    </row>
    <row r="98" ht="30" customHeight="1">
      <c r="A98" s="27" t="inlineStr">
        <is>
          <t>DISC-003</t>
        </is>
      </c>
      <c r="B98" s="28" t="inlineStr">
        <is>
          <t>06 Discovery: locations, hospitals, doctors, search</t>
        </is>
      </c>
      <c r="C98" s="28" t="inlineStr">
        <is>
          <t>Hospitals</t>
        </is>
      </c>
      <c r="D98" s="28" t="inlineStr">
        <is>
          <t>Rating display</t>
        </is>
      </c>
      <c r="E98" s="28" t="inlineStr">
        <is>
          <t>Find a rated and an unrated hospital</t>
        </is>
      </c>
      <c r="F98" s="28" t="inlineStr">
        <is>
          <t>Rated shows the value (e.g. 4.6); unrated shows 'Unrated' — never 'null' or 0.0.</t>
        </is>
      </c>
      <c r="G98" s="29" t="inlineStr">
        <is>
          <t>P2</t>
        </is>
      </c>
      <c r="H98" s="29" t="inlineStr">
        <is>
          <t>UI</t>
        </is>
      </c>
      <c r="I98" s="29" t="inlineStr">
        <is>
          <t>Both</t>
        </is>
      </c>
      <c r="J98" s="29" t="n"/>
      <c r="K98" s="31" t="inlineStr">
        <is>
          <t>Not Run</t>
        </is>
      </c>
      <c r="L98" s="32" t="n"/>
      <c r="M98" s="33" t="n"/>
      <c r="N98" s="32" t="n"/>
      <c r="O98" s="32" t="n"/>
      <c r="P98" s="32" t="n"/>
      <c r="Q98" s="32" t="n"/>
    </row>
    <row r="99" ht="30" customHeight="1">
      <c r="A99" s="27" t="inlineStr">
        <is>
          <t>DISC-004</t>
        </is>
      </c>
      <c r="B99" s="28" t="inlineStr">
        <is>
          <t>06 Discovery: locations, hospitals, doctors, search</t>
        </is>
      </c>
      <c r="C99" s="28" t="inlineStr">
        <is>
          <t>Hospital detail</t>
        </is>
      </c>
      <c r="D99" s="28" t="inlineStr">
        <is>
          <t>Hospital detail content</t>
        </is>
      </c>
      <c r="E99" s="28" t="inlineStr">
        <is>
          <t>Open a hospital</t>
        </is>
      </c>
      <c r="F99" s="28" t="inlineStr">
        <is>
          <t>Name, address, departments, doctors and banners load; images resolve; phone and directions actions are present.</t>
        </is>
      </c>
      <c r="G99" s="29" t="inlineStr">
        <is>
          <t>P1</t>
        </is>
      </c>
      <c r="H99" s="29" t="inlineStr">
        <is>
          <t>Functional</t>
        </is>
      </c>
      <c r="I99" s="29" t="inlineStr">
        <is>
          <t>Both</t>
        </is>
      </c>
      <c r="J99" s="29" t="n"/>
      <c r="K99" s="31" t="inlineStr">
        <is>
          <t>Not Run</t>
        </is>
      </c>
      <c r="L99" s="32" t="n"/>
      <c r="M99" s="33" t="n"/>
      <c r="N99" s="32" t="n"/>
      <c r="O99" s="32" t="n"/>
      <c r="P99" s="32" t="n"/>
      <c r="Q99" s="32" t="n"/>
    </row>
    <row r="100" ht="30" customHeight="1">
      <c r="A100" s="27" t="inlineStr">
        <is>
          <t>DISC-005</t>
        </is>
      </c>
      <c r="B100" s="28" t="inlineStr">
        <is>
          <t>06 Discovery: locations, hospitals, doctors, search</t>
        </is>
      </c>
      <c r="C100" s="28" t="inlineStr">
        <is>
          <t>Hospital detail</t>
        </is>
      </c>
      <c r="D100" s="28" t="inlineStr">
        <is>
          <t>Call and directions hand off to the OS</t>
        </is>
      </c>
      <c r="E100" s="28" t="inlineStr">
        <is>
          <t>1. Tap the phone action
2. Tap directions/map</t>
        </is>
      </c>
      <c r="F100" s="28" t="inlineStr">
        <is>
          <t>Dialer opens with the number; maps opens at the location; returning to the app keeps state.</t>
        </is>
      </c>
      <c r="G100" s="29" t="inlineStr">
        <is>
          <t>P2</t>
        </is>
      </c>
      <c r="H100" s="29" t="inlineStr">
        <is>
          <t>Functional</t>
        </is>
      </c>
      <c r="I100" s="29" t="inlineStr">
        <is>
          <t>Both</t>
        </is>
      </c>
      <c r="J100" s="29" t="n"/>
      <c r="K100" s="31" t="inlineStr">
        <is>
          <t>Not Run</t>
        </is>
      </c>
      <c r="L100" s="32" t="n"/>
      <c r="M100" s="33" t="n"/>
      <c r="N100" s="32" t="n"/>
      <c r="O100" s="32" t="n"/>
      <c r="P100" s="32" t="n"/>
      <c r="Q100" s="32" t="n"/>
    </row>
    <row r="101" ht="30" customHeight="1">
      <c r="A101" s="27" t="inlineStr">
        <is>
          <t>DISC-006</t>
        </is>
      </c>
      <c r="B101" s="28" t="inlineStr">
        <is>
          <t>06 Discovery: locations, hospitals, doctors, search</t>
        </is>
      </c>
      <c r="C101" s="28" t="inlineStr">
        <is>
          <t>Hospital detail</t>
        </is>
      </c>
      <c r="D101" s="28" t="inlineStr">
        <is>
          <t>Hospital not taking online bookings</t>
        </is>
      </c>
      <c r="E101" s="28" t="inlineStr">
        <is>
          <t>Open a hospital with online booking off</t>
        </is>
      </c>
      <c r="F101" s="28" t="inlineStr">
        <is>
          <t>'Not bookable online. Call the hospital to book.' is shown; no path leads to payment.</t>
        </is>
      </c>
      <c r="G101" s="29" t="inlineStr">
        <is>
          <t>P1</t>
        </is>
      </c>
      <c r="H101" s="29" t="inlineStr">
        <is>
          <t>Negative</t>
        </is>
      </c>
      <c r="I101" s="29" t="inlineStr">
        <is>
          <t>Both</t>
        </is>
      </c>
      <c r="J101" s="29" t="n"/>
      <c r="K101" s="31" t="inlineStr">
        <is>
          <t>Not Run</t>
        </is>
      </c>
      <c r="L101" s="32" t="n"/>
      <c r="M101" s="33" t="n"/>
      <c r="N101" s="32" t="n"/>
      <c r="O101" s="32" t="n"/>
      <c r="P101" s="32" t="n"/>
      <c r="Q101" s="32" t="n"/>
    </row>
    <row r="102" ht="43" customHeight="1">
      <c r="A102" s="27" t="inlineStr">
        <is>
          <t>DISC-007</t>
        </is>
      </c>
      <c r="B102" s="28" t="inlineStr">
        <is>
          <t>06 Discovery: locations, hospitals, doctors, search</t>
        </is>
      </c>
      <c r="C102" s="28" t="inlineStr">
        <is>
          <t>Doctor detail</t>
        </is>
      </c>
      <c r="D102" s="28" t="inlineStr">
        <is>
          <t>Doctor detail content</t>
        </is>
      </c>
      <c r="E102" s="28" t="inlineStr">
        <is>
          <t>Open a doctor from search, from a hospital and from booking</t>
        </is>
      </c>
      <c r="F102" s="28" t="inlineStr">
        <is>
          <t>Name, speciality, fee, rating ('Not yet rated' when none) and availability are shown; Back returns to the originating screen each time.</t>
        </is>
      </c>
      <c r="G102" s="29" t="inlineStr">
        <is>
          <t>P1</t>
        </is>
      </c>
      <c r="H102" s="29" t="inlineStr">
        <is>
          <t>Functional</t>
        </is>
      </c>
      <c r="I102" s="29" t="inlineStr">
        <is>
          <t>Both</t>
        </is>
      </c>
      <c r="J102" s="29" t="n"/>
      <c r="K102" s="31" t="inlineStr">
        <is>
          <t>Not Run</t>
        </is>
      </c>
      <c r="L102" s="32" t="n"/>
      <c r="M102" s="33" t="n"/>
      <c r="N102" s="32" t="n"/>
      <c r="O102" s="32" t="n"/>
      <c r="P102" s="32" t="n"/>
      <c r="Q102" s="32" t="n"/>
    </row>
    <row r="103" ht="30" customHeight="1">
      <c r="A103" s="27" t="inlineStr">
        <is>
          <t>DISC-008</t>
        </is>
      </c>
      <c r="B103" s="28" t="inlineStr">
        <is>
          <t>06 Discovery: locations, hospitals, doctors, search</t>
        </is>
      </c>
      <c r="C103" s="28" t="inlineStr">
        <is>
          <t>Doctor detail</t>
        </is>
      </c>
      <c r="D103" s="28" t="inlineStr">
        <is>
          <t>Doctor on leave</t>
        </is>
      </c>
      <c r="E103" s="28" t="inlineStr">
        <is>
          <t>Open a doctor whose status is on leave</t>
        </is>
      </c>
      <c r="F103" s="28" t="inlineStr">
        <is>
          <t>'On leave — not taking bookings right now.' and no bookable slots.</t>
        </is>
      </c>
      <c r="G103" s="29" t="inlineStr">
        <is>
          <t>P1</t>
        </is>
      </c>
      <c r="H103" s="29" t="inlineStr">
        <is>
          <t>Negative</t>
        </is>
      </c>
      <c r="I103" s="29" t="inlineStr">
        <is>
          <t>Both</t>
        </is>
      </c>
      <c r="J103" s="29" t="n"/>
      <c r="K103" s="31" t="inlineStr">
        <is>
          <t>Not Run</t>
        </is>
      </c>
      <c r="L103" s="32" t="n"/>
      <c r="M103" s="33" t="n"/>
      <c r="N103" s="32" t="n"/>
      <c r="O103" s="32" t="n"/>
      <c r="P103" s="32" t="n"/>
      <c r="Q103" s="32" t="n"/>
    </row>
    <row r="104" ht="30" customHeight="1">
      <c r="A104" s="27" t="inlineStr">
        <is>
          <t>DISC-009</t>
        </is>
      </c>
      <c r="B104" s="28" t="inlineStr">
        <is>
          <t>06 Discovery: locations, hospitals, doctors, search</t>
        </is>
      </c>
      <c r="C104" s="28" t="inlineStr">
        <is>
          <t>Search</t>
        </is>
      </c>
      <c r="D104" s="28" t="inlineStr">
        <is>
          <t>Search returns doctors, hospitals and departments</t>
        </is>
      </c>
      <c r="E104" s="28" t="inlineStr">
        <is>
          <t>Type a 2+ character query matching each kind</t>
        </is>
      </c>
      <c r="F104" s="28" t="inlineStr">
        <is>
          <t>Grouped results appear; tapping each opens the right screen.</t>
        </is>
      </c>
      <c r="G104" s="29" t="inlineStr">
        <is>
          <t>P0</t>
        </is>
      </c>
      <c r="H104" s="29" t="inlineStr">
        <is>
          <t>Functional</t>
        </is>
      </c>
      <c r="I104" s="29" t="inlineStr">
        <is>
          <t>Both</t>
        </is>
      </c>
      <c r="J104" s="29" t="n"/>
      <c r="K104" s="31" t="inlineStr">
        <is>
          <t>Not Run</t>
        </is>
      </c>
      <c r="L104" s="32" t="n"/>
      <c r="M104" s="33" t="n"/>
      <c r="N104" s="32" t="n"/>
      <c r="O104" s="32" t="n"/>
      <c r="P104" s="32" t="n"/>
      <c r="Q104" s="32" t="n"/>
    </row>
    <row r="105" ht="30" customHeight="1">
      <c r="A105" s="27" t="inlineStr">
        <is>
          <t>DISC-010</t>
        </is>
      </c>
      <c r="B105" s="28" t="inlineStr">
        <is>
          <t>06 Discovery: locations, hospitals, doctors, search</t>
        </is>
      </c>
      <c r="C105" s="28" t="inlineStr">
        <is>
          <t>Search</t>
        </is>
      </c>
      <c r="D105" s="28" t="inlineStr">
        <is>
          <t>Minimum length and debounce</t>
        </is>
      </c>
      <c r="E105" s="28" t="inlineStr">
        <is>
          <t>1. Type one character
2. Type quickly 'cardio' while watching the proxy</t>
        </is>
      </c>
      <c r="F105" s="28" t="inlineStr">
        <is>
          <t>No request for a single character; requests are debounced (not one per keystroke); final results match the final text.</t>
        </is>
      </c>
      <c r="G105" s="29" t="inlineStr">
        <is>
          <t>P2</t>
        </is>
      </c>
      <c r="H105" s="29" t="inlineStr">
        <is>
          <t>Performance</t>
        </is>
      </c>
      <c r="I105" s="29" t="inlineStr">
        <is>
          <t>Both</t>
        </is>
      </c>
      <c r="J105" s="29" t="n"/>
      <c r="K105" s="31" t="inlineStr">
        <is>
          <t>Not Run</t>
        </is>
      </c>
      <c r="L105" s="32" t="n"/>
      <c r="M105" s="33" t="n"/>
      <c r="N105" s="32" t="n"/>
      <c r="O105" s="32" t="n"/>
      <c r="P105" s="32" t="n"/>
      <c r="Q105" s="32" t="n"/>
    </row>
    <row r="106" ht="30" customHeight="1">
      <c r="A106" s="27" t="inlineStr">
        <is>
          <t>DISC-011</t>
        </is>
      </c>
      <c r="B106" s="28" t="inlineStr">
        <is>
          <t>06 Discovery: locations, hospitals, doctors, search</t>
        </is>
      </c>
      <c r="C106" s="28" t="inlineStr">
        <is>
          <t>Search</t>
        </is>
      </c>
      <c r="D106" s="28" t="inlineStr">
        <is>
          <t>No results and clear</t>
        </is>
      </c>
      <c r="E106" s="28" t="inlineStr">
        <is>
          <t>1. Search 'zzzzqq'
2. Tap clear</t>
        </is>
      </c>
      <c r="F106" s="28" t="inlineStr">
        <is>
          <t>Friendly no-results state; clear resets the field and results.</t>
        </is>
      </c>
      <c r="G106" s="29" t="inlineStr">
        <is>
          <t>P2</t>
        </is>
      </c>
      <c r="H106" s="29" t="inlineStr">
        <is>
          <t>Negative</t>
        </is>
      </c>
      <c r="I106" s="29" t="inlineStr">
        <is>
          <t>Both</t>
        </is>
      </c>
      <c r="J106" s="29" t="n"/>
      <c r="K106" s="31" t="inlineStr">
        <is>
          <t>Not Run</t>
        </is>
      </c>
      <c r="L106" s="32" t="n"/>
      <c r="M106" s="33" t="n"/>
      <c r="N106" s="32" t="n"/>
      <c r="O106" s="32" t="n"/>
      <c r="P106" s="32" t="n"/>
      <c r="Q106" s="32" t="n"/>
    </row>
    <row r="107" ht="30" customHeight="1">
      <c r="A107" s="27" t="inlineStr">
        <is>
          <t>DISC-012</t>
        </is>
      </c>
      <c r="B107" s="28" t="inlineStr">
        <is>
          <t>06 Discovery: locations, hospitals, doctors, search</t>
        </is>
      </c>
      <c r="C107" s="28" t="inlineStr">
        <is>
          <t>Search</t>
        </is>
      </c>
      <c r="D107" s="28" t="inlineStr">
        <is>
          <t>Special input</t>
        </is>
      </c>
      <c r="E107" s="28" t="inlineStr">
        <is>
          <t>Search with emoji, Malayalam/Hindi text, leading/trailing spaces, and a 200-character string</t>
        </is>
      </c>
      <c r="F107" s="28" t="inlineStr">
        <is>
          <t>No crash; input is handled or trimmed; layout does not break.</t>
        </is>
      </c>
      <c r="G107" s="29" t="inlineStr">
        <is>
          <t>P2</t>
        </is>
      </c>
      <c r="H107" s="29" t="inlineStr">
        <is>
          <t>Edge</t>
        </is>
      </c>
      <c r="I107" s="29" t="inlineStr">
        <is>
          <t>Both</t>
        </is>
      </c>
      <c r="J107" s="29" t="n"/>
      <c r="K107" s="31" t="inlineStr">
        <is>
          <t>Not Run</t>
        </is>
      </c>
      <c r="L107" s="32" t="n"/>
      <c r="M107" s="33" t="n"/>
      <c r="N107" s="32" t="n"/>
      <c r="O107" s="32" t="n"/>
      <c r="P107" s="32" t="n"/>
      <c r="Q107" s="32" t="n"/>
    </row>
    <row r="108" ht="30" customHeight="1">
      <c r="A108" s="27" t="inlineStr">
        <is>
          <t>DISC-013</t>
        </is>
      </c>
      <c r="B108" s="28" t="inlineStr">
        <is>
          <t>06 Discovery: locations, hospitals, doctors, search</t>
        </is>
      </c>
      <c r="C108" s="28" t="inlineStr">
        <is>
          <t>Discovery</t>
        </is>
      </c>
      <c r="D108" s="28" t="inlineStr">
        <is>
          <t>Unknown hospital or doctor id</t>
        </is>
      </c>
      <c r="E108" s="28" t="inlineStr">
        <is>
          <t>Open medibook://hospital/does-not-exist and medibook://doctor/does-not-exist</t>
        </is>
      </c>
      <c r="F108" s="28" t="inlineStr">
        <is>
          <t>Not-found view with a way back; no crash, no endless loader.</t>
        </is>
      </c>
      <c r="G108" s="29" t="inlineStr">
        <is>
          <t>P1</t>
        </is>
      </c>
      <c r="H108" s="29" t="inlineStr">
        <is>
          <t>Negative</t>
        </is>
      </c>
      <c r="I108" s="29" t="inlineStr">
        <is>
          <t>Both</t>
        </is>
      </c>
      <c r="J108" s="29" t="n"/>
      <c r="K108" s="31" t="inlineStr">
        <is>
          <t>Not Run</t>
        </is>
      </c>
      <c r="L108" s="32" t="n"/>
      <c r="M108" s="33" t="n"/>
      <c r="N108" s="32" t="n"/>
      <c r="O108" s="32" t="n"/>
      <c r="P108" s="32" t="n"/>
      <c r="Q108" s="32" t="n"/>
    </row>
    <row r="109" ht="30" customHeight="1">
      <c r="A109" s="27" t="inlineStr">
        <is>
          <t>DISC-014</t>
        </is>
      </c>
      <c r="B109" s="28" t="inlineStr">
        <is>
          <t>06 Discovery: locations, hospitals, doctors, search</t>
        </is>
      </c>
      <c r="C109" s="28" t="inlineStr">
        <is>
          <t>Discovery</t>
        </is>
      </c>
      <c r="D109" s="28" t="inlineStr">
        <is>
          <t>Images load with placeholders</t>
        </is>
      </c>
      <c r="E109" s="28" t="inlineStr">
        <is>
          <t>Open lists on a throttled connection</t>
        </is>
      </c>
      <c r="F109" s="28" t="inlineStr">
        <is>
          <t>Placeholders show while loading; failed images fall back to a default; no layout shift.</t>
        </is>
      </c>
      <c r="G109" s="29" t="inlineStr">
        <is>
          <t>P2</t>
        </is>
      </c>
      <c r="H109" s="29" t="inlineStr">
        <is>
          <t>UI</t>
        </is>
      </c>
      <c r="I109" s="29" t="inlineStr">
        <is>
          <t>Both</t>
        </is>
      </c>
      <c r="J109" s="29" t="n"/>
      <c r="K109" s="31" t="inlineStr">
        <is>
          <t>Not Run</t>
        </is>
      </c>
      <c r="L109" s="32" t="n"/>
      <c r="M109" s="33" t="n"/>
      <c r="N109" s="32" t="n"/>
      <c r="O109" s="32" t="n"/>
      <c r="P109" s="32" t="n"/>
      <c r="Q109" s="32" t="n"/>
    </row>
    <row r="110" ht="30" customHeight="1">
      <c r="A110" s="27" t="inlineStr">
        <is>
          <t>DISC-015</t>
        </is>
      </c>
      <c r="B110" s="28" t="inlineStr">
        <is>
          <t>06 Discovery: locations, hospitals, doctors, search</t>
        </is>
      </c>
      <c r="C110" s="28" t="inlineStr">
        <is>
          <t>Hospitals</t>
        </is>
      </c>
      <c r="D110" s="28" t="inlineStr">
        <is>
          <t>'Hospitals Near You' ordering is understood</t>
        </is>
      </c>
      <c r="E110" s="28" t="inlineStr">
        <is>
          <t>Compare the list order with distance from the device</t>
        </is>
      </c>
      <c r="F110" s="28" t="inlineStr">
        <is>
          <t>Confirm with the product owner whether name-ordering under a 'Near You' heading is acceptable for launch.</t>
        </is>
      </c>
      <c r="G110" s="29" t="inlineStr">
        <is>
          <t>P2</t>
        </is>
      </c>
      <c r="H110" s="29" t="inlineStr">
        <is>
          <t>Functional</t>
        </is>
      </c>
      <c r="I110" s="29" t="inlineStr">
        <is>
          <t>Both</t>
        </is>
      </c>
      <c r="J110" s="29" t="inlineStr">
        <is>
          <t>KB-10</t>
        </is>
      </c>
      <c r="K110" s="31" t="inlineStr">
        <is>
          <t>Not Run</t>
        </is>
      </c>
      <c r="L110" s="32" t="n"/>
      <c r="M110" s="33" t="n"/>
      <c r="N110" s="32" t="n"/>
      <c r="O110" s="32" t="n"/>
      <c r="P110" s="32" t="n"/>
      <c r="Q110" s="32" t="n"/>
    </row>
    <row r="111" ht="43" customHeight="1">
      <c r="A111" s="27" t="inlineStr">
        <is>
          <t>BOOK-001</t>
        </is>
      </c>
      <c r="B111" s="28" t="inlineStr">
        <is>
          <t>07 Booking flow</t>
        </is>
      </c>
      <c r="C111" s="28" t="inlineStr">
        <is>
          <t>Entry</t>
        </is>
      </c>
      <c r="D111" s="28" t="inlineStr">
        <is>
          <t>Every booking entry point works</t>
        </is>
      </c>
      <c r="E111" s="28" t="inlineStr">
        <is>
          <t>Start a booking from: Home Quick Booking, a department tile, hospital detail, doctor detail, and 'Book Again' on a past appointment</t>
        </is>
      </c>
      <c r="F111" s="28" t="inlineStr">
        <is>
          <t>Each opens the flow at the right step with the known choices preselected.</t>
        </is>
      </c>
      <c r="G111" s="29" t="inlineStr">
        <is>
          <t>P1</t>
        </is>
      </c>
      <c r="H111" s="29" t="inlineStr">
        <is>
          <t>Functional</t>
        </is>
      </c>
      <c r="I111" s="29" t="inlineStr">
        <is>
          <t>Both</t>
        </is>
      </c>
      <c r="J111" s="29" t="n"/>
      <c r="K111" s="31" t="inlineStr">
        <is>
          <t>Not Run</t>
        </is>
      </c>
      <c r="L111" s="32" t="n"/>
      <c r="M111" s="33" t="n"/>
      <c r="N111" s="32" t="n"/>
      <c r="O111" s="32" t="n"/>
      <c r="P111" s="32" t="n"/>
      <c r="Q111" s="32" t="n"/>
    </row>
    <row r="112" ht="30" customHeight="1">
      <c r="A112" s="27" t="inlineStr">
        <is>
          <t>BOOK-002</t>
        </is>
      </c>
      <c r="B112" s="28" t="inlineStr">
        <is>
          <t>07 Booking flow</t>
        </is>
      </c>
      <c r="C112" s="28" t="inlineStr">
        <is>
          <t>Department</t>
        </is>
      </c>
      <c r="D112" s="28" t="inlineStr">
        <is>
          <t>Choose and search departments</t>
        </is>
      </c>
      <c r="E112" s="28" t="inlineStr">
        <is>
          <t>1. Open the department step
2. Search a matching and a non-matching term</t>
        </is>
      </c>
      <c r="F112" s="28" t="inlineStr">
        <is>
          <t>List filters; 'No department matches that' for no match.</t>
        </is>
      </c>
      <c r="G112" s="29" t="inlineStr">
        <is>
          <t>P2</t>
        </is>
      </c>
      <c r="H112" s="29" t="inlineStr">
        <is>
          <t>Functional</t>
        </is>
      </c>
      <c r="I112" s="29" t="inlineStr">
        <is>
          <t>Both</t>
        </is>
      </c>
      <c r="J112" s="29" t="n"/>
      <c r="K112" s="31" t="inlineStr">
        <is>
          <t>Not Run</t>
        </is>
      </c>
      <c r="L112" s="32" t="n"/>
      <c r="M112" s="33" t="n"/>
      <c r="N112" s="32" t="n"/>
      <c r="O112" s="32" t="n"/>
      <c r="P112" s="32" t="n"/>
      <c r="Q112" s="32" t="n"/>
    </row>
    <row r="113" ht="30" customHeight="1">
      <c r="A113" s="27" t="inlineStr">
        <is>
          <t>BOOK-003</t>
        </is>
      </c>
      <c r="B113" s="28" t="inlineStr">
        <is>
          <t>07 Booking flow</t>
        </is>
      </c>
      <c r="C113" s="28" t="inlineStr">
        <is>
          <t>Hospital</t>
        </is>
      </c>
      <c r="D113" s="28" t="inlineStr">
        <is>
          <t>Department with no hospital</t>
        </is>
      </c>
      <c r="E113" s="28" t="inlineStr">
        <is>
          <t>Choose a department no hospital runs</t>
        </is>
      </c>
      <c r="F113" s="28" t="inlineStr">
        <is>
          <t>'No hospital runs this department yet' with an action to pick another department.</t>
        </is>
      </c>
      <c r="G113" s="29" t="inlineStr">
        <is>
          <t>P2</t>
        </is>
      </c>
      <c r="H113" s="29" t="inlineStr">
        <is>
          <t>Negative</t>
        </is>
      </c>
      <c r="I113" s="29" t="inlineStr">
        <is>
          <t>Both</t>
        </is>
      </c>
      <c r="J113" s="29" t="n"/>
      <c r="K113" s="31" t="inlineStr">
        <is>
          <t>Not Run</t>
        </is>
      </c>
      <c r="L113" s="32" t="n"/>
      <c r="M113" s="33" t="n"/>
      <c r="N113" s="32" t="n"/>
      <c r="O113" s="32" t="n"/>
      <c r="P113" s="32" t="n"/>
      <c r="Q113" s="32" t="n"/>
    </row>
    <row r="114" ht="30" customHeight="1">
      <c r="A114" s="27" t="inlineStr">
        <is>
          <t>BOOK-004</t>
        </is>
      </c>
      <c r="B114" s="28" t="inlineStr">
        <is>
          <t>07 Booking flow</t>
        </is>
      </c>
      <c r="C114" s="28" t="inlineStr">
        <is>
          <t>Doctor</t>
        </is>
      </c>
      <c r="D114" s="28" t="inlineStr">
        <is>
          <t>Choose a doctor</t>
        </is>
      </c>
      <c r="E114" s="28" t="inlineStr">
        <is>
          <t>1. Open the doctor list for a hospital + department
2. Search</t>
        </is>
      </c>
      <c r="F114" s="28" t="inlineStr">
        <is>
          <t>Doctors for that hospital only; on-leave doctors are marked and cannot be booked.</t>
        </is>
      </c>
      <c r="G114" s="29" t="inlineStr">
        <is>
          <t>P1</t>
        </is>
      </c>
      <c r="H114" s="29" t="inlineStr">
        <is>
          <t>Functional</t>
        </is>
      </c>
      <c r="I114" s="29" t="inlineStr">
        <is>
          <t>Both</t>
        </is>
      </c>
      <c r="J114" s="29" t="n"/>
      <c r="K114" s="31" t="inlineStr">
        <is>
          <t>Not Run</t>
        </is>
      </c>
      <c r="L114" s="32" t="n"/>
      <c r="M114" s="33" t="n"/>
      <c r="N114" s="32" t="n"/>
      <c r="O114" s="32" t="n"/>
      <c r="P114" s="32" t="n"/>
      <c r="Q114" s="32" t="n"/>
    </row>
    <row r="115" ht="30" customHeight="1">
      <c r="A115" s="27" t="inlineStr">
        <is>
          <t>BOOK-005</t>
        </is>
      </c>
      <c r="B115" s="28" t="inlineStr">
        <is>
          <t>07 Booking flow</t>
        </is>
      </c>
      <c r="C115" s="28" t="inlineStr">
        <is>
          <t>Date</t>
        </is>
      </c>
      <c r="D115" s="28" t="inlineStr">
        <is>
          <t>Date strip reflects availability</t>
        </is>
      </c>
      <c r="E115" s="28" t="inlineStr">
        <is>
          <t>Look at available, full and closed days</t>
        </is>
      </c>
      <c r="F115" s="28" t="inlineStr">
        <is>
          <t>Each state is visually distinct; past days cannot be selected; dates follow the hospital's time zone.</t>
        </is>
      </c>
      <c r="G115" s="29" t="inlineStr">
        <is>
          <t>P1</t>
        </is>
      </c>
      <c r="H115" s="29" t="inlineStr">
        <is>
          <t>Functional</t>
        </is>
      </c>
      <c r="I115" s="29" t="inlineStr">
        <is>
          <t>Both</t>
        </is>
      </c>
      <c r="J115" s="29" t="n"/>
      <c r="K115" s="31" t="inlineStr">
        <is>
          <t>Not Run</t>
        </is>
      </c>
      <c r="L115" s="32" t="n"/>
      <c r="M115" s="33" t="n"/>
      <c r="N115" s="32" t="n"/>
      <c r="O115" s="32" t="n"/>
      <c r="P115" s="32" t="n"/>
      <c r="Q115" s="32" t="n"/>
    </row>
    <row r="116" ht="30" customHeight="1">
      <c r="A116" s="27" t="inlineStr">
        <is>
          <t>BOOK-006</t>
        </is>
      </c>
      <c r="B116" s="28" t="inlineStr">
        <is>
          <t>07 Booking flow</t>
        </is>
      </c>
      <c r="C116" s="28" t="inlineStr">
        <is>
          <t>Slots</t>
        </is>
      </c>
      <c r="D116" s="28" t="inlineStr">
        <is>
          <t>Only available slots are selectable</t>
        </is>
      </c>
      <c r="E116" s="28" t="inlineStr">
        <is>
          <t>View a day with available, held, booked, blocked and past slots</t>
        </is>
      </c>
      <c r="F116" s="28" t="inlineStr">
        <is>
          <t>Only 'available' slots can be picked; others are disabled.</t>
        </is>
      </c>
      <c r="G116" s="29" t="inlineStr">
        <is>
          <t>P0</t>
        </is>
      </c>
      <c r="H116" s="29" t="inlineStr">
        <is>
          <t>Functional</t>
        </is>
      </c>
      <c r="I116" s="29" t="inlineStr">
        <is>
          <t>Both</t>
        </is>
      </c>
      <c r="J116" s="29" t="n"/>
      <c r="K116" s="31" t="inlineStr">
        <is>
          <t>Not Run</t>
        </is>
      </c>
      <c r="L116" s="32" t="n"/>
      <c r="M116" s="33" t="n"/>
      <c r="N116" s="32" t="n"/>
      <c r="O116" s="32" t="n"/>
      <c r="P116" s="32" t="n"/>
      <c r="Q116" s="32" t="n"/>
    </row>
    <row r="117" ht="17" customHeight="1">
      <c r="A117" s="27" t="inlineStr">
        <is>
          <t>BOOK-007</t>
        </is>
      </c>
      <c r="B117" s="28" t="inlineStr">
        <is>
          <t>07 Booking flow</t>
        </is>
      </c>
      <c r="C117" s="28" t="inlineStr">
        <is>
          <t>Slots</t>
        </is>
      </c>
      <c r="D117" s="28" t="inlineStr">
        <is>
          <t>Fully booked day</t>
        </is>
      </c>
      <c r="E117" s="28" t="inlineStr">
        <is>
          <t>Select a day with no free slots</t>
        </is>
      </c>
      <c r="F117" s="28" t="inlineStr">
        <is>
          <t>'Every slot on this day is taken. Pick another day.'</t>
        </is>
      </c>
      <c r="G117" s="29" t="inlineStr">
        <is>
          <t>P2</t>
        </is>
      </c>
      <c r="H117" s="29" t="inlineStr">
        <is>
          <t>Negative</t>
        </is>
      </c>
      <c r="I117" s="29" t="inlineStr">
        <is>
          <t>Both</t>
        </is>
      </c>
      <c r="J117" s="29" t="n"/>
      <c r="K117" s="31" t="inlineStr">
        <is>
          <t>Not Run</t>
        </is>
      </c>
      <c r="L117" s="32" t="n"/>
      <c r="M117" s="33" t="n"/>
      <c r="N117" s="32" t="n"/>
      <c r="O117" s="32" t="n"/>
      <c r="P117" s="32" t="n"/>
      <c r="Q117" s="32" t="n"/>
    </row>
    <row r="118" ht="30" customHeight="1">
      <c r="A118" s="27" t="inlineStr">
        <is>
          <t>BOOK-008</t>
        </is>
      </c>
      <c r="B118" s="28" t="inlineStr">
        <is>
          <t>07 Booking flow</t>
        </is>
      </c>
      <c r="C118" s="28" t="inlineStr">
        <is>
          <t>Patient</t>
        </is>
      </c>
      <c r="D118" s="28" t="inlineStr">
        <is>
          <t>Choose who the visit is for</t>
        </is>
      </c>
      <c r="E118" s="28" t="inlineStr">
        <is>
          <t>At the patient step choose yourself, then a family member</t>
        </is>
      </c>
      <c r="F118" s="28" t="inlineStr">
        <is>
          <t>Self is labelled as you; the chosen person is carried through to confirmation.</t>
        </is>
      </c>
      <c r="G118" s="29" t="inlineStr">
        <is>
          <t>P0</t>
        </is>
      </c>
      <c r="H118" s="29" t="inlineStr">
        <is>
          <t>Functional</t>
        </is>
      </c>
      <c r="I118" s="29" t="inlineStr">
        <is>
          <t>Both</t>
        </is>
      </c>
      <c r="J118" s="29" t="n"/>
      <c r="K118" s="31" t="inlineStr">
        <is>
          <t>Not Run</t>
        </is>
      </c>
      <c r="L118" s="32" t="n"/>
      <c r="M118" s="33" t="n"/>
      <c r="N118" s="32" t="n"/>
      <c r="O118" s="32" t="n"/>
      <c r="P118" s="32" t="n"/>
      <c r="Q118" s="32" t="n"/>
    </row>
    <row r="119" ht="43" customHeight="1">
      <c r="A119" s="27" t="inlineStr">
        <is>
          <t>BOOK-009</t>
        </is>
      </c>
      <c r="B119" s="28" t="inlineStr">
        <is>
          <t>07 Booking flow</t>
        </is>
      </c>
      <c r="C119" s="28" t="inlineStr">
        <is>
          <t>Patient</t>
        </is>
      </c>
      <c r="D119" s="28" t="inlineStr">
        <is>
          <t>Add a family member inside the flow</t>
        </is>
      </c>
      <c r="E119" s="28" t="inlineStr">
        <is>
          <t>1. At the patient step tap 'Add family member'
2. Save
3. Return</t>
        </is>
      </c>
      <c r="F119" s="28" t="inlineStr">
        <is>
          <t>The new member is selectable immediately and earlier selections are kept.</t>
        </is>
      </c>
      <c r="G119" s="29" t="inlineStr">
        <is>
          <t>P1</t>
        </is>
      </c>
      <c r="H119" s="29" t="inlineStr">
        <is>
          <t>Functional</t>
        </is>
      </c>
      <c r="I119" s="29" t="inlineStr">
        <is>
          <t>Both</t>
        </is>
      </c>
      <c r="J119" s="29" t="n"/>
      <c r="K119" s="31" t="inlineStr">
        <is>
          <t>Not Run</t>
        </is>
      </c>
      <c r="L119" s="32" t="n"/>
      <c r="M119" s="33" t="n"/>
      <c r="N119" s="32" t="n"/>
      <c r="O119" s="32" t="n"/>
      <c r="P119" s="32" t="n"/>
      <c r="Q119" s="32" t="n"/>
    </row>
    <row r="120" ht="30" customHeight="1">
      <c r="A120" s="27" t="inlineStr">
        <is>
          <t>BOOK-010</t>
        </is>
      </c>
      <c r="B120" s="28" t="inlineStr">
        <is>
          <t>07 Booking flow</t>
        </is>
      </c>
      <c r="C120" s="28" t="inlineStr">
        <is>
          <t>Notes</t>
        </is>
      </c>
      <c r="D120" s="28" t="inlineStr">
        <is>
          <t>Notes for the doctor</t>
        </is>
      </c>
      <c r="E120" s="28" t="inlineStr">
        <is>
          <t>Enter notes, including a 2000+ character paste</t>
        </is>
      </c>
      <c r="F120" s="28" t="inlineStr">
        <is>
          <t>Notes are optional; input is limited to 2000 characters or rejected clearly.</t>
        </is>
      </c>
      <c r="G120" s="29" t="inlineStr">
        <is>
          <t>P3</t>
        </is>
      </c>
      <c r="H120" s="29" t="inlineStr">
        <is>
          <t>Edge</t>
        </is>
      </c>
      <c r="I120" s="29" t="inlineStr">
        <is>
          <t>Both</t>
        </is>
      </c>
      <c r="J120" s="29" t="n"/>
      <c r="K120" s="31" t="inlineStr">
        <is>
          <t>Not Run</t>
        </is>
      </c>
      <c r="L120" s="32" t="n"/>
      <c r="M120" s="33" t="n"/>
      <c r="N120" s="32" t="n"/>
      <c r="O120" s="32" t="n"/>
      <c r="P120" s="32" t="n"/>
      <c r="Q120" s="32" t="n"/>
    </row>
    <row r="121" ht="43" customHeight="1">
      <c r="A121" s="27" t="inlineStr">
        <is>
          <t>BOOK-011</t>
        </is>
      </c>
      <c r="B121" s="28" t="inlineStr">
        <is>
          <t>07 Booking flow</t>
        </is>
      </c>
      <c r="C121" s="28" t="inlineStr">
        <is>
          <t>Fee</t>
        </is>
      </c>
      <c r="D121" s="28" t="inlineStr">
        <is>
          <t>Fee breakdown is correct</t>
        </is>
      </c>
      <c r="E121" s="28" t="inlineStr">
        <is>
          <t>1. Reach the review step
2. Compare with the fee-quote response</t>
        </is>
      </c>
      <c r="F121" s="28" t="inlineStr">
        <is>
          <t>Consultation fee, convenience fee, discount, tax and total match the server quote exactly, in rupees with two decimals.</t>
        </is>
      </c>
      <c r="G121" s="29" t="inlineStr">
        <is>
          <t>P0</t>
        </is>
      </c>
      <c r="H121" s="29" t="inlineStr">
        <is>
          <t>Functional</t>
        </is>
      </c>
      <c r="I121" s="29" t="inlineStr">
        <is>
          <t>Both</t>
        </is>
      </c>
      <c r="J121" s="29" t="n"/>
      <c r="K121" s="31" t="inlineStr">
        <is>
          <t>Not Run</t>
        </is>
      </c>
      <c r="L121" s="32" t="n"/>
      <c r="M121" s="33" t="n"/>
      <c r="N121" s="32" t="n"/>
      <c r="O121" s="32" t="n"/>
      <c r="P121" s="32" t="n"/>
      <c r="Q121" s="32" t="n"/>
    </row>
    <row r="122" ht="30" customHeight="1">
      <c r="A122" s="27" t="inlineStr">
        <is>
          <t>BOOK-012</t>
        </is>
      </c>
      <c r="B122" s="28" t="inlineStr">
        <is>
          <t>07 Booking flow</t>
        </is>
      </c>
      <c r="C122" s="28" t="inlineStr">
        <is>
          <t>Fee</t>
        </is>
      </c>
      <c r="D122" s="28" t="inlineStr">
        <is>
          <t>Follow-up reduced fee</t>
        </is>
      </c>
      <c r="E122" s="28" t="inlineStr">
        <is>
          <t>Book a follow-up eligible visit</t>
        </is>
      </c>
      <c r="F122" s="28" t="inlineStr">
        <is>
          <t>'Follow-up (reduced fee)' is shown and the reduced amount is charged.</t>
        </is>
      </c>
      <c r="G122" s="29" t="inlineStr">
        <is>
          <t>P2</t>
        </is>
      </c>
      <c r="H122" s="29" t="inlineStr">
        <is>
          <t>Functional</t>
        </is>
      </c>
      <c r="I122" s="29" t="inlineStr">
        <is>
          <t>Both</t>
        </is>
      </c>
      <c r="J122" s="29" t="n"/>
      <c r="K122" s="31" t="inlineStr">
        <is>
          <t>Not Run</t>
        </is>
      </c>
      <c r="L122" s="32" t="n"/>
      <c r="M122" s="33" t="n"/>
      <c r="N122" s="32" t="n"/>
      <c r="O122" s="32" t="n"/>
      <c r="P122" s="32" t="n"/>
      <c r="Q122" s="32" t="n"/>
    </row>
    <row r="123" ht="30" customHeight="1">
      <c r="A123" s="27" t="inlineStr">
        <is>
          <t>BOOK-013</t>
        </is>
      </c>
      <c r="B123" s="28" t="inlineStr">
        <is>
          <t>07 Booking flow</t>
        </is>
      </c>
      <c r="C123" s="28" t="inlineStr">
        <is>
          <t>Coupon</t>
        </is>
      </c>
      <c r="D123" s="28" t="inlineStr">
        <is>
          <t>Valid coupon</t>
        </is>
      </c>
      <c r="E123" s="28" t="inlineStr">
        <is>
          <t>1. Enter a valid code
2. Apply</t>
        </is>
      </c>
      <c r="F123" s="28" t="inlineStr">
        <is>
          <t>Discount line appears, total reduces; Remove restores the total.</t>
        </is>
      </c>
      <c r="G123" s="29" t="inlineStr">
        <is>
          <t>P1</t>
        </is>
      </c>
      <c r="H123" s="29" t="inlineStr">
        <is>
          <t>Functional</t>
        </is>
      </c>
      <c r="I123" s="29" t="inlineStr">
        <is>
          <t>Both</t>
        </is>
      </c>
      <c r="J123" s="29" t="n"/>
      <c r="K123" s="31" t="inlineStr">
        <is>
          <t>Not Run</t>
        </is>
      </c>
      <c r="L123" s="32" t="n"/>
      <c r="M123" s="33" t="n"/>
      <c r="N123" s="32" t="n"/>
      <c r="O123" s="32" t="n"/>
      <c r="P123" s="32" t="n"/>
      <c r="Q123" s="32" t="n"/>
    </row>
    <row r="124" ht="30" customHeight="1">
      <c r="A124" s="27" t="inlineStr">
        <is>
          <t>BOOK-014</t>
        </is>
      </c>
      <c r="B124" s="28" t="inlineStr">
        <is>
          <t>07 Booking flow</t>
        </is>
      </c>
      <c r="C124" s="28" t="inlineStr">
        <is>
          <t>Coupon</t>
        </is>
      </c>
      <c r="D124" s="28" t="inlineStr">
        <is>
          <t>Refused coupons</t>
        </is>
      </c>
      <c r="E124" s="28" t="inlineStr">
        <is>
          <t>Apply an invalid, an expired, a minimum-order and a usage-capped coupon</t>
        </is>
      </c>
      <c r="F124" s="28" t="inlineStr">
        <is>
          <t>Each shows a specific message (minimum-order shows the amount needed); nothing is booked or charged.</t>
        </is>
      </c>
      <c r="G124" s="29" t="inlineStr">
        <is>
          <t>P1</t>
        </is>
      </c>
      <c r="H124" s="29" t="inlineStr">
        <is>
          <t>Negative</t>
        </is>
      </c>
      <c r="I124" s="29" t="inlineStr">
        <is>
          <t>Both</t>
        </is>
      </c>
      <c r="J124" s="29" t="n"/>
      <c r="K124" s="31" t="inlineStr">
        <is>
          <t>Not Run</t>
        </is>
      </c>
      <c r="L124" s="32" t="n"/>
      <c r="M124" s="33" t="n"/>
      <c r="N124" s="32" t="n"/>
      <c r="O124" s="32" t="n"/>
      <c r="P124" s="32" t="n"/>
      <c r="Q124" s="32" t="n"/>
    </row>
    <row r="125" ht="30" customHeight="1">
      <c r="A125" s="27" t="inlineStr">
        <is>
          <t>BOOK-015</t>
        </is>
      </c>
      <c r="B125" s="28" t="inlineStr">
        <is>
          <t>07 Booking flow</t>
        </is>
      </c>
      <c r="C125" s="28" t="inlineStr">
        <is>
          <t>Confirm</t>
        </is>
      </c>
      <c r="D125" s="28" t="inlineStr">
        <is>
          <t>Confirm creates one booking</t>
        </is>
      </c>
      <c r="E125" s="28" t="inlineStr">
        <is>
          <t>Tap 'Confirm appointment' once</t>
        </is>
      </c>
      <c r="F125" s="28" t="inlineStr">
        <is>
          <t>Booking is created as pending payment; server booking reference and token are displayed; payment step opens.</t>
        </is>
      </c>
      <c r="G125" s="29" t="inlineStr">
        <is>
          <t>P0</t>
        </is>
      </c>
      <c r="H125" s="29" t="inlineStr">
        <is>
          <t>Functional</t>
        </is>
      </c>
      <c r="I125" s="29" t="inlineStr">
        <is>
          <t>Both</t>
        </is>
      </c>
      <c r="J125" s="29" t="n"/>
      <c r="K125" s="31" t="inlineStr">
        <is>
          <t>Not Run</t>
        </is>
      </c>
      <c r="L125" s="32" t="n"/>
      <c r="M125" s="33" t="n"/>
      <c r="N125" s="32" t="n"/>
      <c r="O125" s="32" t="n"/>
      <c r="P125" s="32" t="n"/>
      <c r="Q125" s="32" t="n"/>
    </row>
    <row r="126" ht="17" customHeight="1">
      <c r="A126" s="27" t="inlineStr">
        <is>
          <t>BOOK-016</t>
        </is>
      </c>
      <c r="B126" s="28" t="inlineStr">
        <is>
          <t>07 Booking flow</t>
        </is>
      </c>
      <c r="C126" s="28" t="inlineStr">
        <is>
          <t>Confirm</t>
        </is>
      </c>
      <c r="D126" s="28" t="inlineStr">
        <is>
          <t>Double-tap does not create two bookings</t>
        </is>
      </c>
      <c r="E126" s="28" t="inlineStr">
        <is>
          <t>Tap Confirm rapidly several times</t>
        </is>
      </c>
      <c r="F126" s="28" t="inlineStr">
        <is>
          <t>One booking only (button disables; same idempotency key).</t>
        </is>
      </c>
      <c r="G126" s="29" t="inlineStr">
        <is>
          <t>P0</t>
        </is>
      </c>
      <c r="H126" s="29" t="inlineStr">
        <is>
          <t>Negative</t>
        </is>
      </c>
      <c r="I126" s="29" t="inlineStr">
        <is>
          <t>Both</t>
        </is>
      </c>
      <c r="J126" s="29" t="n"/>
      <c r="K126" s="31" t="inlineStr">
        <is>
          <t>Not Run</t>
        </is>
      </c>
      <c r="L126" s="32" t="n"/>
      <c r="M126" s="33" t="n"/>
      <c r="N126" s="32" t="n"/>
      <c r="O126" s="32" t="n"/>
      <c r="P126" s="32" t="n"/>
      <c r="Q126" s="32" t="n"/>
    </row>
    <row r="127" ht="30" customHeight="1">
      <c r="A127" s="27" t="inlineStr">
        <is>
          <t>BOOK-017</t>
        </is>
      </c>
      <c r="B127" s="28" t="inlineStr">
        <is>
          <t>07 Booking flow</t>
        </is>
      </c>
      <c r="C127" s="28" t="inlineStr">
        <is>
          <t>Confirm</t>
        </is>
      </c>
      <c r="D127" s="28" t="inlineStr">
        <is>
          <t>Timeout during booking does not duplicate</t>
        </is>
      </c>
      <c r="E127" s="28" t="inlineStr">
        <is>
          <t>1. Throttle the network so the booking request times out
2. Retry</t>
        </is>
      </c>
      <c r="F127" s="28" t="inlineStr">
        <is>
          <t>Retry reuses the same request; at most one booking exists for the slot.</t>
        </is>
      </c>
      <c r="G127" s="29" t="inlineStr">
        <is>
          <t>P0</t>
        </is>
      </c>
      <c r="H127" s="29" t="inlineStr">
        <is>
          <t>Negative</t>
        </is>
      </c>
      <c r="I127" s="29" t="inlineStr">
        <is>
          <t>Both</t>
        </is>
      </c>
      <c r="J127" s="29" t="n"/>
      <c r="K127" s="31" t="inlineStr">
        <is>
          <t>Not Run</t>
        </is>
      </c>
      <c r="L127" s="32" t="n"/>
      <c r="M127" s="33" t="n"/>
      <c r="N127" s="32" t="n"/>
      <c r="O127" s="32" t="n"/>
      <c r="P127" s="32" t="n"/>
      <c r="Q127" s="32" t="n"/>
    </row>
    <row r="128" ht="43" customHeight="1">
      <c r="A128" s="27" t="inlineStr">
        <is>
          <t>BOOK-018</t>
        </is>
      </c>
      <c r="B128" s="28" t="inlineStr">
        <is>
          <t>07 Booking flow</t>
        </is>
      </c>
      <c r="C128" s="28" t="inlineStr">
        <is>
          <t>Confirm</t>
        </is>
      </c>
      <c r="D128" s="28" t="inlineStr">
        <is>
          <t>Slot taken by someone else</t>
        </is>
      </c>
      <c r="E128" s="28" t="inlineStr">
        <is>
          <t>1. Open the same slot on two accounts
2. Book on device A
3. Confirm on device B</t>
        </is>
      </c>
      <c r="F128" s="28" t="inlineStr">
        <is>
          <t>Device B is told the slot is no longer available and the slot list reloads; nothing is charged.</t>
        </is>
      </c>
      <c r="G128" s="29" t="inlineStr">
        <is>
          <t>P0</t>
        </is>
      </c>
      <c r="H128" s="29" t="inlineStr">
        <is>
          <t>Negative</t>
        </is>
      </c>
      <c r="I128" s="29" t="inlineStr">
        <is>
          <t>Both</t>
        </is>
      </c>
      <c r="J128" s="29" t="n"/>
      <c r="K128" s="31" t="inlineStr">
        <is>
          <t>Not Run</t>
        </is>
      </c>
      <c r="L128" s="32" t="n"/>
      <c r="M128" s="33" t="n"/>
      <c r="N128" s="32" t="n"/>
      <c r="O128" s="32" t="n"/>
      <c r="P128" s="32" t="n"/>
      <c r="Q128" s="32" t="n"/>
    </row>
    <row r="129" ht="17" customHeight="1">
      <c r="A129" s="27" t="inlineStr">
        <is>
          <t>BOOK-019</t>
        </is>
      </c>
      <c r="B129" s="28" t="inlineStr">
        <is>
          <t>07 Booking flow</t>
        </is>
      </c>
      <c r="C129" s="28" t="inlineStr">
        <is>
          <t>Confirm</t>
        </is>
      </c>
      <c r="D129" s="28" t="inlineStr">
        <is>
          <t>No tokens left in the session</t>
        </is>
      </c>
      <c r="E129" s="28" t="inlineStr">
        <is>
          <t>Book into a session whose token range is exhausted</t>
        </is>
      </c>
      <c r="F129" s="28" t="inlineStr">
        <is>
          <t>Clear message; user is guided to another session or day.</t>
        </is>
      </c>
      <c r="G129" s="29" t="inlineStr">
        <is>
          <t>P2</t>
        </is>
      </c>
      <c r="H129" s="29" t="inlineStr">
        <is>
          <t>Negative</t>
        </is>
      </c>
      <c r="I129" s="29" t="inlineStr">
        <is>
          <t>Both</t>
        </is>
      </c>
      <c r="J129" s="29" t="n"/>
      <c r="K129" s="31" t="inlineStr">
        <is>
          <t>Not Run</t>
        </is>
      </c>
      <c r="L129" s="32" t="n"/>
      <c r="M129" s="33" t="n"/>
      <c r="N129" s="32" t="n"/>
      <c r="O129" s="32" t="n"/>
      <c r="P129" s="32" t="n"/>
      <c r="Q129" s="32" t="n"/>
    </row>
    <row r="130" ht="30" customHeight="1">
      <c r="A130" s="27" t="inlineStr">
        <is>
          <t>BOOK-020</t>
        </is>
      </c>
      <c r="B130" s="28" t="inlineStr">
        <is>
          <t>07 Booking flow</t>
        </is>
      </c>
      <c r="C130" s="28" t="inlineStr">
        <is>
          <t>Confirm</t>
        </is>
      </c>
      <c r="D130" s="28" t="inlineStr">
        <is>
          <t>Payment gateway unavailable (503)</t>
        </is>
      </c>
      <c r="E130" s="28" t="inlineStr">
        <is>
          <t>Simulate PROVIDER_UNAVAILABLE on booking</t>
        </is>
      </c>
      <c r="F130" s="28" t="inlineStr">
        <is>
          <t>Message says nothing was booked and to try later; retry works when service returns.</t>
        </is>
      </c>
      <c r="G130" s="29" t="inlineStr">
        <is>
          <t>P1</t>
        </is>
      </c>
      <c r="H130" s="29" t="inlineStr">
        <is>
          <t>Negative</t>
        </is>
      </c>
      <c r="I130" s="29" t="inlineStr">
        <is>
          <t>Both</t>
        </is>
      </c>
      <c r="J130" s="29" t="n"/>
      <c r="K130" s="31" t="inlineStr">
        <is>
          <t>Not Run</t>
        </is>
      </c>
      <c r="L130" s="32" t="n"/>
      <c r="M130" s="33" t="n"/>
      <c r="N130" s="32" t="n"/>
      <c r="O130" s="32" t="n"/>
      <c r="P130" s="32" t="n"/>
      <c r="Q130" s="32" t="n"/>
    </row>
    <row r="131" ht="30" customHeight="1">
      <c r="A131" s="27" t="inlineStr">
        <is>
          <t>BOOK-021</t>
        </is>
      </c>
      <c r="B131" s="28" t="inlineStr">
        <is>
          <t>07 Booking flow</t>
        </is>
      </c>
      <c r="C131" s="28" t="inlineStr">
        <is>
          <t>Navigation</t>
        </is>
      </c>
      <c r="D131" s="28" t="inlineStr">
        <is>
          <t>Leaving mid-flow asks for confirmation</t>
        </is>
      </c>
      <c r="E131" s="28" t="inlineStr">
        <is>
          <t>Press Back/close after selecting a slot</t>
        </is>
      </c>
      <c r="F131" s="28" t="inlineStr">
        <is>
          <t>'Leave this booking?' with Keep booking / Leave; Keep returns with choices intact.</t>
        </is>
      </c>
      <c r="G131" s="29" t="inlineStr">
        <is>
          <t>P1</t>
        </is>
      </c>
      <c r="H131" s="29" t="inlineStr">
        <is>
          <t>Functional</t>
        </is>
      </c>
      <c r="I131" s="29" t="inlineStr">
        <is>
          <t>Both</t>
        </is>
      </c>
      <c r="J131" s="29" t="n"/>
      <c r="K131" s="31" t="inlineStr">
        <is>
          <t>Not Run</t>
        </is>
      </c>
      <c r="L131" s="32" t="n"/>
      <c r="M131" s="33" t="n"/>
      <c r="N131" s="32" t="n"/>
      <c r="O131" s="32" t="n"/>
      <c r="P131" s="32" t="n"/>
      <c r="Q131" s="32" t="n"/>
    </row>
    <row r="132" ht="30" customHeight="1">
      <c r="A132" s="27" t="inlineStr">
        <is>
          <t>BOOK-022</t>
        </is>
      </c>
      <c r="B132" s="28" t="inlineStr">
        <is>
          <t>07 Booking flow</t>
        </is>
      </c>
      <c r="C132" s="28" t="inlineStr">
        <is>
          <t>Navigation</t>
        </is>
      </c>
      <c r="D132" s="28" t="inlineStr">
        <is>
          <t>Step back keeps selections</t>
        </is>
      </c>
      <c r="E132" s="28" t="inlineStr">
        <is>
          <t>1. Go forward to review, then back step by step
2. Change the doctor</t>
        </is>
      </c>
      <c r="F132" s="28" t="inlineStr">
        <is>
          <t>Earlier choices are preserved; changing the doctor clears the now-invalid slot.</t>
        </is>
      </c>
      <c r="G132" s="29" t="inlineStr">
        <is>
          <t>P1</t>
        </is>
      </c>
      <c r="H132" s="29" t="inlineStr">
        <is>
          <t>Functional</t>
        </is>
      </c>
      <c r="I132" s="29" t="inlineStr">
        <is>
          <t>Both</t>
        </is>
      </c>
      <c r="J132" s="29" t="n"/>
      <c r="K132" s="31" t="inlineStr">
        <is>
          <t>Not Run</t>
        </is>
      </c>
      <c r="L132" s="32" t="n"/>
      <c r="M132" s="33" t="n"/>
      <c r="N132" s="32" t="n"/>
      <c r="O132" s="32" t="n"/>
      <c r="P132" s="32" t="n"/>
      <c r="Q132" s="32" t="n"/>
    </row>
    <row r="133" ht="30" customHeight="1">
      <c r="A133" s="27" t="inlineStr">
        <is>
          <t>BOOK-023</t>
        </is>
      </c>
      <c r="B133" s="28" t="inlineStr">
        <is>
          <t>07 Booking flow</t>
        </is>
      </c>
      <c r="C133" s="28" t="inlineStr">
        <is>
          <t>Approval</t>
        </is>
      </c>
      <c r="D133" s="28" t="inlineStr">
        <is>
          <t>Hospital that approves bookings manually</t>
        </is>
      </c>
      <c r="E133" s="28" t="inlineStr">
        <is>
          <t>Book and pay at a manual-approval hospital</t>
        </is>
      </c>
      <c r="F133" s="28" t="inlineStr">
        <is>
          <t>Success screen and appointment say the hospital will confirm; status shows as awaiting confirmation.</t>
        </is>
      </c>
      <c r="G133" s="29" t="inlineStr">
        <is>
          <t>P1</t>
        </is>
      </c>
      <c r="H133" s="29" t="inlineStr">
        <is>
          <t>Functional</t>
        </is>
      </c>
      <c r="I133" s="29" t="inlineStr">
        <is>
          <t>Both</t>
        </is>
      </c>
      <c r="J133" s="29" t="inlineStr">
        <is>
          <t>KB-02</t>
        </is>
      </c>
      <c r="K133" s="31" t="inlineStr">
        <is>
          <t>Not Run</t>
        </is>
      </c>
      <c r="L133" s="32" t="n"/>
      <c r="M133" s="33" t="n"/>
      <c r="N133" s="32" t="n"/>
      <c r="O133" s="32" t="n"/>
      <c r="P133" s="32" t="n"/>
      <c r="Q133" s="32" t="n"/>
    </row>
    <row r="134" ht="30" customHeight="1">
      <c r="A134" s="27" t="inlineStr">
        <is>
          <t>BOOK-024</t>
        </is>
      </c>
      <c r="B134" s="28" t="inlineStr">
        <is>
          <t>07 Booking flow</t>
        </is>
      </c>
      <c r="C134" s="28" t="inlineStr">
        <is>
          <t>Guard</t>
        </is>
      </c>
      <c r="D134" s="28" t="inlineStr">
        <is>
          <t>Booking while signed out</t>
        </is>
      </c>
      <c r="E134" s="28" t="inlineStr">
        <is>
          <t>Signed out, browse to a doctor and try to book</t>
        </is>
      </c>
      <c r="F134" s="28" t="inlineStr">
        <is>
          <t>User is asked to sign in and is returned to the booking afterwards.</t>
        </is>
      </c>
      <c r="G134" s="29" t="inlineStr">
        <is>
          <t>P1</t>
        </is>
      </c>
      <c r="H134" s="29" t="inlineStr">
        <is>
          <t>Functional</t>
        </is>
      </c>
      <c r="I134" s="29" t="inlineStr">
        <is>
          <t>Both</t>
        </is>
      </c>
      <c r="J134" s="29" t="n"/>
      <c r="K134" s="31" t="inlineStr">
        <is>
          <t>Not Run</t>
        </is>
      </c>
      <c r="L134" s="32" t="n"/>
      <c r="M134" s="33" t="n"/>
      <c r="N134" s="32" t="n"/>
      <c r="O134" s="32" t="n"/>
      <c r="P134" s="32" t="n"/>
      <c r="Q134" s="32" t="n"/>
    </row>
    <row r="135" ht="30" customHeight="1">
      <c r="A135" s="27" t="inlineStr">
        <is>
          <t>BOOK-025</t>
        </is>
      </c>
      <c r="B135" s="28" t="inlineStr">
        <is>
          <t>07 Booking flow</t>
        </is>
      </c>
      <c r="C135" s="28" t="inlineStr">
        <is>
          <t>Time zone</t>
        </is>
      </c>
      <c r="D135" s="28" t="inlineStr">
        <is>
          <t>Slot times use the hospital's time zone</t>
        </is>
      </c>
      <c r="E135" s="28" t="inlineStr">
        <is>
          <t>1. Set the device to a non-IST time zone
2. View slots and the confirmation</t>
        </is>
      </c>
      <c r="F135" s="28" t="inlineStr">
        <is>
          <t>Times match the hospital's local time, not the device's.</t>
        </is>
      </c>
      <c r="G135" s="29" t="inlineStr">
        <is>
          <t>P1</t>
        </is>
      </c>
      <c r="H135" s="29" t="inlineStr">
        <is>
          <t>Edge</t>
        </is>
      </c>
      <c r="I135" s="29" t="inlineStr">
        <is>
          <t>Both</t>
        </is>
      </c>
      <c r="J135" s="29" t="n"/>
      <c r="K135" s="31" t="inlineStr">
        <is>
          <t>Not Run</t>
        </is>
      </c>
      <c r="L135" s="32" t="n"/>
      <c r="M135" s="33" t="n"/>
      <c r="N135" s="32" t="n"/>
      <c r="O135" s="32" t="n"/>
      <c r="P135" s="32" t="n"/>
      <c r="Q135" s="32" t="n"/>
    </row>
    <row r="136" ht="43" customHeight="1">
      <c r="A136" s="27" t="inlineStr">
        <is>
          <t>BOOK-026</t>
        </is>
      </c>
      <c r="B136" s="28" t="inlineStr">
        <is>
          <t>07 Booking flow</t>
        </is>
      </c>
      <c r="C136" s="28" t="inlineStr">
        <is>
          <t>Process death</t>
        </is>
      </c>
      <c r="D136" s="28" t="inlineStr">
        <is>
          <t>App killed mid-booking</t>
        </is>
      </c>
      <c r="E136" s="28" t="inlineStr">
        <is>
          <t>1. Select a slot
2. Kill the app
3. Relaunch</t>
        </is>
      </c>
      <c r="F136" s="28" t="inlineStr">
        <is>
          <t>App reopens cleanly; no orphan booking was created before Confirm.</t>
        </is>
      </c>
      <c r="G136" s="29" t="inlineStr">
        <is>
          <t>P2</t>
        </is>
      </c>
      <c r="H136" s="29" t="inlineStr">
        <is>
          <t>Negative</t>
        </is>
      </c>
      <c r="I136" s="29" t="inlineStr">
        <is>
          <t>Both</t>
        </is>
      </c>
      <c r="J136" s="29" t="n"/>
      <c r="K136" s="31" t="inlineStr">
        <is>
          <t>Not Run</t>
        </is>
      </c>
      <c r="L136" s="32" t="n"/>
      <c r="M136" s="33" t="n"/>
      <c r="N136" s="32" t="n"/>
      <c r="O136" s="32" t="n"/>
      <c r="P136" s="32" t="n"/>
      <c r="Q136" s="32" t="n"/>
    </row>
    <row r="137" ht="30" customHeight="1">
      <c r="A137" s="27" t="inlineStr">
        <is>
          <t>PAY-001</t>
        </is>
      </c>
      <c r="B137" s="28" t="inlineStr">
        <is>
          <t>08 Payment (Razorpay)</t>
        </is>
      </c>
      <c r="C137" s="28" t="inlineStr">
        <is>
          <t>Payment screen</t>
        </is>
      </c>
      <c r="D137" s="28" t="inlineStr">
        <is>
          <t>Amount and countdown</t>
        </is>
      </c>
      <c r="E137" s="28" t="inlineStr">
        <is>
          <t>Open the payment step</t>
        </is>
      </c>
      <c r="F137" s="28" t="inlineStr">
        <is>
          <t>Amount equals the quote total; a countdown runs to the server's booking deadline (5 minutes).</t>
        </is>
      </c>
      <c r="G137" s="29" t="inlineStr">
        <is>
          <t>P0</t>
        </is>
      </c>
      <c r="H137" s="29" t="inlineStr">
        <is>
          <t>Functional</t>
        </is>
      </c>
      <c r="I137" s="29" t="inlineStr">
        <is>
          <t>Both</t>
        </is>
      </c>
      <c r="J137" s="29" t="inlineStr">
        <is>
          <t>KB-02</t>
        </is>
      </c>
      <c r="K137" s="31" t="inlineStr">
        <is>
          <t>Not Run</t>
        </is>
      </c>
      <c r="L137" s="32" t="n"/>
      <c r="M137" s="33" t="n"/>
      <c r="N137" s="32" t="n"/>
      <c r="O137" s="32" t="n"/>
      <c r="P137" s="32" t="n"/>
      <c r="Q137" s="32" t="n"/>
    </row>
    <row r="138" ht="30" customHeight="1">
      <c r="A138" s="27" t="inlineStr">
        <is>
          <t>PAY-002</t>
        </is>
      </c>
      <c r="B138" s="28" t="inlineStr">
        <is>
          <t>08 Payment (Razorpay)</t>
        </is>
      </c>
      <c r="C138" s="28" t="inlineStr">
        <is>
          <t>Checkout</t>
        </is>
      </c>
      <c r="D138" s="28" t="inlineStr">
        <is>
          <t>Razorpay opens with the right order</t>
        </is>
      </c>
      <c r="E138" s="28" t="inlineStr">
        <is>
          <t>1. Tap pay
2. Inspect the Razorpay sheet</t>
        </is>
      </c>
      <c r="F138" s="28" t="inlineStr">
        <is>
          <t>Sheet shows the Medibook order with the same amount in INR.</t>
        </is>
      </c>
      <c r="G138" s="29" t="inlineStr">
        <is>
          <t>P0</t>
        </is>
      </c>
      <c r="H138" s="29" t="inlineStr">
        <is>
          <t>Functional</t>
        </is>
      </c>
      <c r="I138" s="29" t="inlineStr">
        <is>
          <t>Both</t>
        </is>
      </c>
      <c r="J138" s="29" t="inlineStr">
        <is>
          <t>KB-02</t>
        </is>
      </c>
      <c r="K138" s="31" t="inlineStr">
        <is>
          <t>Not Run</t>
        </is>
      </c>
      <c r="L138" s="32" t="n"/>
      <c r="M138" s="33" t="n"/>
      <c r="N138" s="32" t="n"/>
      <c r="O138" s="32" t="n"/>
      <c r="P138" s="32" t="n"/>
      <c r="Q138" s="32" t="n"/>
    </row>
    <row r="139" ht="30" customHeight="1">
      <c r="A139" s="27" t="inlineStr">
        <is>
          <t>PAY-003</t>
        </is>
      </c>
      <c r="B139" s="28" t="inlineStr">
        <is>
          <t>08 Payment (Razorpay)</t>
        </is>
      </c>
      <c r="C139" s="28" t="inlineStr">
        <is>
          <t>Checkout</t>
        </is>
      </c>
      <c r="D139" s="28" t="inlineStr">
        <is>
          <t>Successful UPI payment</t>
        </is>
      </c>
      <c r="E139" s="28" t="inlineStr">
        <is>
          <t>Pay with a test UPI method</t>
        </is>
      </c>
      <c r="F139" s="28" t="inlineStr">
        <is>
          <t>Verified as paid; success screen with booking reference and token.</t>
        </is>
      </c>
      <c r="G139" s="29" t="inlineStr">
        <is>
          <t>P0</t>
        </is>
      </c>
      <c r="H139" s="29" t="inlineStr">
        <is>
          <t>Functional</t>
        </is>
      </c>
      <c r="I139" s="29" t="inlineStr">
        <is>
          <t>Both</t>
        </is>
      </c>
      <c r="J139" s="29" t="inlineStr">
        <is>
          <t>KB-02</t>
        </is>
      </c>
      <c r="K139" s="31" t="inlineStr">
        <is>
          <t>Not Run</t>
        </is>
      </c>
      <c r="L139" s="32" t="n"/>
      <c r="M139" s="33" t="n"/>
      <c r="N139" s="32" t="n"/>
      <c r="O139" s="32" t="n"/>
      <c r="P139" s="32" t="n"/>
      <c r="Q139" s="32" t="n"/>
    </row>
    <row r="140" ht="17" customHeight="1">
      <c r="A140" s="27" t="inlineStr">
        <is>
          <t>PAY-004</t>
        </is>
      </c>
      <c r="B140" s="28" t="inlineStr">
        <is>
          <t>08 Payment (Razorpay)</t>
        </is>
      </c>
      <c r="C140" s="28" t="inlineStr">
        <is>
          <t>Checkout</t>
        </is>
      </c>
      <c r="D140" s="28" t="inlineStr">
        <is>
          <t>Successful card payment</t>
        </is>
      </c>
      <c r="E140" s="28" t="inlineStr">
        <is>
          <t>Pay with a test card (incl. 3-D Secure step)</t>
        </is>
      </c>
      <c r="F140" s="28" t="inlineStr">
        <is>
          <t>Verified as paid; success screen.</t>
        </is>
      </c>
      <c r="G140" s="29" t="inlineStr">
        <is>
          <t>P0</t>
        </is>
      </c>
      <c r="H140" s="29" t="inlineStr">
        <is>
          <t>Functional</t>
        </is>
      </c>
      <c r="I140" s="29" t="inlineStr">
        <is>
          <t>Both</t>
        </is>
      </c>
      <c r="J140" s="29" t="inlineStr">
        <is>
          <t>KB-02</t>
        </is>
      </c>
      <c r="K140" s="31" t="inlineStr">
        <is>
          <t>Not Run</t>
        </is>
      </c>
      <c r="L140" s="32" t="n"/>
      <c r="M140" s="33" t="n"/>
      <c r="N140" s="32" t="n"/>
      <c r="O140" s="32" t="n"/>
      <c r="P140" s="32" t="n"/>
      <c r="Q140" s="32" t="n"/>
    </row>
    <row r="141" ht="17" customHeight="1">
      <c r="A141" s="27" t="inlineStr">
        <is>
          <t>PAY-005</t>
        </is>
      </c>
      <c r="B141" s="28" t="inlineStr">
        <is>
          <t>08 Payment (Razorpay)</t>
        </is>
      </c>
      <c r="C141" s="28" t="inlineStr">
        <is>
          <t>Checkout</t>
        </is>
      </c>
      <c r="D141" s="28" t="inlineStr">
        <is>
          <t>Successful net-banking / wallet payment</t>
        </is>
      </c>
      <c r="E141" s="28" t="inlineStr">
        <is>
          <t>Pay with test net banking and a wallet</t>
        </is>
      </c>
      <c r="F141" s="28" t="inlineStr">
        <is>
          <t>Verified as paid; success screen.</t>
        </is>
      </c>
      <c r="G141" s="29" t="inlineStr">
        <is>
          <t>P1</t>
        </is>
      </c>
      <c r="H141" s="29" t="inlineStr">
        <is>
          <t>Functional</t>
        </is>
      </c>
      <c r="I141" s="29" t="inlineStr">
        <is>
          <t>Both</t>
        </is>
      </c>
      <c r="J141" s="29" t="inlineStr">
        <is>
          <t>KB-02</t>
        </is>
      </c>
      <c r="K141" s="31" t="inlineStr">
        <is>
          <t>Not Run</t>
        </is>
      </c>
      <c r="L141" s="32" t="n"/>
      <c r="M141" s="33" t="n"/>
      <c r="N141" s="32" t="n"/>
      <c r="O141" s="32" t="n"/>
      <c r="P141" s="32" t="n"/>
      <c r="Q141" s="32" t="n"/>
    </row>
    <row r="142" ht="43" customHeight="1">
      <c r="A142" s="27" t="inlineStr">
        <is>
          <t>PAY-006</t>
        </is>
      </c>
      <c r="B142" s="28" t="inlineStr">
        <is>
          <t>08 Payment (Razorpay)</t>
        </is>
      </c>
      <c r="C142" s="28" t="inlineStr">
        <is>
          <t>Checkout</t>
        </is>
      </c>
      <c r="D142" s="28" t="inlineStr">
        <is>
          <t>Declined payment then retry</t>
        </is>
      </c>
      <c r="E142" s="28" t="inlineStr">
        <is>
          <t>1. Use a failing test method
2. On the failed result tap retry
3. Pay successfully</t>
        </is>
      </c>
      <c r="F142" s="28" t="inlineStr">
        <is>
          <t>Failed result is clear; retry opens a fresh Razorpay order with the same deadline; second attempt succeeds; only one charge.</t>
        </is>
      </c>
      <c r="G142" s="29" t="inlineStr">
        <is>
          <t>P0</t>
        </is>
      </c>
      <c r="H142" s="29" t="inlineStr">
        <is>
          <t>Negative</t>
        </is>
      </c>
      <c r="I142" s="29" t="inlineStr">
        <is>
          <t>Both</t>
        </is>
      </c>
      <c r="J142" s="29" t="inlineStr">
        <is>
          <t>KB-02</t>
        </is>
      </c>
      <c r="K142" s="31" t="inlineStr">
        <is>
          <t>Not Run</t>
        </is>
      </c>
      <c r="L142" s="32" t="n"/>
      <c r="M142" s="33" t="n"/>
      <c r="N142" s="32" t="n"/>
      <c r="O142" s="32" t="n"/>
      <c r="P142" s="32" t="n"/>
      <c r="Q142" s="32" t="n"/>
    </row>
    <row r="143" ht="30" customHeight="1">
      <c r="A143" s="27" t="inlineStr">
        <is>
          <t>PAY-007</t>
        </is>
      </c>
      <c r="B143" s="28" t="inlineStr">
        <is>
          <t>08 Payment (Razorpay)</t>
        </is>
      </c>
      <c r="C143" s="28" t="inlineStr">
        <is>
          <t>Checkout</t>
        </is>
      </c>
      <c r="D143" s="28" t="inlineStr">
        <is>
          <t>User closes the Razorpay sheet</t>
        </is>
      </c>
      <c r="E143" s="28" t="inlineStr">
        <is>
          <t>Open the sheet and dismiss it</t>
        </is>
      </c>
      <c r="F143" s="28" t="inlineStr">
        <is>
          <t>Back on the payment screen with the timer still running; booking remains pending; pay can be retried.</t>
        </is>
      </c>
      <c r="G143" s="29" t="inlineStr">
        <is>
          <t>P0</t>
        </is>
      </c>
      <c r="H143" s="29" t="inlineStr">
        <is>
          <t>Negative</t>
        </is>
      </c>
      <c r="I143" s="29" t="inlineStr">
        <is>
          <t>Both</t>
        </is>
      </c>
      <c r="J143" s="29" t="inlineStr">
        <is>
          <t>KB-02</t>
        </is>
      </c>
      <c r="K143" s="31" t="inlineStr">
        <is>
          <t>Not Run</t>
        </is>
      </c>
      <c r="L143" s="32" t="n"/>
      <c r="M143" s="33" t="n"/>
      <c r="N143" s="32" t="n"/>
      <c r="O143" s="32" t="n"/>
      <c r="P143" s="32" t="n"/>
      <c r="Q143" s="32" t="n"/>
    </row>
    <row r="144" ht="43" customHeight="1">
      <c r="A144" s="27" t="inlineStr">
        <is>
          <t>PAY-008</t>
        </is>
      </c>
      <c r="B144" s="28" t="inlineStr">
        <is>
          <t>08 Payment (Razorpay)</t>
        </is>
      </c>
      <c r="C144" s="28" t="inlineStr">
        <is>
          <t>Timer</t>
        </is>
      </c>
      <c r="D144" s="28" t="inlineStr">
        <is>
          <t>Deadline passes without payment</t>
        </is>
      </c>
      <c r="E144" s="28" t="inlineStr">
        <is>
          <t>Let the 5-minute timer reach zero</t>
        </is>
      </c>
      <c r="F144" s="28" t="inlineStr">
        <is>
          <t>User is told the booking lapsed and must book again; appointment shows as cancelled (payment timeout); the slot is free again.</t>
        </is>
      </c>
      <c r="G144" s="29" t="inlineStr">
        <is>
          <t>P0</t>
        </is>
      </c>
      <c r="H144" s="29" t="inlineStr">
        <is>
          <t>Negative</t>
        </is>
      </c>
      <c r="I144" s="29" t="inlineStr">
        <is>
          <t>Both</t>
        </is>
      </c>
      <c r="J144" s="29" t="n"/>
      <c r="K144" s="31" t="inlineStr">
        <is>
          <t>Not Run</t>
        </is>
      </c>
      <c r="L144" s="32" t="n"/>
      <c r="M144" s="33" t="n"/>
      <c r="N144" s="32" t="n"/>
      <c r="O144" s="32" t="n"/>
      <c r="P144" s="32" t="n"/>
      <c r="Q144" s="32" t="n"/>
    </row>
    <row r="145" ht="30" customHeight="1">
      <c r="A145" s="27" t="inlineStr">
        <is>
          <t>PAY-009</t>
        </is>
      </c>
      <c r="B145" s="28" t="inlineStr">
        <is>
          <t>08 Payment (Razorpay)</t>
        </is>
      </c>
      <c r="C145" s="28" t="inlineStr">
        <is>
          <t>Timer</t>
        </is>
      </c>
      <c r="D145" s="28" t="inlineStr">
        <is>
          <t>Countdown uses server time</t>
        </is>
      </c>
      <c r="E145" s="28" t="inlineStr">
        <is>
          <t>Change the device clock forward/back during the countdown</t>
        </is>
      </c>
      <c r="F145" s="28" t="inlineStr">
        <is>
          <t>Deadline is still enforced by the server; UI does not allow paying a lapsed booking.</t>
        </is>
      </c>
      <c r="G145" s="29" t="inlineStr">
        <is>
          <t>P2</t>
        </is>
      </c>
      <c r="H145" s="29" t="inlineStr">
        <is>
          <t>Security</t>
        </is>
      </c>
      <c r="I145" s="29" t="inlineStr">
        <is>
          <t>Both</t>
        </is>
      </c>
      <c r="J145" s="29" t="n"/>
      <c r="K145" s="31" t="inlineStr">
        <is>
          <t>Not Run</t>
        </is>
      </c>
      <c r="L145" s="32" t="n"/>
      <c r="M145" s="33" t="n"/>
      <c r="N145" s="32" t="n"/>
      <c r="O145" s="32" t="n"/>
      <c r="P145" s="32" t="n"/>
      <c r="Q145" s="32" t="n"/>
    </row>
    <row r="146" ht="30" customHeight="1">
      <c r="A146" s="27" t="inlineStr">
        <is>
          <t>PAY-010</t>
        </is>
      </c>
      <c r="B146" s="28" t="inlineStr">
        <is>
          <t>08 Payment (Razorpay)</t>
        </is>
      </c>
      <c r="C146" s="28" t="inlineStr">
        <is>
          <t>Late payment</t>
        </is>
      </c>
      <c r="D146" s="28" t="inlineStr">
        <is>
          <t>Money arrives after the deadline</t>
        </is>
      </c>
      <c r="E146" s="28" t="inlineStr">
        <is>
          <t>Complete payment right at/after expiry (or simulate)</t>
        </is>
      </c>
      <c r="F146" s="28" t="inlineStr">
        <is>
          <t>'Payment received too late, refund initiated' message; appointment is cancelled; refund is visible.</t>
        </is>
      </c>
      <c r="G146" s="29" t="inlineStr">
        <is>
          <t>P1</t>
        </is>
      </c>
      <c r="H146" s="29" t="inlineStr">
        <is>
          <t>Negative</t>
        </is>
      </c>
      <c r="I146" s="29" t="inlineStr">
        <is>
          <t>Both</t>
        </is>
      </c>
      <c r="J146" s="29" t="inlineStr">
        <is>
          <t>KB-02</t>
        </is>
      </c>
      <c r="K146" s="31" t="inlineStr">
        <is>
          <t>Not Run</t>
        </is>
      </c>
      <c r="L146" s="32" t="n"/>
      <c r="M146" s="33" t="n"/>
      <c r="N146" s="32" t="n"/>
      <c r="O146" s="32" t="n"/>
      <c r="P146" s="32" t="n"/>
      <c r="Q146" s="32" t="n"/>
    </row>
    <row r="147" ht="43" customHeight="1">
      <c r="A147" s="27" t="inlineStr">
        <is>
          <t>PAY-011</t>
        </is>
      </c>
      <c r="B147" s="28" t="inlineStr">
        <is>
          <t>08 Payment (Razorpay)</t>
        </is>
      </c>
      <c r="C147" s="28" t="inlineStr">
        <is>
          <t>Verify</t>
        </is>
      </c>
      <c r="D147" s="28" t="inlineStr">
        <is>
          <t>Network drops during verification</t>
        </is>
      </c>
      <c r="E147" s="28" t="inlineStr">
        <is>
          <t>1. Pay successfully
2. Cut the network before the verify call completes
3. Restore</t>
        </is>
      </c>
      <c r="F147" s="28" t="inlineStr">
        <is>
          <t>App retries verification safely; payment is recorded once; user reaches success.</t>
        </is>
      </c>
      <c r="G147" s="29" t="inlineStr">
        <is>
          <t>P0</t>
        </is>
      </c>
      <c r="H147" s="29" t="inlineStr">
        <is>
          <t>Negative</t>
        </is>
      </c>
      <c r="I147" s="29" t="inlineStr">
        <is>
          <t>Both</t>
        </is>
      </c>
      <c r="J147" s="29" t="inlineStr">
        <is>
          <t>KB-02</t>
        </is>
      </c>
      <c r="K147" s="31" t="inlineStr">
        <is>
          <t>Not Run</t>
        </is>
      </c>
      <c r="L147" s="32" t="n"/>
      <c r="M147" s="33" t="n"/>
      <c r="N147" s="32" t="n"/>
      <c r="O147" s="32" t="n"/>
      <c r="P147" s="32" t="n"/>
      <c r="Q147" s="32" t="n"/>
    </row>
    <row r="148" ht="43" customHeight="1">
      <c r="A148" s="27" t="inlineStr">
        <is>
          <t>PAY-012</t>
        </is>
      </c>
      <c r="B148" s="28" t="inlineStr">
        <is>
          <t>08 Payment (Razorpay)</t>
        </is>
      </c>
      <c r="C148" s="28" t="inlineStr">
        <is>
          <t>Verify</t>
        </is>
      </c>
      <c r="D148" s="28" t="inlineStr">
        <is>
          <t>App killed during checkout</t>
        </is>
      </c>
      <c r="E148" s="28" t="inlineStr">
        <is>
          <t>1. Pay in the UPI app
2. Kill Medibook before returning
3. Relaunch</t>
        </is>
      </c>
      <c r="F148" s="28" t="inlineStr">
        <is>
          <t>App checks the order and shows the appointment as paid/confirmed; no second charge is requested.</t>
        </is>
      </c>
      <c r="G148" s="29" t="inlineStr">
        <is>
          <t>P0</t>
        </is>
      </c>
      <c r="H148" s="29" t="inlineStr">
        <is>
          <t>Negative</t>
        </is>
      </c>
      <c r="I148" s="29" t="inlineStr">
        <is>
          <t>Both</t>
        </is>
      </c>
      <c r="J148" s="29" t="inlineStr">
        <is>
          <t>KB-02</t>
        </is>
      </c>
      <c r="K148" s="31" t="inlineStr">
        <is>
          <t>Not Run</t>
        </is>
      </c>
      <c r="L148" s="32" t="n"/>
      <c r="M148" s="33" t="n"/>
      <c r="N148" s="32" t="n"/>
      <c r="O148" s="32" t="n"/>
      <c r="P148" s="32" t="n"/>
      <c r="Q148" s="32" t="n"/>
    </row>
    <row r="149" ht="30" customHeight="1">
      <c r="A149" s="27" t="inlineStr">
        <is>
          <t>PAY-013</t>
        </is>
      </c>
      <c r="B149" s="28" t="inlineStr">
        <is>
          <t>08 Payment (Razorpay)</t>
        </is>
      </c>
      <c r="C149" s="28" t="inlineStr">
        <is>
          <t>Verify</t>
        </is>
      </c>
      <c r="D149" s="28" t="inlineStr">
        <is>
          <t>Tampered signature</t>
        </is>
      </c>
      <c r="E149" s="28" t="inlineStr">
        <is>
          <t>With a proxy, alter razorpay_signature in the verify request</t>
        </is>
      </c>
      <c r="F149" s="28" t="inlineStr">
        <is>
          <t>Treated as a failed payment; booking is not confirmed.</t>
        </is>
      </c>
      <c r="G149" s="29" t="inlineStr">
        <is>
          <t>P1</t>
        </is>
      </c>
      <c r="H149" s="29" t="inlineStr">
        <is>
          <t>Security</t>
        </is>
      </c>
      <c r="I149" s="29" t="inlineStr">
        <is>
          <t>Both</t>
        </is>
      </c>
      <c r="J149" s="29" t="inlineStr">
        <is>
          <t>KB-02</t>
        </is>
      </c>
      <c r="K149" s="31" t="inlineStr">
        <is>
          <t>Not Run</t>
        </is>
      </c>
      <c r="L149" s="32" t="n"/>
      <c r="M149" s="33" t="n"/>
      <c r="N149" s="32" t="n"/>
      <c r="O149" s="32" t="n"/>
      <c r="P149" s="32" t="n"/>
      <c r="Q149" s="32" t="n"/>
    </row>
    <row r="150" ht="17" customHeight="1">
      <c r="A150" s="27" t="inlineStr">
        <is>
          <t>PAY-014</t>
        </is>
      </c>
      <c r="B150" s="28" t="inlineStr">
        <is>
          <t>08 Payment (Razorpay)</t>
        </is>
      </c>
      <c r="C150" s="28" t="inlineStr">
        <is>
          <t>Retry</t>
        </is>
      </c>
      <c r="D150" s="28" t="inlineStr">
        <is>
          <t>Retry after already paid</t>
        </is>
      </c>
      <c r="E150" s="28" t="inlineStr">
        <is>
          <t>Force a retry on an order that was captured</t>
        </is>
      </c>
      <c r="F150" s="28" t="inlineStr">
        <is>
          <t>User is taken to success (already paid); no new charge.</t>
        </is>
      </c>
      <c r="G150" s="29" t="inlineStr">
        <is>
          <t>P1</t>
        </is>
      </c>
      <c r="H150" s="29" t="inlineStr">
        <is>
          <t>Negative</t>
        </is>
      </c>
      <c r="I150" s="29" t="inlineStr">
        <is>
          <t>Both</t>
        </is>
      </c>
      <c r="J150" s="29" t="inlineStr">
        <is>
          <t>KB-02</t>
        </is>
      </c>
      <c r="K150" s="31" t="inlineStr">
        <is>
          <t>Not Run</t>
        </is>
      </c>
      <c r="L150" s="32" t="n"/>
      <c r="M150" s="33" t="n"/>
      <c r="N150" s="32" t="n"/>
      <c r="O150" s="32" t="n"/>
      <c r="P150" s="32" t="n"/>
      <c r="Q150" s="32" t="n"/>
    </row>
    <row r="151" ht="17" customHeight="1">
      <c r="A151" s="27" t="inlineStr">
        <is>
          <t>PAY-015</t>
        </is>
      </c>
      <c r="B151" s="28" t="inlineStr">
        <is>
          <t>08 Payment (Razorpay)</t>
        </is>
      </c>
      <c r="C151" s="28" t="inlineStr">
        <is>
          <t>Retry</t>
        </is>
      </c>
      <c r="D151" s="28" t="inlineStr">
        <is>
          <t>Retry after the deadline</t>
        </is>
      </c>
      <c r="E151" s="28" t="inlineStr">
        <is>
          <t>Tap retry after the 5 minutes are over</t>
        </is>
      </c>
      <c r="F151" s="28" t="inlineStr">
        <is>
          <t>User is told to start a new booking.</t>
        </is>
      </c>
      <c r="G151" s="29" t="inlineStr">
        <is>
          <t>P1</t>
        </is>
      </c>
      <c r="H151" s="29" t="inlineStr">
        <is>
          <t>Negative</t>
        </is>
      </c>
      <c r="I151" s="29" t="inlineStr">
        <is>
          <t>Both</t>
        </is>
      </c>
      <c r="J151" s="29" t="n"/>
      <c r="K151" s="31" t="inlineStr">
        <is>
          <t>Not Run</t>
        </is>
      </c>
      <c r="L151" s="32" t="n"/>
      <c r="M151" s="33" t="n"/>
      <c r="N151" s="32" t="n"/>
      <c r="O151" s="32" t="n"/>
      <c r="P151" s="32" t="n"/>
      <c r="Q151" s="32" t="n"/>
    </row>
    <row r="152" ht="43" customHeight="1">
      <c r="A152" s="27" t="inlineStr">
        <is>
          <t>PAY-016</t>
        </is>
      </c>
      <c r="B152" s="28" t="inlineStr">
        <is>
          <t>08 Payment (Razorpay)</t>
        </is>
      </c>
      <c r="C152" s="28" t="inlineStr">
        <is>
          <t>Pending</t>
        </is>
      </c>
      <c r="D152" s="28" t="inlineStr">
        <is>
          <t>Leave without paying, then resume</t>
        </is>
      </c>
      <c r="E152" s="28" t="inlineStr">
        <is>
          <t>1. On the payment screen press Back and confirm 'Leave without paying?'
2. Open the booking from Appointments</t>
        </is>
      </c>
      <c r="F152" s="28" t="inlineStr">
        <is>
          <t>Booking shows 'Payment pending' with 'Pay within mm:ss' and a Complete payment action that works until the deadline.</t>
        </is>
      </c>
      <c r="G152" s="29" t="inlineStr">
        <is>
          <t>P0</t>
        </is>
      </c>
      <c r="H152" s="29" t="inlineStr">
        <is>
          <t>Functional</t>
        </is>
      </c>
      <c r="I152" s="29" t="inlineStr">
        <is>
          <t>Both</t>
        </is>
      </c>
      <c r="J152" s="29" t="inlineStr">
        <is>
          <t>KB-02</t>
        </is>
      </c>
      <c r="K152" s="31" t="inlineStr">
        <is>
          <t>Not Run</t>
        </is>
      </c>
      <c r="L152" s="32" t="n"/>
      <c r="M152" s="33" t="n"/>
      <c r="N152" s="32" t="n"/>
      <c r="O152" s="32" t="n"/>
      <c r="P152" s="32" t="n"/>
      <c r="Q152" s="32" t="n"/>
    </row>
    <row r="153" ht="30" customHeight="1">
      <c r="A153" s="27" t="inlineStr">
        <is>
          <t>PAY-017</t>
        </is>
      </c>
      <c r="B153" s="28" t="inlineStr">
        <is>
          <t>08 Payment (Razorpay)</t>
        </is>
      </c>
      <c r="C153" s="28" t="inlineStr">
        <is>
          <t>Config</t>
        </is>
      </c>
      <c r="D153" s="28" t="inlineStr">
        <is>
          <t>Gateway not configured</t>
        </is>
      </c>
      <c r="E153" s="28" t="inlineStr">
        <is>
          <t>Use a hospital whose order has an empty key</t>
        </is>
      </c>
      <c r="F153" s="28" t="inlineStr">
        <is>
          <t>'Online payment is not set up… Nothing has been charged.' and the SDK does not open.</t>
        </is>
      </c>
      <c r="G153" s="29" t="inlineStr">
        <is>
          <t>P1</t>
        </is>
      </c>
      <c r="H153" s="29" t="inlineStr">
        <is>
          <t>Negative</t>
        </is>
      </c>
      <c r="I153" s="29" t="inlineStr">
        <is>
          <t>Both</t>
        </is>
      </c>
      <c r="J153" s="29" t="n"/>
      <c r="K153" s="31" t="inlineStr">
        <is>
          <t>Not Run</t>
        </is>
      </c>
      <c r="L153" s="32" t="n"/>
      <c r="M153" s="33" t="n"/>
      <c r="N153" s="32" t="n"/>
      <c r="O153" s="32" t="n"/>
      <c r="P153" s="32" t="n"/>
      <c r="Q153" s="32" t="n"/>
    </row>
    <row r="154" ht="17" customHeight="1">
      <c r="A154" s="27" t="inlineStr">
        <is>
          <t>PAY-018</t>
        </is>
      </c>
      <c r="B154" s="28" t="inlineStr">
        <is>
          <t>08 Payment (Razorpay)</t>
        </is>
      </c>
      <c r="C154" s="28" t="inlineStr">
        <is>
          <t>Checkout</t>
        </is>
      </c>
      <c r="D154" s="28" t="inlineStr">
        <is>
          <t>Double-tap on pay</t>
        </is>
      </c>
      <c r="E154" s="28" t="inlineStr">
        <is>
          <t>Tap the pay button repeatedly</t>
        </is>
      </c>
      <c r="F154" s="28" t="inlineStr">
        <is>
          <t>Razorpay opens once.</t>
        </is>
      </c>
      <c r="G154" s="29" t="inlineStr">
        <is>
          <t>P1</t>
        </is>
      </c>
      <c r="H154" s="29" t="inlineStr">
        <is>
          <t>Negative</t>
        </is>
      </c>
      <c r="I154" s="29" t="inlineStr">
        <is>
          <t>Both</t>
        </is>
      </c>
      <c r="J154" s="29" t="inlineStr">
        <is>
          <t>KB-02</t>
        </is>
      </c>
      <c r="K154" s="31" t="inlineStr">
        <is>
          <t>Not Run</t>
        </is>
      </c>
      <c r="L154" s="32" t="n"/>
      <c r="M154" s="33" t="n"/>
      <c r="N154" s="32" t="n"/>
      <c r="O154" s="32" t="n"/>
      <c r="P154" s="32" t="n"/>
      <c r="Q154" s="32" t="n"/>
    </row>
    <row r="155" ht="30" customHeight="1">
      <c r="A155" s="27" t="inlineStr">
        <is>
          <t>PAY-019</t>
        </is>
      </c>
      <c r="B155" s="28" t="inlineStr">
        <is>
          <t>08 Payment (Razorpay)</t>
        </is>
      </c>
      <c r="C155" s="28" t="inlineStr">
        <is>
          <t>Checkout</t>
        </is>
      </c>
      <c r="D155" s="28" t="inlineStr">
        <is>
          <t>App switch during UPI intent</t>
        </is>
      </c>
      <c r="E155" s="28" t="inlineStr">
        <is>
          <t>1. Pay via a UPI app (GPay/PhonePe) and return
2. Repeat but stay away for 2 minutes</t>
        </is>
      </c>
      <c r="F155" s="28" t="inlineStr">
        <is>
          <t>Result is picked up on return in both cases.</t>
        </is>
      </c>
      <c r="G155" s="29" t="inlineStr">
        <is>
          <t>P0</t>
        </is>
      </c>
      <c r="H155" s="29" t="inlineStr">
        <is>
          <t>Functional</t>
        </is>
      </c>
      <c r="I155" s="29" t="inlineStr">
        <is>
          <t>Both</t>
        </is>
      </c>
      <c r="J155" s="29" t="inlineStr">
        <is>
          <t>KB-02</t>
        </is>
      </c>
      <c r="K155" s="31" t="inlineStr">
        <is>
          <t>Not Run</t>
        </is>
      </c>
      <c r="L155" s="32" t="n"/>
      <c r="M155" s="33" t="n"/>
      <c r="N155" s="32" t="n"/>
      <c r="O155" s="32" t="n"/>
      <c r="P155" s="32" t="n"/>
      <c r="Q155" s="32" t="n"/>
    </row>
    <row r="156" ht="17" customHeight="1">
      <c r="A156" s="27" t="inlineStr">
        <is>
          <t>PAY-020</t>
        </is>
      </c>
      <c r="B156" s="28" t="inlineStr">
        <is>
          <t>08 Payment (Razorpay)</t>
        </is>
      </c>
      <c r="C156" s="28" t="inlineStr">
        <is>
          <t>Result</t>
        </is>
      </c>
      <c r="D156" s="28" t="inlineStr">
        <is>
          <t>Result screen states</t>
        </is>
      </c>
      <c r="E156" s="28" t="inlineStr">
        <is>
          <t>Reach the result screen as success, failed and pending</t>
        </is>
      </c>
      <c r="F156" s="28" t="inlineStr">
        <is>
          <t>Each state has distinct copy and the right next actions.</t>
        </is>
      </c>
      <c r="G156" s="29" t="inlineStr">
        <is>
          <t>P1</t>
        </is>
      </c>
      <c r="H156" s="29" t="inlineStr">
        <is>
          <t>Functional</t>
        </is>
      </c>
      <c r="I156" s="29" t="inlineStr">
        <is>
          <t>Both</t>
        </is>
      </c>
      <c r="J156" s="29" t="n"/>
      <c r="K156" s="31" t="inlineStr">
        <is>
          <t>Not Run</t>
        </is>
      </c>
      <c r="L156" s="32" t="n"/>
      <c r="M156" s="33" t="n"/>
      <c r="N156" s="32" t="n"/>
      <c r="O156" s="32" t="n"/>
      <c r="P156" s="32" t="n"/>
      <c r="Q156" s="32" t="n"/>
    </row>
    <row r="157" ht="43" customHeight="1">
      <c r="A157" s="27" t="inlineStr">
        <is>
          <t>PAY-021</t>
        </is>
      </c>
      <c r="B157" s="28" t="inlineStr">
        <is>
          <t>08 Payment (Razorpay)</t>
        </is>
      </c>
      <c r="C157" s="28" t="inlineStr">
        <is>
          <t>Success</t>
        </is>
      </c>
      <c r="D157" s="28" t="inlineStr">
        <is>
          <t>Success screen actions</t>
        </is>
      </c>
      <c r="E157" s="28" t="inlineStr">
        <is>
          <t>1. On success: Add to calendar, view the appointment, go Home
2. Press Back</t>
        </is>
      </c>
      <c r="F157" s="28" t="inlineStr">
        <is>
          <t>Calendar file is offered to the OS; appointment opens; Back never returns to the payment screen.</t>
        </is>
      </c>
      <c r="G157" s="29" t="inlineStr">
        <is>
          <t>P1</t>
        </is>
      </c>
      <c r="H157" s="29" t="inlineStr">
        <is>
          <t>Functional</t>
        </is>
      </c>
      <c r="I157" s="29" t="inlineStr">
        <is>
          <t>Both</t>
        </is>
      </c>
      <c r="J157" s="29" t="n"/>
      <c r="K157" s="31" t="inlineStr">
        <is>
          <t>Not Run</t>
        </is>
      </c>
      <c r="L157" s="32" t="n"/>
      <c r="M157" s="33" t="n"/>
      <c r="N157" s="32" t="n"/>
      <c r="O157" s="32" t="n"/>
      <c r="P157" s="32" t="n"/>
      <c r="Q157" s="32" t="n"/>
    </row>
    <row r="158" ht="30" customHeight="1">
      <c r="A158" s="27" t="inlineStr">
        <is>
          <t>PAY-022</t>
        </is>
      </c>
      <c r="B158" s="28" t="inlineStr">
        <is>
          <t>08 Payment (Razorpay)</t>
        </is>
      </c>
      <c r="C158" s="28" t="inlineStr">
        <is>
          <t>Money</t>
        </is>
      </c>
      <c r="D158" s="28" t="inlineStr">
        <is>
          <t>Amounts are exact</t>
        </is>
      </c>
      <c r="E158" s="28" t="inlineStr">
        <is>
          <t>Compare the amount on quote, Razorpay sheet, success screen, appointment detail and receipt</t>
        </is>
      </c>
      <c r="F158" s="28" t="inlineStr">
        <is>
          <t>All five show the same value; no rounding differences (paise to rupees).</t>
        </is>
      </c>
      <c r="G158" s="29" t="inlineStr">
        <is>
          <t>P0</t>
        </is>
      </c>
      <c r="H158" s="29" t="inlineStr">
        <is>
          <t>Functional</t>
        </is>
      </c>
      <c r="I158" s="29" t="inlineStr">
        <is>
          <t>Both</t>
        </is>
      </c>
      <c r="J158" s="29" t="n"/>
      <c r="K158" s="31" t="inlineStr">
        <is>
          <t>Not Run</t>
        </is>
      </c>
      <c r="L158" s="32" t="n"/>
      <c r="M158" s="33" t="n"/>
      <c r="N158" s="32" t="n"/>
      <c r="O158" s="32" t="n"/>
      <c r="P158" s="32" t="n"/>
      <c r="Q158" s="32" t="n"/>
    </row>
    <row r="159" ht="30" customHeight="1">
      <c r="A159" s="27" t="inlineStr">
        <is>
          <t>PAY-023</t>
        </is>
      </c>
      <c r="B159" s="28" t="inlineStr">
        <is>
          <t>08 Payment (Razorpay)</t>
        </is>
      </c>
      <c r="C159" s="28" t="inlineStr">
        <is>
          <t>Release build</t>
        </is>
      </c>
      <c r="D159" s="28" t="inlineStr">
        <is>
          <t>Payment works in the minified release build</t>
        </is>
      </c>
      <c r="E159" s="28" t="inlineStr">
        <is>
          <t>Run a full payment on the store-signed release build on Android and iOS</t>
        </is>
      </c>
      <c r="F159" s="28" t="inlineStr">
        <is>
          <t>Razorpay opens and returns results (ProGuard/R8 rules keep the SDK intact).</t>
        </is>
      </c>
      <c r="G159" s="29" t="inlineStr">
        <is>
          <t>P0</t>
        </is>
      </c>
      <c r="H159" s="29" t="inlineStr">
        <is>
          <t>Release</t>
        </is>
      </c>
      <c r="I159" s="29" t="inlineStr">
        <is>
          <t>Both</t>
        </is>
      </c>
      <c r="J159" s="29" t="inlineStr">
        <is>
          <t>KB-02, KB-06</t>
        </is>
      </c>
      <c r="K159" s="31" t="inlineStr">
        <is>
          <t>Not Run</t>
        </is>
      </c>
      <c r="L159" s="32" t="n"/>
      <c r="M159" s="33" t="n"/>
      <c r="N159" s="32" t="n"/>
      <c r="O159" s="32" t="n"/>
      <c r="P159" s="32" t="n"/>
      <c r="Q159" s="32" t="n"/>
    </row>
    <row r="160" ht="43" customHeight="1">
      <c r="A160" s="27" t="inlineStr">
        <is>
          <t>PAY-024</t>
        </is>
      </c>
      <c r="B160" s="28" t="inlineStr">
        <is>
          <t>08 Payment (Razorpay)</t>
        </is>
      </c>
      <c r="C160" s="28" t="inlineStr">
        <is>
          <t>Live</t>
        </is>
      </c>
      <c r="D160" s="28" t="inlineStr">
        <is>
          <t>Live-mode smoke payment and refund</t>
        </is>
      </c>
      <c r="E160" s="28" t="inlineStr">
        <is>
          <t>1. With live keys, book the cheapest slot and pay with a real method
2. Cancel it</t>
        </is>
      </c>
      <c r="F160" s="28" t="inlineStr">
        <is>
          <t>Real charge is captured and the refund reaches the payment method.</t>
        </is>
      </c>
      <c r="G160" s="29" t="inlineStr">
        <is>
          <t>P0</t>
        </is>
      </c>
      <c r="H160" s="29" t="inlineStr">
        <is>
          <t>Release</t>
        </is>
      </c>
      <c r="I160" s="29" t="inlineStr">
        <is>
          <t>Both</t>
        </is>
      </c>
      <c r="J160" s="29" t="inlineStr">
        <is>
          <t>KB-02</t>
        </is>
      </c>
      <c r="K160" s="31" t="inlineStr">
        <is>
          <t>Not Run</t>
        </is>
      </c>
      <c r="L160" s="32" t="n"/>
      <c r="M160" s="33" t="n"/>
      <c r="N160" s="32" t="n"/>
      <c r="O160" s="32" t="n"/>
      <c r="P160" s="32" t="n"/>
      <c r="Q160" s="32" t="n"/>
    </row>
    <row r="161" ht="43" customHeight="1">
      <c r="A161" s="27" t="inlineStr">
        <is>
          <t>APPT-001</t>
        </is>
      </c>
      <c r="B161" s="28" t="inlineStr">
        <is>
          <t>09 Appointments</t>
        </is>
      </c>
      <c r="C161" s="28" t="inlineStr">
        <is>
          <t>List</t>
        </is>
      </c>
      <c r="D161" s="28" t="inlineStr">
        <is>
          <t>Upcoming / Completed / Cancelled tabs</t>
        </is>
      </c>
      <c r="E161" s="28" t="inlineStr">
        <is>
          <t>Open each tab</t>
        </is>
      </c>
      <c r="F161" s="28" t="inlineStr">
        <is>
          <t>Each appointment appears in the right tab with the right status pill; pending-payment and awaiting-confirmation bookings are labelled as such.</t>
        </is>
      </c>
      <c r="G161" s="29" t="inlineStr">
        <is>
          <t>P0</t>
        </is>
      </c>
      <c r="H161" s="29" t="inlineStr">
        <is>
          <t>Functional</t>
        </is>
      </c>
      <c r="I161" s="29" t="inlineStr">
        <is>
          <t>Both</t>
        </is>
      </c>
      <c r="J161" s="29" t="n"/>
      <c r="K161" s="31" t="inlineStr">
        <is>
          <t>Not Run</t>
        </is>
      </c>
      <c r="L161" s="32" t="n"/>
      <c r="M161" s="33" t="n"/>
      <c r="N161" s="32" t="n"/>
      <c r="O161" s="32" t="n"/>
      <c r="P161" s="32" t="n"/>
      <c r="Q161" s="32" t="n"/>
    </row>
    <row r="162" ht="30" customHeight="1">
      <c r="A162" s="27" t="inlineStr">
        <is>
          <t>APPT-002</t>
        </is>
      </c>
      <c r="B162" s="28" t="inlineStr">
        <is>
          <t>09 Appointments</t>
        </is>
      </c>
      <c r="C162" s="28" t="inlineStr">
        <is>
          <t>List</t>
        </is>
      </c>
      <c r="D162" s="28" t="inlineStr">
        <is>
          <t>Past visit never closed by the desk is still visible</t>
        </is>
      </c>
      <c r="E162" s="28" t="inlineStr">
        <is>
          <t>Use an appointment that is still 'scheduled' but whose time has passed</t>
        </is>
      </c>
      <c r="F162" s="28" t="inlineStr">
        <is>
          <t>It appears in the past/Completed tab rather than disappearing.</t>
        </is>
      </c>
      <c r="G162" s="29" t="inlineStr">
        <is>
          <t>P1</t>
        </is>
      </c>
      <c r="H162" s="29" t="inlineStr">
        <is>
          <t>Edge</t>
        </is>
      </c>
      <c r="I162" s="29" t="inlineStr">
        <is>
          <t>Both</t>
        </is>
      </c>
      <c r="J162" s="29" t="n"/>
      <c r="K162" s="31" t="inlineStr">
        <is>
          <t>Not Run</t>
        </is>
      </c>
      <c r="L162" s="32" t="n"/>
      <c r="M162" s="33" t="n"/>
      <c r="N162" s="32" t="n"/>
      <c r="O162" s="32" t="n"/>
      <c r="P162" s="32" t="n"/>
      <c r="Q162" s="32" t="n"/>
    </row>
    <row r="163" ht="43" customHeight="1">
      <c r="A163" s="27" t="inlineStr">
        <is>
          <t>APPT-003</t>
        </is>
      </c>
      <c r="B163" s="28" t="inlineStr">
        <is>
          <t>09 Appointments</t>
        </is>
      </c>
      <c r="C163" s="28" t="inlineStr">
        <is>
          <t>List</t>
        </is>
      </c>
      <c r="D163" s="28" t="inlineStr">
        <is>
          <t>Pagination and refresh</t>
        </is>
      </c>
      <c r="E163" s="28" t="inlineStr">
        <is>
          <t>1. Scroll past the first page
2. Tap Load more
3. Pull to refresh</t>
        </is>
      </c>
      <c r="F163" s="28" t="inlineStr">
        <is>
          <t>More rows load without duplicates; refresh resets cleanly.</t>
        </is>
      </c>
      <c r="G163" s="29" t="inlineStr">
        <is>
          <t>P1</t>
        </is>
      </c>
      <c r="H163" s="29" t="inlineStr">
        <is>
          <t>Functional</t>
        </is>
      </c>
      <c r="I163" s="29" t="inlineStr">
        <is>
          <t>Both</t>
        </is>
      </c>
      <c r="J163" s="29" t="n"/>
      <c r="K163" s="31" t="inlineStr">
        <is>
          <t>Not Run</t>
        </is>
      </c>
      <c r="L163" s="32" t="n"/>
      <c r="M163" s="33" t="n"/>
      <c r="N163" s="32" t="n"/>
      <c r="O163" s="32" t="n"/>
      <c r="P163" s="32" t="n"/>
      <c r="Q163" s="32" t="n"/>
    </row>
    <row r="164" ht="17" customHeight="1">
      <c r="A164" s="27" t="inlineStr">
        <is>
          <t>APPT-004</t>
        </is>
      </c>
      <c r="B164" s="28" t="inlineStr">
        <is>
          <t>09 Appointments</t>
        </is>
      </c>
      <c r="C164" s="28" t="inlineStr">
        <is>
          <t>List</t>
        </is>
      </c>
      <c r="D164" s="28" t="inlineStr">
        <is>
          <t>Empty states</t>
        </is>
      </c>
      <c r="E164" s="28" t="inlineStr">
        <is>
          <t>Open tabs with no data</t>
        </is>
      </c>
      <c r="F164" s="28" t="inlineStr">
        <is>
          <t>Tab-specific message and a 'Book an appointment' action.</t>
        </is>
      </c>
      <c r="G164" s="29" t="inlineStr">
        <is>
          <t>P2</t>
        </is>
      </c>
      <c r="H164" s="29" t="inlineStr">
        <is>
          <t>Functional</t>
        </is>
      </c>
      <c r="I164" s="29" t="inlineStr">
        <is>
          <t>Both</t>
        </is>
      </c>
      <c r="J164" s="29" t="n"/>
      <c r="K164" s="31" t="inlineStr">
        <is>
          <t>Not Run</t>
        </is>
      </c>
      <c r="L164" s="32" t="n"/>
      <c r="M164" s="33" t="n"/>
      <c r="N164" s="32" t="n"/>
      <c r="O164" s="32" t="n"/>
      <c r="P164" s="32" t="n"/>
      <c r="Q164" s="32" t="n"/>
    </row>
    <row r="165" ht="30" customHeight="1">
      <c r="A165" s="27" t="inlineStr">
        <is>
          <t>APPT-005</t>
        </is>
      </c>
      <c r="B165" s="28" t="inlineStr">
        <is>
          <t>09 Appointments</t>
        </is>
      </c>
      <c r="C165" s="28" t="inlineStr">
        <is>
          <t>List</t>
        </is>
      </c>
      <c r="D165" s="28" t="inlineStr">
        <is>
          <t>Stale data indicator</t>
        </is>
      </c>
      <c r="E165" s="28" t="inlineStr">
        <is>
          <t>Open the list offline or with old cached data</t>
        </is>
      </c>
      <c r="F165" s="28" t="inlineStr">
        <is>
          <t>'This may be out of date • Tap to refresh' appears and works.</t>
        </is>
      </c>
      <c r="G165" s="29" t="inlineStr">
        <is>
          <t>P2</t>
        </is>
      </c>
      <c r="H165" s="29" t="inlineStr">
        <is>
          <t>Offline</t>
        </is>
      </c>
      <c r="I165" s="29" t="inlineStr">
        <is>
          <t>Both</t>
        </is>
      </c>
      <c r="J165" s="29" t="n"/>
      <c r="K165" s="31" t="inlineStr">
        <is>
          <t>Not Run</t>
        </is>
      </c>
      <c r="L165" s="32" t="n"/>
      <c r="M165" s="33" t="n"/>
      <c r="N165" s="32" t="n"/>
      <c r="O165" s="32" t="n"/>
      <c r="P165" s="32" t="n"/>
      <c r="Q165" s="32" t="n"/>
    </row>
    <row r="166" ht="43" customHeight="1">
      <c r="A166" s="27" t="inlineStr">
        <is>
          <t>APPT-006</t>
        </is>
      </c>
      <c r="B166" s="28" t="inlineStr">
        <is>
          <t>09 Appointments</t>
        </is>
      </c>
      <c r="C166" s="28" t="inlineStr">
        <is>
          <t>Detail</t>
        </is>
      </c>
      <c r="D166" s="28" t="inlineStr">
        <is>
          <t>Appointment detail content</t>
        </is>
      </c>
      <c r="E166" s="28" t="inlineStr">
        <is>
          <t>Open an upcoming paid appointment</t>
        </is>
      </c>
      <c r="F166" s="28" t="inlineStr">
        <is>
          <t>Doctor, hospital, department, date/time (hospital time zone), patient, booking reference, token, fee lines, payment status and history are all correct.</t>
        </is>
      </c>
      <c r="G166" s="29" t="inlineStr">
        <is>
          <t>P0</t>
        </is>
      </c>
      <c r="H166" s="29" t="inlineStr">
        <is>
          <t>Functional</t>
        </is>
      </c>
      <c r="I166" s="29" t="inlineStr">
        <is>
          <t>Both</t>
        </is>
      </c>
      <c r="J166" s="29" t="n"/>
      <c r="K166" s="31" t="inlineStr">
        <is>
          <t>Not Run</t>
        </is>
      </c>
      <c r="L166" s="32" t="n"/>
      <c r="M166" s="33" t="n"/>
      <c r="N166" s="32" t="n"/>
      <c r="O166" s="32" t="n"/>
      <c r="P166" s="32" t="n"/>
      <c r="Q166" s="32" t="n"/>
    </row>
    <row r="167" ht="30" customHeight="1">
      <c r="A167" s="27" t="inlineStr">
        <is>
          <t>APPT-007</t>
        </is>
      </c>
      <c r="B167" s="28" t="inlineStr">
        <is>
          <t>09 Appointments</t>
        </is>
      </c>
      <c r="C167" s="28" t="inlineStr">
        <is>
          <t>Detail</t>
        </is>
      </c>
      <c r="D167" s="28" t="inlineStr">
        <is>
          <t>No internal ids are shown</t>
        </is>
      </c>
      <c r="E167" s="28" t="inlineStr">
        <is>
          <t>Review list, detail, receipt and success screens</t>
        </is>
      </c>
      <c r="F167" s="28" t="inlineStr">
        <is>
          <t>Only booking reference, token label and receipt number are visible — never a UUID.</t>
        </is>
      </c>
      <c r="G167" s="29" t="inlineStr">
        <is>
          <t>P1</t>
        </is>
      </c>
      <c r="H167" s="29" t="inlineStr">
        <is>
          <t>UI</t>
        </is>
      </c>
      <c r="I167" s="29" t="inlineStr">
        <is>
          <t>Both</t>
        </is>
      </c>
      <c r="J167" s="29" t="n"/>
      <c r="K167" s="31" t="inlineStr">
        <is>
          <t>Not Run</t>
        </is>
      </c>
      <c r="L167" s="32" t="n"/>
      <c r="M167" s="33" t="n"/>
      <c r="N167" s="32" t="n"/>
      <c r="O167" s="32" t="n"/>
      <c r="P167" s="32" t="n"/>
      <c r="Q167" s="32" t="n"/>
    </row>
    <row r="168" ht="17" customHeight="1">
      <c r="A168" s="27" t="inlineStr">
        <is>
          <t>APPT-008</t>
        </is>
      </c>
      <c r="B168" s="28" t="inlineStr">
        <is>
          <t>09 Appointments</t>
        </is>
      </c>
      <c r="C168" s="28" t="inlineStr">
        <is>
          <t>Detail</t>
        </is>
      </c>
      <c r="D168" s="28" t="inlineStr">
        <is>
          <t>Unknown appointment id</t>
        </is>
      </c>
      <c r="E168" s="28" t="inlineStr">
        <is>
          <t>Open medibook://appointment/not-a-real-id</t>
        </is>
      </c>
      <c r="F168" s="28" t="inlineStr">
        <is>
          <t>'Appointment not found' view with a way back.</t>
        </is>
      </c>
      <c r="G168" s="29" t="inlineStr">
        <is>
          <t>P1</t>
        </is>
      </c>
      <c r="H168" s="29" t="inlineStr">
        <is>
          <t>Negative</t>
        </is>
      </c>
      <c r="I168" s="29" t="inlineStr">
        <is>
          <t>Both</t>
        </is>
      </c>
      <c r="J168" s="29" t="n"/>
      <c r="K168" s="31" t="inlineStr">
        <is>
          <t>Not Run</t>
        </is>
      </c>
      <c r="L168" s="32" t="n"/>
      <c r="M168" s="33" t="n"/>
      <c r="N168" s="32" t="n"/>
      <c r="O168" s="32" t="n"/>
      <c r="P168" s="32" t="n"/>
      <c r="Q168" s="32" t="n"/>
    </row>
    <row r="169" ht="30" customHeight="1">
      <c r="A169" s="27" t="inlineStr">
        <is>
          <t>APPT-009</t>
        </is>
      </c>
      <c r="B169" s="28" t="inlineStr">
        <is>
          <t>09 Appointments</t>
        </is>
      </c>
      <c r="C169" s="28" t="inlineStr">
        <is>
          <t>Cancel</t>
        </is>
      </c>
      <c r="D169" s="28" t="inlineStr">
        <is>
          <t>Cancellation preview</t>
        </is>
      </c>
      <c r="E169" s="28" t="inlineStr">
        <is>
          <t>Tap Cancel on a paid upcoming appointment</t>
        </is>
      </c>
      <c r="F169" s="28" t="inlineStr">
        <is>
          <t>Dialog shows the cut-off time, whether it is before or after cut-off, and the exact refund amount from the server.</t>
        </is>
      </c>
      <c r="G169" s="29" t="inlineStr">
        <is>
          <t>P0</t>
        </is>
      </c>
      <c r="H169" s="29" t="inlineStr">
        <is>
          <t>Functional</t>
        </is>
      </c>
      <c r="I169" s="29" t="inlineStr">
        <is>
          <t>Both</t>
        </is>
      </c>
      <c r="J169" s="29" t="n"/>
      <c r="K169" s="31" t="inlineStr">
        <is>
          <t>Not Run</t>
        </is>
      </c>
      <c r="L169" s="32" t="n"/>
      <c r="M169" s="33" t="n"/>
      <c r="N169" s="32" t="n"/>
      <c r="O169" s="32" t="n"/>
      <c r="P169" s="32" t="n"/>
      <c r="Q169" s="32" t="n"/>
    </row>
    <row r="170" ht="30" customHeight="1">
      <c r="A170" s="27" t="inlineStr">
        <is>
          <t>APPT-010</t>
        </is>
      </c>
      <c r="B170" s="28" t="inlineStr">
        <is>
          <t>09 Appointments</t>
        </is>
      </c>
      <c r="C170" s="28" t="inlineStr">
        <is>
          <t>Cancel</t>
        </is>
      </c>
      <c r="D170" s="28" t="inlineStr">
        <is>
          <t>Cancel before the cut-off</t>
        </is>
      </c>
      <c r="E170" s="28" t="inlineStr">
        <is>
          <t>Confirm the cancellation, with an optional reason</t>
        </is>
      </c>
      <c r="F170" s="28" t="inlineStr">
        <is>
          <t>'Appointment cancelled.'; full policy refund listed; appointment moves to Cancelled.</t>
        </is>
      </c>
      <c r="G170" s="29" t="inlineStr">
        <is>
          <t>P0</t>
        </is>
      </c>
      <c r="H170" s="29" t="inlineStr">
        <is>
          <t>Functional</t>
        </is>
      </c>
      <c r="I170" s="29" t="inlineStr">
        <is>
          <t>Both</t>
        </is>
      </c>
      <c r="J170" s="29" t="inlineStr">
        <is>
          <t>KB-02</t>
        </is>
      </c>
      <c r="K170" s="31" t="inlineStr">
        <is>
          <t>Not Run</t>
        </is>
      </c>
      <c r="L170" s="32" t="n"/>
      <c r="M170" s="33" t="n"/>
      <c r="N170" s="32" t="n"/>
      <c r="O170" s="32" t="n"/>
      <c r="P170" s="32" t="n"/>
      <c r="Q170" s="32" t="n"/>
    </row>
    <row r="171" ht="30" customHeight="1">
      <c r="A171" s="27" t="inlineStr">
        <is>
          <t>APPT-011</t>
        </is>
      </c>
      <c r="B171" s="28" t="inlineStr">
        <is>
          <t>09 Appointments</t>
        </is>
      </c>
      <c r="C171" s="28" t="inlineStr">
        <is>
          <t>Cancel</t>
        </is>
      </c>
      <c r="D171" s="28" t="inlineStr">
        <is>
          <t>Cancel after the cut-off</t>
        </is>
      </c>
      <c r="E171" s="28" t="inlineStr">
        <is>
          <t>Cancel an appointment past the hospital's cut-off</t>
        </is>
      </c>
      <c r="F171" s="28" t="inlineStr">
        <is>
          <t>Reduced/zero refund is shown before confirming and applied after.</t>
        </is>
      </c>
      <c r="G171" s="29" t="inlineStr">
        <is>
          <t>P1</t>
        </is>
      </c>
      <c r="H171" s="29" t="inlineStr">
        <is>
          <t>Functional</t>
        </is>
      </c>
      <c r="I171" s="29" t="inlineStr">
        <is>
          <t>Both</t>
        </is>
      </c>
      <c r="J171" s="29" t="inlineStr">
        <is>
          <t>KB-02</t>
        </is>
      </c>
      <c r="K171" s="31" t="inlineStr">
        <is>
          <t>Not Run</t>
        </is>
      </c>
      <c r="L171" s="32" t="n"/>
      <c r="M171" s="33" t="n"/>
      <c r="N171" s="32" t="n"/>
      <c r="O171" s="32" t="n"/>
      <c r="P171" s="32" t="n"/>
      <c r="Q171" s="32" t="n"/>
    </row>
    <row r="172" ht="30" customHeight="1">
      <c r="A172" s="27" t="inlineStr">
        <is>
          <t>APPT-012</t>
        </is>
      </c>
      <c r="B172" s="28" t="inlineStr">
        <is>
          <t>09 Appointments</t>
        </is>
      </c>
      <c r="C172" s="28" t="inlineStr">
        <is>
          <t>Cancel</t>
        </is>
      </c>
      <c r="D172" s="28" t="inlineStr">
        <is>
          <t>Cancel an unpaid booking</t>
        </is>
      </c>
      <c r="E172" s="28" t="inlineStr">
        <is>
          <t>Cancel a pending-payment booking</t>
        </is>
      </c>
      <c r="F172" s="28" t="inlineStr">
        <is>
          <t>Message says nothing was paid so nothing is refunded; booking is cancelled.</t>
        </is>
      </c>
      <c r="G172" s="29" t="inlineStr">
        <is>
          <t>P1</t>
        </is>
      </c>
      <c r="H172" s="29" t="inlineStr">
        <is>
          <t>Functional</t>
        </is>
      </c>
      <c r="I172" s="29" t="inlineStr">
        <is>
          <t>Both</t>
        </is>
      </c>
      <c r="J172" s="29" t="n"/>
      <c r="K172" s="31" t="inlineStr">
        <is>
          <t>Not Run</t>
        </is>
      </c>
      <c r="L172" s="32" t="n"/>
      <c r="M172" s="33" t="n"/>
      <c r="N172" s="32" t="n"/>
      <c r="O172" s="32" t="n"/>
      <c r="P172" s="32" t="n"/>
      <c r="Q172" s="32" t="n"/>
    </row>
    <row r="173" ht="30" customHeight="1">
      <c r="A173" s="27" t="inlineStr">
        <is>
          <t>APPT-013</t>
        </is>
      </c>
      <c r="B173" s="28" t="inlineStr">
        <is>
          <t>09 Appointments</t>
        </is>
      </c>
      <c r="C173" s="28" t="inlineStr">
        <is>
          <t>Cancel</t>
        </is>
      </c>
      <c r="D173" s="28" t="inlineStr">
        <is>
          <t>Cancel is not possible</t>
        </is>
      </c>
      <c r="E173" s="28" t="inlineStr">
        <is>
          <t>Try to cancel when the token was already called, when the token cancel window closed, and on a completed appointment</t>
        </is>
      </c>
      <c r="F173" s="28" t="inlineStr">
        <is>
          <t>Cancel is unavailable with the specific reason for each case.</t>
        </is>
      </c>
      <c r="G173" s="29" t="inlineStr">
        <is>
          <t>P1</t>
        </is>
      </c>
      <c r="H173" s="29" t="inlineStr">
        <is>
          <t>Negative</t>
        </is>
      </c>
      <c r="I173" s="29" t="inlineStr">
        <is>
          <t>Both</t>
        </is>
      </c>
      <c r="J173" s="29" t="n"/>
      <c r="K173" s="31" t="inlineStr">
        <is>
          <t>Not Run</t>
        </is>
      </c>
      <c r="L173" s="32" t="n"/>
      <c r="M173" s="33" t="n"/>
      <c r="N173" s="32" t="n"/>
      <c r="O173" s="32" t="n"/>
      <c r="P173" s="32" t="n"/>
      <c r="Q173" s="32" t="n"/>
    </row>
    <row r="174" ht="17" customHeight="1">
      <c r="A174" s="27" t="inlineStr">
        <is>
          <t>APPT-014</t>
        </is>
      </c>
      <c r="B174" s="28" t="inlineStr">
        <is>
          <t>09 Appointments</t>
        </is>
      </c>
      <c r="C174" s="28" t="inlineStr">
        <is>
          <t>Cancel</t>
        </is>
      </c>
      <c r="D174" s="28" t="inlineStr">
        <is>
          <t>Double-tap on confirm cancel</t>
        </is>
      </c>
      <c r="E174" s="28" t="inlineStr">
        <is>
          <t>Tap the confirm button repeatedly</t>
        </is>
      </c>
      <c r="F174" s="28" t="inlineStr">
        <is>
          <t>One cancellation and one refund only.</t>
        </is>
      </c>
      <c r="G174" s="29" t="inlineStr">
        <is>
          <t>P0</t>
        </is>
      </c>
      <c r="H174" s="29" t="inlineStr">
        <is>
          <t>Negative</t>
        </is>
      </c>
      <c r="I174" s="29" t="inlineStr">
        <is>
          <t>Both</t>
        </is>
      </c>
      <c r="J174" s="29" t="n"/>
      <c r="K174" s="31" t="inlineStr">
        <is>
          <t>Not Run</t>
        </is>
      </c>
      <c r="L174" s="32" t="n"/>
      <c r="M174" s="33" t="n"/>
      <c r="N174" s="32" t="n"/>
      <c r="O174" s="32" t="n"/>
      <c r="P174" s="32" t="n"/>
      <c r="Q174" s="32" t="n"/>
    </row>
    <row r="175" ht="17" customHeight="1">
      <c r="A175" s="27" t="inlineStr">
        <is>
          <t>APPT-015</t>
        </is>
      </c>
      <c r="B175" s="28" t="inlineStr">
        <is>
          <t>09 Appointments</t>
        </is>
      </c>
      <c r="C175" s="28" t="inlineStr">
        <is>
          <t>Cancel</t>
        </is>
      </c>
      <c r="D175" s="28" t="inlineStr">
        <is>
          <t>Keep appointment</t>
        </is>
      </c>
      <c r="E175" s="28" t="inlineStr">
        <is>
          <t>Open the cancel dialog and choose 'Keep appointment'</t>
        </is>
      </c>
      <c r="F175" s="28" t="inlineStr">
        <is>
          <t>Nothing changes.</t>
        </is>
      </c>
      <c r="G175" s="29" t="inlineStr">
        <is>
          <t>P3</t>
        </is>
      </c>
      <c r="H175" s="29" t="inlineStr">
        <is>
          <t>Functional</t>
        </is>
      </c>
      <c r="I175" s="29" t="inlineStr">
        <is>
          <t>Both</t>
        </is>
      </c>
      <c r="J175" s="29" t="n"/>
      <c r="K175" s="31" t="inlineStr">
        <is>
          <t>Not Run</t>
        </is>
      </c>
      <c r="L175" s="32" t="n"/>
      <c r="M175" s="33" t="n"/>
      <c r="N175" s="32" t="n"/>
      <c r="O175" s="32" t="n"/>
      <c r="P175" s="32" t="n"/>
      <c r="Q175" s="32" t="n"/>
    </row>
    <row r="176" ht="43" customHeight="1">
      <c r="A176" s="27" t="inlineStr">
        <is>
          <t>APPT-016</t>
        </is>
      </c>
      <c r="B176" s="28" t="inlineStr">
        <is>
          <t>09 Appointments</t>
        </is>
      </c>
      <c r="C176" s="28" t="inlineStr">
        <is>
          <t>Reschedule</t>
        </is>
      </c>
      <c r="D176" s="28" t="inlineStr">
        <is>
          <t>No reschedule; Book Again instead</t>
        </is>
      </c>
      <c r="E176" s="28" t="inlineStr">
        <is>
          <t>1. Look for a reschedule action
2. Open medibook://reschedule/&lt;id&gt;
3. Tap Book Again on a past appointment</t>
        </is>
      </c>
      <c r="F176" s="28" t="inlineStr">
        <is>
          <t>No reschedule control exists; the old link opens the appointment detail; Book Again starts a booking with the same doctor.</t>
        </is>
      </c>
      <c r="G176" s="29" t="inlineStr">
        <is>
          <t>P2</t>
        </is>
      </c>
      <c r="H176" s="29" t="inlineStr">
        <is>
          <t>Functional</t>
        </is>
      </c>
      <c r="I176" s="29" t="inlineStr">
        <is>
          <t>Both</t>
        </is>
      </c>
      <c r="J176" s="29" t="n"/>
      <c r="K176" s="31" t="inlineStr">
        <is>
          <t>Not Run</t>
        </is>
      </c>
      <c r="L176" s="32" t="n"/>
      <c r="M176" s="33" t="n"/>
      <c r="N176" s="32" t="n"/>
      <c r="O176" s="32" t="n"/>
      <c r="P176" s="32" t="n"/>
      <c r="Q176" s="32" t="n"/>
    </row>
    <row r="177" ht="30" customHeight="1">
      <c r="A177" s="27" t="inlineStr">
        <is>
          <t>APPT-017</t>
        </is>
      </c>
      <c r="B177" s="28" t="inlineStr">
        <is>
          <t>09 Appointments</t>
        </is>
      </c>
      <c r="C177" s="28" t="inlineStr">
        <is>
          <t>Receipt</t>
        </is>
      </c>
      <c r="D177" s="28" t="inlineStr">
        <is>
          <t>Receipt for a paid appointment</t>
        </is>
      </c>
      <c r="E177" s="28" t="inlineStr">
        <is>
          <t>Open the receipt</t>
        </is>
      </c>
      <c r="F177" s="28" t="inlineStr">
        <is>
          <t>Receipt number, lines, hospital and platform GST blocks and payment lines are correct and match the amount paid.</t>
        </is>
      </c>
      <c r="G177" s="29" t="inlineStr">
        <is>
          <t>P0</t>
        </is>
      </c>
      <c r="H177" s="29" t="inlineStr">
        <is>
          <t>Functional</t>
        </is>
      </c>
      <c r="I177" s="29" t="inlineStr">
        <is>
          <t>Both</t>
        </is>
      </c>
      <c r="J177" s="29" t="inlineStr">
        <is>
          <t>KB-02</t>
        </is>
      </c>
      <c r="K177" s="31" t="inlineStr">
        <is>
          <t>Not Run</t>
        </is>
      </c>
      <c r="L177" s="32" t="n"/>
      <c r="M177" s="33" t="n"/>
      <c r="N177" s="32" t="n"/>
      <c r="O177" s="32" t="n"/>
      <c r="P177" s="32" t="n"/>
      <c r="Q177" s="32" t="n"/>
    </row>
    <row r="178" ht="17" customHeight="1">
      <c r="A178" s="27" t="inlineStr">
        <is>
          <t>APPT-018</t>
        </is>
      </c>
      <c r="B178" s="28" t="inlineStr">
        <is>
          <t>09 Appointments</t>
        </is>
      </c>
      <c r="C178" s="28" t="inlineStr">
        <is>
          <t>Receipt</t>
        </is>
      </c>
      <c r="D178" s="28" t="inlineStr">
        <is>
          <t>Receipt before payment settles</t>
        </is>
      </c>
      <c r="E178" s="28" t="inlineStr">
        <is>
          <t>Open the receipt for an unpaid booking</t>
        </is>
      </c>
      <c r="F178" s="28" t="inlineStr">
        <is>
          <t>'Receipt unavailable — the payment has not settled'.</t>
        </is>
      </c>
      <c r="G178" s="29" t="inlineStr">
        <is>
          <t>P2</t>
        </is>
      </c>
      <c r="H178" s="29" t="inlineStr">
        <is>
          <t>Negative</t>
        </is>
      </c>
      <c r="I178" s="29" t="inlineStr">
        <is>
          <t>Both</t>
        </is>
      </c>
      <c r="J178" s="29" t="n"/>
      <c r="K178" s="31" t="inlineStr">
        <is>
          <t>Not Run</t>
        </is>
      </c>
      <c r="L178" s="32" t="n"/>
      <c r="M178" s="33" t="n"/>
      <c r="N178" s="32" t="n"/>
      <c r="O178" s="32" t="n"/>
      <c r="P178" s="32" t="n"/>
      <c r="Q178" s="32" t="n"/>
    </row>
    <row r="179" ht="30" customHeight="1">
      <c r="A179" s="27" t="inlineStr">
        <is>
          <t>APPT-019</t>
        </is>
      </c>
      <c r="B179" s="28" t="inlineStr">
        <is>
          <t>09 Appointments</t>
        </is>
      </c>
      <c r="C179" s="28" t="inlineStr">
        <is>
          <t>Receipt</t>
        </is>
      </c>
      <c r="D179" s="28" t="inlineStr">
        <is>
          <t>Download / share the receipt PDF</t>
        </is>
      </c>
      <c r="E179" s="28" t="inlineStr">
        <is>
          <t>Tap download or share on the receipt</t>
        </is>
      </c>
      <c r="F179" s="28" t="inlineStr">
        <is>
          <t>PDF is saved or handed to the share sheet and opens correctly.</t>
        </is>
      </c>
      <c r="G179" s="29" t="inlineStr">
        <is>
          <t>P1</t>
        </is>
      </c>
      <c r="H179" s="29" t="inlineStr">
        <is>
          <t>Functional</t>
        </is>
      </c>
      <c r="I179" s="29" t="inlineStr">
        <is>
          <t>Both</t>
        </is>
      </c>
      <c r="J179" s="29" t="inlineStr">
        <is>
          <t>KB-01</t>
        </is>
      </c>
      <c r="K179" s="31" t="inlineStr">
        <is>
          <t>Not Run</t>
        </is>
      </c>
      <c r="L179" s="32" t="n"/>
      <c r="M179" s="33" t="n"/>
      <c r="N179" s="32" t="n"/>
      <c r="O179" s="32" t="n"/>
      <c r="P179" s="32" t="n"/>
      <c r="Q179" s="32" t="n"/>
    </row>
    <row r="180" ht="30" customHeight="1">
      <c r="A180" s="27" t="inlineStr">
        <is>
          <t>APPT-020</t>
        </is>
      </c>
      <c r="B180" s="28" t="inlineStr">
        <is>
          <t>09 Appointments</t>
        </is>
      </c>
      <c r="C180" s="28" t="inlineStr">
        <is>
          <t>Calendar</t>
        </is>
      </c>
      <c r="D180" s="28" t="inlineStr">
        <is>
          <t>Add to calendar</t>
        </is>
      </c>
      <c r="E180" s="28" t="inlineStr">
        <is>
          <t>Tap 'Add to calendar' on an upcoming appointment</t>
        </is>
      </c>
      <c r="F180" s="28" t="inlineStr">
        <is>
          <t>An .ics named by the booking reference is offered; the calendar event has the right date, time and place.</t>
        </is>
      </c>
      <c r="G180" s="29" t="inlineStr">
        <is>
          <t>P2</t>
        </is>
      </c>
      <c r="H180" s="29" t="inlineStr">
        <is>
          <t>Functional</t>
        </is>
      </c>
      <c r="I180" s="29" t="inlineStr">
        <is>
          <t>Both</t>
        </is>
      </c>
      <c r="J180" s="29" t="n"/>
      <c r="K180" s="31" t="inlineStr">
        <is>
          <t>Not Run</t>
        </is>
      </c>
      <c r="L180" s="32" t="n"/>
      <c r="M180" s="33" t="n"/>
      <c r="N180" s="32" t="n"/>
      <c r="O180" s="32" t="n"/>
      <c r="P180" s="32" t="n"/>
      <c r="Q180" s="32" t="n"/>
    </row>
    <row r="181" ht="43" customHeight="1">
      <c r="A181" s="27" t="inlineStr">
        <is>
          <t>APPT-021</t>
        </is>
      </c>
      <c r="B181" s="28" t="inlineStr">
        <is>
          <t>09 Appointments</t>
        </is>
      </c>
      <c r="C181" s="28" t="inlineStr">
        <is>
          <t>Review</t>
        </is>
      </c>
      <c r="D181" s="28" t="inlineStr">
        <is>
          <t>Rate a completed visit</t>
        </is>
      </c>
      <c r="E181" s="28" t="inlineStr">
        <is>
          <t>1. On a completed appointment tap 'Rate visit'
2. Give a rating and comment
3. Submit</t>
        </is>
      </c>
      <c r="F181" s="28" t="inlineStr">
        <is>
          <t>Thanks message; the Rate button disappears; a second review is impossible.</t>
        </is>
      </c>
      <c r="G181" s="29" t="inlineStr">
        <is>
          <t>P1</t>
        </is>
      </c>
      <c r="H181" s="29" t="inlineStr">
        <is>
          <t>Functional</t>
        </is>
      </c>
      <c r="I181" s="29" t="inlineStr">
        <is>
          <t>Both</t>
        </is>
      </c>
      <c r="J181" s="29" t="n"/>
      <c r="K181" s="31" t="inlineStr">
        <is>
          <t>Not Run</t>
        </is>
      </c>
      <c r="L181" s="32" t="n"/>
      <c r="M181" s="33" t="n"/>
      <c r="N181" s="32" t="n"/>
      <c r="O181" s="32" t="n"/>
      <c r="P181" s="32" t="n"/>
      <c r="Q181" s="32" t="n"/>
    </row>
    <row r="182" ht="17" customHeight="1">
      <c r="A182" s="27" t="inlineStr">
        <is>
          <t>APPT-022</t>
        </is>
      </c>
      <c r="B182" s="28" t="inlineStr">
        <is>
          <t>09 Appointments</t>
        </is>
      </c>
      <c r="C182" s="28" t="inlineStr">
        <is>
          <t>Review</t>
        </is>
      </c>
      <c r="D182" s="28" t="inlineStr">
        <is>
          <t>Rating is offered only when allowed</t>
        </is>
      </c>
      <c r="E182" s="28" t="inlineStr">
        <is>
          <t>Open upcoming and cancelled appointments</t>
        </is>
      </c>
      <c r="F182" s="28" t="inlineStr">
        <is>
          <t>No Rate action.</t>
        </is>
      </c>
      <c r="G182" s="29" t="inlineStr">
        <is>
          <t>P2</t>
        </is>
      </c>
      <c r="H182" s="29" t="inlineStr">
        <is>
          <t>Negative</t>
        </is>
      </c>
      <c r="I182" s="29" t="inlineStr">
        <is>
          <t>Both</t>
        </is>
      </c>
      <c r="J182" s="29" t="n"/>
      <c r="K182" s="31" t="inlineStr">
        <is>
          <t>Not Run</t>
        </is>
      </c>
      <c r="L182" s="32" t="n"/>
      <c r="M182" s="33" t="n"/>
      <c r="N182" s="32" t="n"/>
      <c r="O182" s="32" t="n"/>
      <c r="P182" s="32" t="n"/>
      <c r="Q182" s="32" t="n"/>
    </row>
    <row r="183" ht="17" customHeight="1">
      <c r="A183" s="27" t="inlineStr">
        <is>
          <t>APPT-023</t>
        </is>
      </c>
      <c r="B183" s="28" t="inlineStr">
        <is>
          <t>09 Appointments</t>
        </is>
      </c>
      <c r="C183" s="28" t="inlineStr">
        <is>
          <t>Search</t>
        </is>
      </c>
      <c r="D183" s="28" t="inlineStr">
        <is>
          <t>Search appointments</t>
        </is>
      </c>
      <c r="E183" s="28" t="inlineStr">
        <is>
          <t>Search by doctor, hospital and booking reference</t>
        </is>
      </c>
      <c r="F183" s="28" t="inlineStr">
        <is>
          <t>Matching appointments are listed; no-match state otherwise.</t>
        </is>
      </c>
      <c r="G183" s="29" t="inlineStr">
        <is>
          <t>P2</t>
        </is>
      </c>
      <c r="H183" s="29" t="inlineStr">
        <is>
          <t>Functional</t>
        </is>
      </c>
      <c r="I183" s="29" t="inlineStr">
        <is>
          <t>Both</t>
        </is>
      </c>
      <c r="J183" s="29" t="n"/>
      <c r="K183" s="31" t="inlineStr">
        <is>
          <t>Not Run</t>
        </is>
      </c>
      <c r="L183" s="32" t="n"/>
      <c r="M183" s="33" t="n"/>
      <c r="N183" s="32" t="n"/>
      <c r="O183" s="32" t="n"/>
      <c r="P183" s="32" t="n"/>
      <c r="Q183" s="32" t="n"/>
    </row>
    <row r="184" ht="30" customHeight="1">
      <c r="A184" s="27" t="inlineStr">
        <is>
          <t>APPT-024</t>
        </is>
      </c>
      <c r="B184" s="28" t="inlineStr">
        <is>
          <t>09 Appointments</t>
        </is>
      </c>
      <c r="C184" s="28" t="inlineStr">
        <is>
          <t>Filter</t>
        </is>
      </c>
      <c r="D184" s="28" t="inlineStr">
        <is>
          <t>Filter appointments</t>
        </is>
      </c>
      <c r="E184" s="28" t="inlineStr">
        <is>
          <t>1. Apply status, date and family-member filters
2. Clear all</t>
        </is>
      </c>
      <c r="F184" s="28" t="inlineStr">
        <is>
          <t>List reflects the filters; 'No appointments match these filters.' when empty; Clear all restores.</t>
        </is>
      </c>
      <c r="G184" s="29" t="inlineStr">
        <is>
          <t>P2</t>
        </is>
      </c>
      <c r="H184" s="29" t="inlineStr">
        <is>
          <t>Functional</t>
        </is>
      </c>
      <c r="I184" s="29" t="inlineStr">
        <is>
          <t>Both</t>
        </is>
      </c>
      <c r="J184" s="29" t="n"/>
      <c r="K184" s="31" t="inlineStr">
        <is>
          <t>Not Run</t>
        </is>
      </c>
      <c r="L184" s="32" t="n"/>
      <c r="M184" s="33" t="n"/>
      <c r="N184" s="32" t="n"/>
      <c r="O184" s="32" t="n"/>
      <c r="P184" s="32" t="n"/>
      <c r="Q184" s="32" t="n"/>
    </row>
    <row r="185" ht="43" customHeight="1">
      <c r="A185" s="27" t="inlineStr">
        <is>
          <t>APPT-025</t>
        </is>
      </c>
      <c r="B185" s="28" t="inlineStr">
        <is>
          <t>09 Appointments</t>
        </is>
      </c>
      <c r="C185" s="28" t="inlineStr">
        <is>
          <t>Status</t>
        </is>
      </c>
      <c r="D185" s="28" t="inlineStr">
        <is>
          <t>Hospital-cancelled and no-show appointments</t>
        </is>
      </c>
      <c r="E185" s="28" t="inlineStr">
        <is>
          <t>Have the desk cancel one appointment and mark another no-show</t>
        </is>
      </c>
      <c r="F185" s="28" t="inlineStr">
        <is>
          <t>'The hospital cancelled this appointment.' and 'The slot passed without a consultation.' are shown under Cancelled, with refund info where due.</t>
        </is>
      </c>
      <c r="G185" s="29" t="inlineStr">
        <is>
          <t>P1</t>
        </is>
      </c>
      <c r="H185" s="29" t="inlineStr">
        <is>
          <t>Functional</t>
        </is>
      </c>
      <c r="I185" s="29" t="inlineStr">
        <is>
          <t>Both</t>
        </is>
      </c>
      <c r="J185" s="29" t="n"/>
      <c r="K185" s="31" t="inlineStr">
        <is>
          <t>Not Run</t>
        </is>
      </c>
      <c r="L185" s="32" t="n"/>
      <c r="M185" s="33" t="n"/>
      <c r="N185" s="32" t="n"/>
      <c r="O185" s="32" t="n"/>
      <c r="P185" s="32" t="n"/>
      <c r="Q185" s="32" t="n"/>
    </row>
    <row r="186" ht="30" customHeight="1">
      <c r="A186" s="27" t="inlineStr">
        <is>
          <t>APPT-026</t>
        </is>
      </c>
      <c r="B186" s="28" t="inlineStr">
        <is>
          <t>09 Appointments</t>
        </is>
      </c>
      <c r="C186" s="28" t="inlineStr">
        <is>
          <t>Status</t>
        </is>
      </c>
      <c r="D186" s="28" t="inlineStr">
        <is>
          <t>Live status progression</t>
        </is>
      </c>
      <c r="E186" s="28" t="inlineStr">
        <is>
          <t>Have the desk check in, start and complete a visit while the detail screen is open (refresh as needed)</t>
        </is>
      </c>
      <c r="F186" s="28" t="inlineStr">
        <is>
          <t>Status moves Checked in &gt; Consultation started &gt; Completed, and history lists each event.</t>
        </is>
      </c>
      <c r="G186" s="29" t="inlineStr">
        <is>
          <t>P1</t>
        </is>
      </c>
      <c r="H186" s="29" t="inlineStr">
        <is>
          <t>Functional</t>
        </is>
      </c>
      <c r="I186" s="29" t="inlineStr">
        <is>
          <t>Both</t>
        </is>
      </c>
      <c r="J186" s="29" t="inlineStr">
        <is>
          <t>KB-08</t>
        </is>
      </c>
      <c r="K186" s="31" t="inlineStr">
        <is>
          <t>Not Run</t>
        </is>
      </c>
      <c r="L186" s="32" t="n"/>
      <c r="M186" s="33" t="n"/>
      <c r="N186" s="32" t="n"/>
      <c r="O186" s="32" t="n"/>
      <c r="P186" s="32" t="n"/>
      <c r="Q186" s="32" t="n"/>
    </row>
    <row r="187" ht="17" customHeight="1">
      <c r="A187" s="27" t="inlineStr">
        <is>
          <t>APPT-027</t>
        </is>
      </c>
      <c r="B187" s="28" t="inlineStr">
        <is>
          <t>09 Appointments</t>
        </is>
      </c>
      <c r="C187" s="28" t="inlineStr">
        <is>
          <t>Emergency</t>
        </is>
      </c>
      <c r="D187" s="28" t="inlineStr">
        <is>
          <t>Ambulance shortcut from an appointment</t>
        </is>
      </c>
      <c r="E187" s="28" t="inlineStr">
        <is>
          <t>Tap 'Call an ambulance' on the detail screen</t>
        </is>
      </c>
      <c r="F187" s="28" t="inlineStr">
        <is>
          <t>Ambulance screen opens.</t>
        </is>
      </c>
      <c r="G187" s="29" t="inlineStr">
        <is>
          <t>P3</t>
        </is>
      </c>
      <c r="H187" s="29" t="inlineStr">
        <is>
          <t>Functional</t>
        </is>
      </c>
      <c r="I187" s="29" t="inlineStr">
        <is>
          <t>Both</t>
        </is>
      </c>
      <c r="J187" s="29" t="n"/>
      <c r="K187" s="31" t="inlineStr">
        <is>
          <t>Not Run</t>
        </is>
      </c>
      <c r="L187" s="32" t="n"/>
      <c r="M187" s="33" t="n"/>
      <c r="N187" s="32" t="n"/>
      <c r="O187" s="32" t="n"/>
      <c r="P187" s="32" t="n"/>
      <c r="Q187" s="32" t="n"/>
    </row>
    <row r="188" ht="43" customHeight="1">
      <c r="A188" s="27" t="inlineStr">
        <is>
          <t>APPT-028</t>
        </is>
      </c>
      <c r="B188" s="28" t="inlineStr">
        <is>
          <t>09 Appointments</t>
        </is>
      </c>
      <c r="C188" s="28" t="inlineStr">
        <is>
          <t>Token card</t>
        </is>
      </c>
      <c r="D188" s="28" t="inlineStr">
        <is>
          <t>Desk code / token card</t>
        </is>
      </c>
      <c r="E188" s="28" t="inlineStr">
        <is>
          <t>Open the token card on a confirmed appointment</t>
        </is>
      </c>
      <c r="F188" s="28" t="inlineStr">
        <is>
          <t>Token label and desk code are shown. Confirm with the owner that the missing QR and 'Save token card' are acceptable for launch.</t>
        </is>
      </c>
      <c r="G188" s="29" t="inlineStr">
        <is>
          <t>P2</t>
        </is>
      </c>
      <c r="H188" s="29" t="inlineStr">
        <is>
          <t>Functional</t>
        </is>
      </c>
      <c r="I188" s="29" t="inlineStr">
        <is>
          <t>Both</t>
        </is>
      </c>
      <c r="J188" s="29" t="inlineStr">
        <is>
          <t>KB-10</t>
        </is>
      </c>
      <c r="K188" s="31" t="inlineStr">
        <is>
          <t>Not Run</t>
        </is>
      </c>
      <c r="L188" s="32" t="n"/>
      <c r="M188" s="33" t="n"/>
      <c r="N188" s="32" t="n"/>
      <c r="O188" s="32" t="n"/>
      <c r="P188" s="32" t="n"/>
      <c r="Q188" s="32" t="n"/>
    </row>
    <row r="189" ht="17" customHeight="1">
      <c r="A189" s="27" t="inlineStr">
        <is>
          <t>QUEUE-001</t>
        </is>
      </c>
      <c r="B189" s="28" t="inlineStr">
        <is>
          <t>10 Live queue</t>
        </is>
      </c>
      <c r="C189" s="28" t="inlineStr">
        <is>
          <t>Queue</t>
        </is>
      </c>
      <c r="D189" s="28" t="inlineStr">
        <is>
          <t>Queue before the visit day</t>
        </is>
      </c>
      <c r="E189" s="28" t="inlineStr">
        <is>
          <t>Open Live queue for a future appointment</t>
        </is>
      </c>
      <c r="F189" s="28" t="inlineStr">
        <is>
          <t>'Opens on the day' message; no error.</t>
        </is>
      </c>
      <c r="G189" s="29" t="inlineStr">
        <is>
          <t>P2</t>
        </is>
      </c>
      <c r="H189" s="29" t="inlineStr">
        <is>
          <t>Functional</t>
        </is>
      </c>
      <c r="I189" s="29" t="inlineStr">
        <is>
          <t>Both</t>
        </is>
      </c>
      <c r="J189" s="29" t="n"/>
      <c r="K189" s="31" t="inlineStr">
        <is>
          <t>Not Run</t>
        </is>
      </c>
      <c r="L189" s="32" t="n"/>
      <c r="M189" s="33" t="n"/>
      <c r="N189" s="32" t="n"/>
      <c r="O189" s="32" t="n"/>
      <c r="P189" s="32" t="n"/>
      <c r="Q189" s="32" t="n"/>
    </row>
    <row r="190" ht="30" customHeight="1">
      <c r="A190" s="27" t="inlineStr">
        <is>
          <t>QUEUE-002</t>
        </is>
      </c>
      <c r="B190" s="28" t="inlineStr">
        <is>
          <t>10 Live queue</t>
        </is>
      </c>
      <c r="C190" s="28" t="inlineStr">
        <is>
          <t>Queue</t>
        </is>
      </c>
      <c r="D190" s="28" t="inlineStr">
        <is>
          <t>Queue shows current position</t>
        </is>
      </c>
      <c r="E190" s="28" t="inlineStr">
        <is>
          <t>Open the queue for today's appointment while the session is open</t>
        </is>
      </c>
      <c r="F190" s="28" t="inlineStr">
        <is>
          <t>Current token, your token, tokens ahead and estimated wait are shown; a 'Live' indicator is on.</t>
        </is>
      </c>
      <c r="G190" s="29" t="inlineStr">
        <is>
          <t>P0</t>
        </is>
      </c>
      <c r="H190" s="29" t="inlineStr">
        <is>
          <t>Functional</t>
        </is>
      </c>
      <c r="I190" s="29" t="inlineStr">
        <is>
          <t>Both</t>
        </is>
      </c>
      <c r="J190" s="29" t="inlineStr">
        <is>
          <t>KB-08</t>
        </is>
      </c>
      <c r="K190" s="31" t="inlineStr">
        <is>
          <t>Not Run</t>
        </is>
      </c>
      <c r="L190" s="32" t="n"/>
      <c r="M190" s="33" t="n"/>
      <c r="N190" s="32" t="n"/>
      <c r="O190" s="32" t="n"/>
      <c r="P190" s="32" t="n"/>
      <c r="Q190" s="32" t="n"/>
    </row>
    <row r="191" ht="30" customHeight="1">
      <c r="A191" s="27" t="inlineStr">
        <is>
          <t>QUEUE-003</t>
        </is>
      </c>
      <c r="B191" s="28" t="inlineStr">
        <is>
          <t>10 Live queue</t>
        </is>
      </c>
      <c r="C191" s="28" t="inlineStr">
        <is>
          <t>Queue</t>
        </is>
      </c>
      <c r="D191" s="28" t="inlineStr">
        <is>
          <t>Queue updates in real time</t>
        </is>
      </c>
      <c r="E191" s="28" t="inlineStr">
        <is>
          <t>Desk calls the next token while the screen is open</t>
        </is>
      </c>
      <c r="F191" s="28" t="inlineStr">
        <is>
          <t>Numbers change within a few seconds without a manual refresh.</t>
        </is>
      </c>
      <c r="G191" s="29" t="inlineStr">
        <is>
          <t>P0</t>
        </is>
      </c>
      <c r="H191" s="29" t="inlineStr">
        <is>
          <t>Functional</t>
        </is>
      </c>
      <c r="I191" s="29" t="inlineStr">
        <is>
          <t>Both</t>
        </is>
      </c>
      <c r="J191" s="29" t="inlineStr">
        <is>
          <t>KB-08</t>
        </is>
      </c>
      <c r="K191" s="31" t="inlineStr">
        <is>
          <t>Not Run</t>
        </is>
      </c>
      <c r="L191" s="32" t="n"/>
      <c r="M191" s="33" t="n"/>
      <c r="N191" s="32" t="n"/>
      <c r="O191" s="32" t="n"/>
      <c r="P191" s="32" t="n"/>
      <c r="Q191" s="32" t="n"/>
    </row>
    <row r="192" ht="30" customHeight="1">
      <c r="A192" s="27" t="inlineStr">
        <is>
          <t>QUEUE-004</t>
        </is>
      </c>
      <c r="B192" s="28" t="inlineStr">
        <is>
          <t>10 Live queue</t>
        </is>
      </c>
      <c r="C192" s="28" t="inlineStr">
        <is>
          <t>Queue</t>
        </is>
      </c>
      <c r="D192" s="28" t="inlineStr">
        <is>
          <t>It's your turn</t>
        </is>
      </c>
      <c r="E192" s="28" t="inlineStr">
        <is>
          <t>Desk calls the patient's own token</t>
        </is>
      </c>
      <c r="F192" s="28" t="inlineStr">
        <is>
          <t>A prominent 'your turn' state appears (and a notification if the app is in the background).</t>
        </is>
      </c>
      <c r="G192" s="29" t="inlineStr">
        <is>
          <t>P0</t>
        </is>
      </c>
      <c r="H192" s="29" t="inlineStr">
        <is>
          <t>Functional</t>
        </is>
      </c>
      <c r="I192" s="29" t="inlineStr">
        <is>
          <t>Both</t>
        </is>
      </c>
      <c r="J192" s="29" t="inlineStr">
        <is>
          <t>KB-08</t>
        </is>
      </c>
      <c r="K192" s="31" t="inlineStr">
        <is>
          <t>Not Run</t>
        </is>
      </c>
      <c r="L192" s="32" t="n"/>
      <c r="M192" s="33" t="n"/>
      <c r="N192" s="32" t="n"/>
      <c r="O192" s="32" t="n"/>
      <c r="P192" s="32" t="n"/>
      <c r="Q192" s="32" t="n"/>
    </row>
    <row r="193" ht="30" customHeight="1">
      <c r="A193" s="27" t="inlineStr">
        <is>
          <t>QUEUE-005</t>
        </is>
      </c>
      <c r="B193" s="28" t="inlineStr">
        <is>
          <t>10 Live queue</t>
        </is>
      </c>
      <c r="C193" s="28" t="inlineStr">
        <is>
          <t>Queue</t>
        </is>
      </c>
      <c r="D193" s="28" t="inlineStr">
        <is>
          <t>Doctor on a break</t>
        </is>
      </c>
      <c r="E193" s="28" t="inlineStr">
        <is>
          <t>Desk pauses the session</t>
        </is>
      </c>
      <c r="F193" s="28" t="inlineStr">
        <is>
          <t>'Doctor on a break' message is shown; it clears when the session resumes.</t>
        </is>
      </c>
      <c r="G193" s="29" t="inlineStr">
        <is>
          <t>P1</t>
        </is>
      </c>
      <c r="H193" s="29" t="inlineStr">
        <is>
          <t>Functional</t>
        </is>
      </c>
      <c r="I193" s="29" t="inlineStr">
        <is>
          <t>Both</t>
        </is>
      </c>
      <c r="J193" s="29" t="inlineStr">
        <is>
          <t>KB-08</t>
        </is>
      </c>
      <c r="K193" s="31" t="inlineStr">
        <is>
          <t>Not Run</t>
        </is>
      </c>
      <c r="L193" s="32" t="n"/>
      <c r="M193" s="33" t="n"/>
      <c r="N193" s="32" t="n"/>
      <c r="O193" s="32" t="n"/>
      <c r="P193" s="32" t="n"/>
      <c r="Q193" s="32" t="n"/>
    </row>
    <row r="194" ht="30" customHeight="1">
      <c r="A194" s="27" t="inlineStr">
        <is>
          <t>QUEUE-006</t>
        </is>
      </c>
      <c r="B194" s="28" t="inlineStr">
        <is>
          <t>10 Live queue</t>
        </is>
      </c>
      <c r="C194" s="28" t="inlineStr">
        <is>
          <t>Queue</t>
        </is>
      </c>
      <c r="D194" s="28" t="inlineStr">
        <is>
          <t>Connection drop and recovery</t>
        </is>
      </c>
      <c r="E194" s="28" t="inlineStr">
        <is>
          <t>Toggle airplane mode on for 20 s, then off</t>
        </is>
      </c>
      <c r="F194" s="28" t="inlineStr">
        <is>
          <t>Screen indicates it is not live, then reconnects and shows the current state.</t>
        </is>
      </c>
      <c r="G194" s="29" t="inlineStr">
        <is>
          <t>P0</t>
        </is>
      </c>
      <c r="H194" s="29" t="inlineStr">
        <is>
          <t>Offline</t>
        </is>
      </c>
      <c r="I194" s="29" t="inlineStr">
        <is>
          <t>Both</t>
        </is>
      </c>
      <c r="J194" s="29" t="inlineStr">
        <is>
          <t>KB-08</t>
        </is>
      </c>
      <c r="K194" s="31" t="inlineStr">
        <is>
          <t>Not Run</t>
        </is>
      </c>
      <c r="L194" s="32" t="n"/>
      <c r="M194" s="33" t="n"/>
      <c r="N194" s="32" t="n"/>
      <c r="O194" s="32" t="n"/>
      <c r="P194" s="32" t="n"/>
      <c r="Q194" s="32" t="n"/>
    </row>
    <row r="195" ht="30" customHeight="1">
      <c r="A195" s="27" t="inlineStr">
        <is>
          <t>QUEUE-007</t>
        </is>
      </c>
      <c r="B195" s="28" t="inlineStr">
        <is>
          <t>10 Live queue</t>
        </is>
      </c>
      <c r="C195" s="28" t="inlineStr">
        <is>
          <t>Queue</t>
        </is>
      </c>
      <c r="D195" s="28" t="inlineStr">
        <is>
          <t>Reconnect after token expiry</t>
        </is>
      </c>
      <c r="E195" s="28" t="inlineStr">
        <is>
          <t>Keep the queue screen open for 20+ minutes</t>
        </is>
      </c>
      <c r="F195" s="28" t="inlineStr">
        <is>
          <t>Stream keeps working (token refreshed, socket reconnected); no error screen.</t>
        </is>
      </c>
      <c r="G195" s="29" t="inlineStr">
        <is>
          <t>P1</t>
        </is>
      </c>
      <c r="H195" s="29" t="inlineStr">
        <is>
          <t>Functional</t>
        </is>
      </c>
      <c r="I195" s="29" t="inlineStr">
        <is>
          <t>Both</t>
        </is>
      </c>
      <c r="J195" s="29" t="inlineStr">
        <is>
          <t>KB-08</t>
        </is>
      </c>
      <c r="K195" s="31" t="inlineStr">
        <is>
          <t>Not Run</t>
        </is>
      </c>
      <c r="L195" s="32" t="n"/>
      <c r="M195" s="33" t="n"/>
      <c r="N195" s="32" t="n"/>
      <c r="O195" s="32" t="n"/>
      <c r="P195" s="32" t="n"/>
      <c r="Q195" s="32" t="n"/>
    </row>
    <row r="196" ht="30" customHeight="1">
      <c r="A196" s="27" t="inlineStr">
        <is>
          <t>QUEUE-008</t>
        </is>
      </c>
      <c r="B196" s="28" t="inlineStr">
        <is>
          <t>10 Live queue</t>
        </is>
      </c>
      <c r="C196" s="28" t="inlineStr">
        <is>
          <t>Queue</t>
        </is>
      </c>
      <c r="D196" s="28" t="inlineStr">
        <is>
          <t>Return from background</t>
        </is>
      </c>
      <c r="E196" s="28" t="inlineStr">
        <is>
          <t>1. Background the app for 10 minutes
2. Return</t>
        </is>
      </c>
      <c r="F196" s="28" t="inlineStr">
        <is>
          <t>Queue reconnects and shows current values.</t>
        </is>
      </c>
      <c r="G196" s="29" t="inlineStr">
        <is>
          <t>P1</t>
        </is>
      </c>
      <c r="H196" s="29" t="inlineStr">
        <is>
          <t>Functional</t>
        </is>
      </c>
      <c r="I196" s="29" t="inlineStr">
        <is>
          <t>Both</t>
        </is>
      </c>
      <c r="J196" s="29" t="inlineStr">
        <is>
          <t>KB-08</t>
        </is>
      </c>
      <c r="K196" s="31" t="inlineStr">
        <is>
          <t>Not Run</t>
        </is>
      </c>
      <c r="L196" s="32" t="n"/>
      <c r="M196" s="33" t="n"/>
      <c r="N196" s="32" t="n"/>
      <c r="O196" s="32" t="n"/>
      <c r="P196" s="32" t="n"/>
      <c r="Q196" s="32" t="n"/>
    </row>
    <row r="197" ht="17" customHeight="1">
      <c r="A197" s="27" t="inlineStr">
        <is>
          <t>QUEUE-009</t>
        </is>
      </c>
      <c r="B197" s="28" t="inlineStr">
        <is>
          <t>10 Live queue</t>
        </is>
      </c>
      <c r="C197" s="28" t="inlineStr">
        <is>
          <t>Queue</t>
        </is>
      </c>
      <c r="D197" s="28" t="inlineStr">
        <is>
          <t>Socket is closed when leaving</t>
        </is>
      </c>
      <c r="E197" s="28" t="inlineStr">
        <is>
          <t>Open the queue, leave the screen, watch the proxy</t>
        </is>
      </c>
      <c r="F197" s="28" t="inlineStr">
        <is>
          <t>WebSocket closes; no pings continue in the background.</t>
        </is>
      </c>
      <c r="G197" s="29" t="inlineStr">
        <is>
          <t>P2</t>
        </is>
      </c>
      <c r="H197" s="29" t="inlineStr">
        <is>
          <t>Performance</t>
        </is>
      </c>
      <c r="I197" s="29" t="inlineStr">
        <is>
          <t>Both</t>
        </is>
      </c>
      <c r="J197" s="29" t="n"/>
      <c r="K197" s="31" t="inlineStr">
        <is>
          <t>Not Run</t>
        </is>
      </c>
      <c r="L197" s="32" t="n"/>
      <c r="M197" s="33" t="n"/>
      <c r="N197" s="32" t="n"/>
      <c r="O197" s="32" t="n"/>
      <c r="P197" s="32" t="n"/>
      <c r="Q197" s="32" t="n"/>
    </row>
    <row r="198" ht="17" customHeight="1">
      <c r="A198" s="27" t="inlineStr">
        <is>
          <t>QUEUE-010</t>
        </is>
      </c>
      <c r="B198" s="28" t="inlineStr">
        <is>
          <t>10 Live queue</t>
        </is>
      </c>
      <c r="C198" s="28" t="inlineStr">
        <is>
          <t>Queue</t>
        </is>
      </c>
      <c r="D198" s="28" t="inlineStr">
        <is>
          <t>Someone else's appointment</t>
        </is>
      </c>
      <c r="E198" s="28" t="inlineStr">
        <is>
          <t>Open medibook://queue/&lt;another user's appointment id&gt;</t>
        </is>
      </c>
      <c r="F198" s="28" t="inlineStr">
        <is>
          <t>Not-found/denied view; no data shown.</t>
        </is>
      </c>
      <c r="G198" s="29" t="inlineStr">
        <is>
          <t>P1</t>
        </is>
      </c>
      <c r="H198" s="29" t="inlineStr">
        <is>
          <t>Security</t>
        </is>
      </c>
      <c r="I198" s="29" t="inlineStr">
        <is>
          <t>Both</t>
        </is>
      </c>
      <c r="J198" s="29" t="n"/>
      <c r="K198" s="31" t="inlineStr">
        <is>
          <t>Not Run</t>
        </is>
      </c>
      <c r="L198" s="32" t="n"/>
      <c r="M198" s="33" t="n"/>
      <c r="N198" s="32" t="n"/>
      <c r="O198" s="32" t="n"/>
      <c r="P198" s="32" t="n"/>
      <c r="Q198" s="32" t="n"/>
    </row>
    <row r="199" ht="30" customHeight="1">
      <c r="A199" s="27" t="inlineStr">
        <is>
          <t>QUEUE-011</t>
        </is>
      </c>
      <c r="B199" s="28" t="inlineStr">
        <is>
          <t>10 Live queue</t>
        </is>
      </c>
      <c r="C199" s="28" t="inlineStr">
        <is>
          <t>Queue</t>
        </is>
      </c>
      <c r="D199" s="28" t="inlineStr">
        <is>
          <t>Session closed</t>
        </is>
      </c>
      <c r="E199" s="28" t="inlineStr">
        <is>
          <t>Desk closes the session / completes the visit</t>
        </is>
      </c>
      <c r="F199" s="28" t="inlineStr">
        <is>
          <t>Queue shows a finished state and links back to the appointment.</t>
        </is>
      </c>
      <c r="G199" s="29" t="inlineStr">
        <is>
          <t>P2</t>
        </is>
      </c>
      <c r="H199" s="29" t="inlineStr">
        <is>
          <t>Functional</t>
        </is>
      </c>
      <c r="I199" s="29" t="inlineStr">
        <is>
          <t>Both</t>
        </is>
      </c>
      <c r="J199" s="29" t="inlineStr">
        <is>
          <t>KB-08</t>
        </is>
      </c>
      <c r="K199" s="31" t="inlineStr">
        <is>
          <t>Not Run</t>
        </is>
      </c>
      <c r="L199" s="32" t="n"/>
      <c r="M199" s="33" t="n"/>
      <c r="N199" s="32" t="n"/>
      <c r="O199" s="32" t="n"/>
      <c r="P199" s="32" t="n"/>
      <c r="Q199" s="32" t="n"/>
    </row>
    <row r="200" ht="56" customHeight="1">
      <c r="A200" s="27" t="inlineStr">
        <is>
          <t>REC-001</t>
        </is>
      </c>
      <c r="B200" s="28" t="inlineStr">
        <is>
          <t>11 Health records &amp; documents</t>
        </is>
      </c>
      <c r="C200" s="28" t="inlineStr">
        <is>
          <t>List</t>
        </is>
      </c>
      <c r="D200" s="28" t="inlineStr">
        <is>
          <t>Records list, filters and pagination</t>
        </is>
      </c>
      <c r="E200" s="28" t="inlineStr">
        <is>
          <t>1. Open Records
2. Filter by type and by person
3. Clear filters
4. Load more</t>
        </is>
      </c>
      <c r="F200" s="28" t="inlineStr">
        <is>
          <t>List reflects the filter; 'No records here' when empty; more pages load.</t>
        </is>
      </c>
      <c r="G200" s="29" t="inlineStr">
        <is>
          <t>P1</t>
        </is>
      </c>
      <c r="H200" s="29" t="inlineStr">
        <is>
          <t>Functional</t>
        </is>
      </c>
      <c r="I200" s="29" t="inlineStr">
        <is>
          <t>Both</t>
        </is>
      </c>
      <c r="J200" s="29" t="n"/>
      <c r="K200" s="31" t="inlineStr">
        <is>
          <t>Not Run</t>
        </is>
      </c>
      <c r="L200" s="32" t="n"/>
      <c r="M200" s="33" t="n"/>
      <c r="N200" s="32" t="n"/>
      <c r="O200" s="32" t="n"/>
      <c r="P200" s="32" t="n"/>
      <c r="Q200" s="32" t="n"/>
    </row>
    <row r="201" ht="30" customHeight="1">
      <c r="A201" s="27" t="inlineStr">
        <is>
          <t>REC-002</t>
        </is>
      </c>
      <c r="B201" s="28" t="inlineStr">
        <is>
          <t>11 Health records &amp; documents</t>
        </is>
      </c>
      <c r="C201" s="28" t="inlineStr">
        <is>
          <t>List</t>
        </is>
      </c>
      <c r="D201" s="28" t="inlineStr">
        <is>
          <t>First-time empty state</t>
        </is>
      </c>
      <c r="E201" s="28" t="inlineStr">
        <is>
          <t>Open Records on a new account</t>
        </is>
      </c>
      <c r="F201" s="28" t="inlineStr">
        <is>
          <t>'No records yet' with an 'Add a record' action.</t>
        </is>
      </c>
      <c r="G201" s="29" t="inlineStr">
        <is>
          <t>P2</t>
        </is>
      </c>
      <c r="H201" s="29" t="inlineStr">
        <is>
          <t>Functional</t>
        </is>
      </c>
      <c r="I201" s="29" t="inlineStr">
        <is>
          <t>Both</t>
        </is>
      </c>
      <c r="J201" s="29" t="n"/>
      <c r="K201" s="31" t="inlineStr">
        <is>
          <t>Not Run</t>
        </is>
      </c>
      <c r="L201" s="32" t="n"/>
      <c r="M201" s="33" t="n"/>
      <c r="N201" s="32" t="n"/>
      <c r="O201" s="32" t="n"/>
      <c r="P201" s="32" t="n"/>
      <c r="Q201" s="32" t="n"/>
    </row>
    <row r="202" ht="43" customHeight="1">
      <c r="A202" s="27" t="inlineStr">
        <is>
          <t>REC-003</t>
        </is>
      </c>
      <c r="B202" s="28" t="inlineStr">
        <is>
          <t>11 Health records &amp; documents</t>
        </is>
      </c>
      <c r="C202" s="28" t="inlineStr">
        <is>
          <t>Upload</t>
        </is>
      </c>
      <c r="D202" s="28" t="inlineStr">
        <is>
          <t>Upload a PDF</t>
        </is>
      </c>
      <c r="E202" s="28" t="inlineStr">
        <is>
          <t>1. Add record &gt; choose a PDF under 10 MB
2. Fill the form
3. Save</t>
        </is>
      </c>
      <c r="F202" s="28" t="inlineStr">
        <is>
          <t>Progress is shown; after the scan the document appears in the list.</t>
        </is>
      </c>
      <c r="G202" s="29" t="inlineStr">
        <is>
          <t>P0</t>
        </is>
      </c>
      <c r="H202" s="29" t="inlineStr">
        <is>
          <t>Functional</t>
        </is>
      </c>
      <c r="I202" s="29" t="inlineStr">
        <is>
          <t>Both</t>
        </is>
      </c>
      <c r="J202" s="29" t="inlineStr">
        <is>
          <t>KB-01</t>
        </is>
      </c>
      <c r="K202" s="31" t="inlineStr">
        <is>
          <t>Not Run</t>
        </is>
      </c>
      <c r="L202" s="32" t="n"/>
      <c r="M202" s="33" t="n"/>
      <c r="N202" s="32" t="n"/>
      <c r="O202" s="32" t="n"/>
      <c r="P202" s="32" t="n"/>
      <c r="Q202" s="32" t="n"/>
    </row>
    <row r="203" ht="30" customHeight="1">
      <c r="A203" s="27" t="inlineStr">
        <is>
          <t>REC-004</t>
        </is>
      </c>
      <c r="B203" s="28" t="inlineStr">
        <is>
          <t>11 Health records &amp; documents</t>
        </is>
      </c>
      <c r="C203" s="28" t="inlineStr">
        <is>
          <t>Upload</t>
        </is>
      </c>
      <c r="D203" s="28" t="inlineStr">
        <is>
          <t>Upload a photo from the gallery</t>
        </is>
      </c>
      <c r="E203" s="28" t="inlineStr">
        <is>
          <t>Choose a JPEG, a PNG and (iOS) a HEIC photo</t>
        </is>
      </c>
      <c r="F203" s="28" t="inlineStr">
        <is>
          <t>Each uploads and previews correctly.</t>
        </is>
      </c>
      <c r="G203" s="29" t="inlineStr">
        <is>
          <t>P0</t>
        </is>
      </c>
      <c r="H203" s="29" t="inlineStr">
        <is>
          <t>Functional</t>
        </is>
      </c>
      <c r="I203" s="29" t="inlineStr">
        <is>
          <t>Both</t>
        </is>
      </c>
      <c r="J203" s="29" t="inlineStr">
        <is>
          <t>KB-01</t>
        </is>
      </c>
      <c r="K203" s="31" t="inlineStr">
        <is>
          <t>Not Run</t>
        </is>
      </c>
      <c r="L203" s="32" t="n"/>
      <c r="M203" s="33" t="n"/>
      <c r="N203" s="32" t="n"/>
      <c r="O203" s="32" t="n"/>
      <c r="P203" s="32" t="n"/>
      <c r="Q203" s="32" t="n"/>
    </row>
    <row r="204" ht="43" customHeight="1">
      <c r="A204" s="27" t="inlineStr">
        <is>
          <t>REC-005</t>
        </is>
      </c>
      <c r="B204" s="28" t="inlineStr">
        <is>
          <t>11 Health records &amp; documents</t>
        </is>
      </c>
      <c r="C204" s="28" t="inlineStr">
        <is>
          <t>Upload</t>
        </is>
      </c>
      <c r="D204" s="28" t="inlineStr">
        <is>
          <t>Capture with the camera</t>
        </is>
      </c>
      <c r="E204" s="28" t="inlineStr">
        <is>
          <t>1. Choose camera
2. Take a photo
3. Save</t>
        </is>
      </c>
      <c r="F204" s="28" t="inlineStr">
        <is>
          <t>Photo uploads; orientation is correct.</t>
        </is>
      </c>
      <c r="G204" s="29" t="inlineStr">
        <is>
          <t>P1</t>
        </is>
      </c>
      <c r="H204" s="29" t="inlineStr">
        <is>
          <t>Functional</t>
        </is>
      </c>
      <c r="I204" s="29" t="inlineStr">
        <is>
          <t>Both</t>
        </is>
      </c>
      <c r="J204" s="29" t="inlineStr">
        <is>
          <t>KB-01</t>
        </is>
      </c>
      <c r="K204" s="31" t="inlineStr">
        <is>
          <t>Not Run</t>
        </is>
      </c>
      <c r="L204" s="32" t="n"/>
      <c r="M204" s="33" t="n"/>
      <c r="N204" s="32" t="n"/>
      <c r="O204" s="32" t="n"/>
      <c r="P204" s="32" t="n"/>
      <c r="Q204" s="32" t="n"/>
    </row>
    <row r="205" ht="30" customHeight="1">
      <c r="A205" s="27" t="inlineStr">
        <is>
          <t>REC-006</t>
        </is>
      </c>
      <c r="B205" s="28" t="inlineStr">
        <is>
          <t>11 Health records &amp; documents</t>
        </is>
      </c>
      <c r="C205" s="28" t="inlineStr">
        <is>
          <t>Upload</t>
        </is>
      </c>
      <c r="D205" s="28" t="inlineStr">
        <is>
          <t>File too large</t>
        </is>
      </c>
      <c r="E205" s="28" t="inlineStr">
        <is>
          <t>Pick a file over 10 MB</t>
        </is>
      </c>
      <c r="F205" s="28" t="inlineStr">
        <is>
          <t>Rejected with a message that states the limit.</t>
        </is>
      </c>
      <c r="G205" s="29" t="inlineStr">
        <is>
          <t>P1</t>
        </is>
      </c>
      <c r="H205" s="29" t="inlineStr">
        <is>
          <t>Negative</t>
        </is>
      </c>
      <c r="I205" s="29" t="inlineStr">
        <is>
          <t>Both</t>
        </is>
      </c>
      <c r="J205" s="29" t="n"/>
      <c r="K205" s="31" t="inlineStr">
        <is>
          <t>Not Run</t>
        </is>
      </c>
      <c r="L205" s="32" t="n"/>
      <c r="M205" s="33" t="n"/>
      <c r="N205" s="32" t="n"/>
      <c r="O205" s="32" t="n"/>
      <c r="P205" s="32" t="n"/>
      <c r="Q205" s="32" t="n"/>
    </row>
    <row r="206" ht="30" customHeight="1">
      <c r="A206" s="27" t="inlineStr">
        <is>
          <t>REC-007</t>
        </is>
      </c>
      <c r="B206" s="28" t="inlineStr">
        <is>
          <t>11 Health records &amp; documents</t>
        </is>
      </c>
      <c r="C206" s="28" t="inlineStr">
        <is>
          <t>Upload</t>
        </is>
      </c>
      <c r="D206" s="28" t="inlineStr">
        <is>
          <t>Unsupported type</t>
        </is>
      </c>
      <c r="E206" s="28" t="inlineStr">
        <is>
          <t>Pick a .docx or .zip</t>
        </is>
      </c>
      <c r="F206" s="28" t="inlineStr">
        <is>
          <t>Rejected with the allowed types listed.</t>
        </is>
      </c>
      <c r="G206" s="29" t="inlineStr">
        <is>
          <t>P1</t>
        </is>
      </c>
      <c r="H206" s="29" t="inlineStr">
        <is>
          <t>Negative</t>
        </is>
      </c>
      <c r="I206" s="29" t="inlineStr">
        <is>
          <t>Both</t>
        </is>
      </c>
      <c r="J206" s="29" t="n"/>
      <c r="K206" s="31" t="inlineStr">
        <is>
          <t>Not Run</t>
        </is>
      </c>
      <c r="L206" s="32" t="n"/>
      <c r="M206" s="33" t="n"/>
      <c r="N206" s="32" t="n"/>
      <c r="O206" s="32" t="n"/>
      <c r="P206" s="32" t="n"/>
      <c r="Q206" s="32" t="n"/>
    </row>
    <row r="207" ht="30" customHeight="1">
      <c r="A207" s="27" t="inlineStr">
        <is>
          <t>REC-008</t>
        </is>
      </c>
      <c r="B207" s="28" t="inlineStr">
        <is>
          <t>11 Health records &amp; documents</t>
        </is>
      </c>
      <c r="C207" s="28" t="inlineStr">
        <is>
          <t>Upload</t>
        </is>
      </c>
      <c r="D207" s="28" t="inlineStr">
        <is>
          <t>File rejected by the virus scan</t>
        </is>
      </c>
      <c r="E207" s="28" t="inlineStr">
        <is>
          <t>Upload a file the backend flags (EICAR test file)</t>
        </is>
      </c>
      <c r="F207" s="28" t="inlineStr">
        <is>
          <t>User is told the file was rejected; no document is created.</t>
        </is>
      </c>
      <c r="G207" s="29" t="inlineStr">
        <is>
          <t>P1</t>
        </is>
      </c>
      <c r="H207" s="29" t="inlineStr">
        <is>
          <t>Security</t>
        </is>
      </c>
      <c r="I207" s="29" t="inlineStr">
        <is>
          <t>Both</t>
        </is>
      </c>
      <c r="J207" s="29" t="inlineStr">
        <is>
          <t>KB-01</t>
        </is>
      </c>
      <c r="K207" s="31" t="inlineStr">
        <is>
          <t>Not Run</t>
        </is>
      </c>
      <c r="L207" s="32" t="n"/>
      <c r="M207" s="33" t="n"/>
      <c r="N207" s="32" t="n"/>
      <c r="O207" s="32" t="n"/>
      <c r="P207" s="32" t="n"/>
      <c r="Q207" s="32" t="n"/>
    </row>
    <row r="208" ht="30" customHeight="1">
      <c r="A208" s="27" t="inlineStr">
        <is>
          <t>REC-009</t>
        </is>
      </c>
      <c r="B208" s="28" t="inlineStr">
        <is>
          <t>11 Health records &amp; documents</t>
        </is>
      </c>
      <c r="C208" s="28" t="inlineStr">
        <is>
          <t>Upload</t>
        </is>
      </c>
      <c r="D208" s="28" t="inlineStr">
        <is>
          <t>Form validation</t>
        </is>
      </c>
      <c r="E208" s="28" t="inlineStr">
        <is>
          <t>Save without a title, without a person, with a future document date</t>
        </is>
      </c>
      <c r="F208" s="28" t="inlineStr">
        <is>
          <t>Inline errors; nothing uploaded.</t>
        </is>
      </c>
      <c r="G208" s="29" t="inlineStr">
        <is>
          <t>P1</t>
        </is>
      </c>
      <c r="H208" s="29" t="inlineStr">
        <is>
          <t>Negative</t>
        </is>
      </c>
      <c r="I208" s="29" t="inlineStr">
        <is>
          <t>Both</t>
        </is>
      </c>
      <c r="J208" s="29" t="n"/>
      <c r="K208" s="31" t="inlineStr">
        <is>
          <t>Not Run</t>
        </is>
      </c>
      <c r="L208" s="32" t="n"/>
      <c r="M208" s="33" t="n"/>
      <c r="N208" s="32" t="n"/>
      <c r="O208" s="32" t="n"/>
      <c r="P208" s="32" t="n"/>
      <c r="Q208" s="32" t="n"/>
    </row>
    <row r="209" ht="30" customHeight="1">
      <c r="A209" s="27" t="inlineStr">
        <is>
          <t>REC-010</t>
        </is>
      </c>
      <c r="B209" s="28" t="inlineStr">
        <is>
          <t>11 Health records &amp; documents</t>
        </is>
      </c>
      <c r="C209" s="28" t="inlineStr">
        <is>
          <t>Upload</t>
        </is>
      </c>
      <c r="D209" s="28" t="inlineStr">
        <is>
          <t>No family member available</t>
        </is>
      </c>
      <c r="E209" s="28" t="inlineStr">
        <is>
          <t>Simulate a failed/empty persons list</t>
        </is>
      </c>
      <c r="F209" s="28" t="inlineStr">
        <is>
          <t>'Add a family member first' or a retry for the patient list — never a dead end.</t>
        </is>
      </c>
      <c r="G209" s="29" t="inlineStr">
        <is>
          <t>P2</t>
        </is>
      </c>
      <c r="H209" s="29" t="inlineStr">
        <is>
          <t>Negative</t>
        </is>
      </c>
      <c r="I209" s="29" t="inlineStr">
        <is>
          <t>Both</t>
        </is>
      </c>
      <c r="J209" s="29" t="n"/>
      <c r="K209" s="31" t="inlineStr">
        <is>
          <t>Not Run</t>
        </is>
      </c>
      <c r="L209" s="32" t="n"/>
      <c r="M209" s="33" t="n"/>
      <c r="N209" s="32" t="n"/>
      <c r="O209" s="32" t="n"/>
      <c r="P209" s="32" t="n"/>
      <c r="Q209" s="32" t="n"/>
    </row>
    <row r="210" ht="56" customHeight="1">
      <c r="A210" s="27" t="inlineStr">
        <is>
          <t>REC-011</t>
        </is>
      </c>
      <c r="B210" s="28" t="inlineStr">
        <is>
          <t>11 Health records &amp; documents</t>
        </is>
      </c>
      <c r="C210" s="28" t="inlineStr">
        <is>
          <t>Upload</t>
        </is>
      </c>
      <c r="D210" s="28" t="inlineStr">
        <is>
          <t>Network drop mid-upload</t>
        </is>
      </c>
      <c r="E210" s="28" t="inlineStr">
        <is>
          <t>1. Start an upload
2. Cut the network
3. Restore
4. Retry</t>
        </is>
      </c>
      <c r="F210" s="28" t="inlineStr">
        <is>
          <t>Clear failure, retry works, no half-created document.</t>
        </is>
      </c>
      <c r="G210" s="29" t="inlineStr">
        <is>
          <t>P1</t>
        </is>
      </c>
      <c r="H210" s="29" t="inlineStr">
        <is>
          <t>Negative</t>
        </is>
      </c>
      <c r="I210" s="29" t="inlineStr">
        <is>
          <t>Both</t>
        </is>
      </c>
      <c r="J210" s="29" t="inlineStr">
        <is>
          <t>KB-01</t>
        </is>
      </c>
      <c r="K210" s="31" t="inlineStr">
        <is>
          <t>Not Run</t>
        </is>
      </c>
      <c r="L210" s="32" t="n"/>
      <c r="M210" s="33" t="n"/>
      <c r="N210" s="32" t="n"/>
      <c r="O210" s="32" t="n"/>
      <c r="P210" s="32" t="n"/>
      <c r="Q210" s="32" t="n"/>
    </row>
    <row r="211" ht="30" customHeight="1">
      <c r="A211" s="27" t="inlineStr">
        <is>
          <t>REC-012</t>
        </is>
      </c>
      <c r="B211" s="28" t="inlineStr">
        <is>
          <t>11 Health records &amp; documents</t>
        </is>
      </c>
      <c r="C211" s="28" t="inlineStr">
        <is>
          <t>Upload</t>
        </is>
      </c>
      <c r="D211" s="28" t="inlineStr">
        <is>
          <t>Unsaved changes guard</t>
        </is>
      </c>
      <c r="E211" s="28" t="inlineStr">
        <is>
          <t>1. Fill the form
2. Press Back</t>
        </is>
      </c>
      <c r="F211" s="28" t="inlineStr">
        <is>
          <t>Confirmation before discarding.</t>
        </is>
      </c>
      <c r="G211" s="29" t="inlineStr">
        <is>
          <t>P2</t>
        </is>
      </c>
      <c r="H211" s="29" t="inlineStr">
        <is>
          <t>Functional</t>
        </is>
      </c>
      <c r="I211" s="29" t="inlineStr">
        <is>
          <t>Both</t>
        </is>
      </c>
      <c r="J211" s="29" t="n"/>
      <c r="K211" s="31" t="inlineStr">
        <is>
          <t>Not Run</t>
        </is>
      </c>
      <c r="L211" s="32" t="n"/>
      <c r="M211" s="33" t="n"/>
      <c r="N211" s="32" t="n"/>
      <c r="O211" s="32" t="n"/>
      <c r="P211" s="32" t="n"/>
      <c r="Q211" s="32" t="n"/>
    </row>
    <row r="212" ht="43" customHeight="1">
      <c r="A212" s="27" t="inlineStr">
        <is>
          <t>REC-013</t>
        </is>
      </c>
      <c r="B212" s="28" t="inlineStr">
        <is>
          <t>11 Health records &amp; documents</t>
        </is>
      </c>
      <c r="C212" s="28" t="inlineStr">
        <is>
          <t>Upload</t>
        </is>
      </c>
      <c r="D212" s="28" t="inlineStr">
        <is>
          <t>Link an appointment</t>
        </is>
      </c>
      <c r="E212" s="28" t="inlineStr">
        <is>
          <t>1. Link the document to an appointment
2. Save
3. Open it</t>
        </is>
      </c>
      <c r="F212" s="28" t="inlineStr">
        <is>
          <t>Linked appointment is shown and tappable.</t>
        </is>
      </c>
      <c r="G212" s="29" t="inlineStr">
        <is>
          <t>P2</t>
        </is>
      </c>
      <c r="H212" s="29" t="inlineStr">
        <is>
          <t>Functional</t>
        </is>
      </c>
      <c r="I212" s="29" t="inlineStr">
        <is>
          <t>Both</t>
        </is>
      </c>
      <c r="J212" s="29" t="inlineStr">
        <is>
          <t>KB-01</t>
        </is>
      </c>
      <c r="K212" s="31" t="inlineStr">
        <is>
          <t>Not Run</t>
        </is>
      </c>
      <c r="L212" s="32" t="n"/>
      <c r="M212" s="33" t="n"/>
      <c r="N212" s="32" t="n"/>
      <c r="O212" s="32" t="n"/>
      <c r="P212" s="32" t="n"/>
      <c r="Q212" s="32" t="n"/>
    </row>
    <row r="213" ht="30" customHeight="1">
      <c r="A213" s="27" t="inlineStr">
        <is>
          <t>REC-014</t>
        </is>
      </c>
      <c r="B213" s="28" t="inlineStr">
        <is>
          <t>11 Health records &amp; documents</t>
        </is>
      </c>
      <c r="C213" s="28" t="inlineStr">
        <is>
          <t>Detail</t>
        </is>
      </c>
      <c r="D213" s="28" t="inlineStr">
        <is>
          <t>Preview and download</t>
        </is>
      </c>
      <c r="E213" s="28" t="inlineStr">
        <is>
          <t>1. Open an image and a PDF document
2. Download</t>
        </is>
      </c>
      <c r="F213" s="28" t="inlineStr">
        <is>
          <t>Preview renders; download/open-in works; expired links are re-requested.</t>
        </is>
      </c>
      <c r="G213" s="29" t="inlineStr">
        <is>
          <t>P0</t>
        </is>
      </c>
      <c r="H213" s="29" t="inlineStr">
        <is>
          <t>Functional</t>
        </is>
      </c>
      <c r="I213" s="29" t="inlineStr">
        <is>
          <t>Both</t>
        </is>
      </c>
      <c r="J213" s="29" t="inlineStr">
        <is>
          <t>KB-01</t>
        </is>
      </c>
      <c r="K213" s="31" t="inlineStr">
        <is>
          <t>Not Run</t>
        </is>
      </c>
      <c r="L213" s="32" t="n"/>
      <c r="M213" s="33" t="n"/>
      <c r="N213" s="32" t="n"/>
      <c r="O213" s="32" t="n"/>
      <c r="P213" s="32" t="n"/>
      <c r="Q213" s="32" t="n"/>
    </row>
    <row r="214" ht="30" customHeight="1">
      <c r="A214" s="27" t="inlineStr">
        <is>
          <t>REC-015</t>
        </is>
      </c>
      <c r="B214" s="28" t="inlineStr">
        <is>
          <t>11 Health records &amp; documents</t>
        </is>
      </c>
      <c r="C214" s="28" t="inlineStr">
        <is>
          <t>Edit</t>
        </is>
      </c>
      <c r="D214" s="28" t="inlineStr">
        <is>
          <t>Edit document details</t>
        </is>
      </c>
      <c r="E214" s="28" t="inlineStr">
        <is>
          <t>1. Edit title, type and notes
2. Save</t>
        </is>
      </c>
      <c r="F214" s="28" t="inlineStr">
        <is>
          <t>Changes are saved and shown.</t>
        </is>
      </c>
      <c r="G214" s="29" t="inlineStr">
        <is>
          <t>P1</t>
        </is>
      </c>
      <c r="H214" s="29" t="inlineStr">
        <is>
          <t>Functional</t>
        </is>
      </c>
      <c r="I214" s="29" t="inlineStr">
        <is>
          <t>Both</t>
        </is>
      </c>
      <c r="J214" s="29" t="n"/>
      <c r="K214" s="31" t="inlineStr">
        <is>
          <t>Not Run</t>
        </is>
      </c>
      <c r="L214" s="32" t="n"/>
      <c r="M214" s="33" t="n"/>
      <c r="N214" s="32" t="n"/>
      <c r="O214" s="32" t="n"/>
      <c r="P214" s="32" t="n"/>
      <c r="Q214" s="32" t="n"/>
    </row>
    <row r="215" ht="30" customHeight="1">
      <c r="A215" s="27" t="inlineStr">
        <is>
          <t>REC-016</t>
        </is>
      </c>
      <c r="B215" s="28" t="inlineStr">
        <is>
          <t>11 Health records &amp; documents</t>
        </is>
      </c>
      <c r="C215" s="28" t="inlineStr">
        <is>
          <t>Edit</t>
        </is>
      </c>
      <c r="D215" s="28" t="inlineStr">
        <is>
          <t>Edit conflict</t>
        </is>
      </c>
      <c r="E215" s="28" t="inlineStr">
        <is>
          <t>1. Edit the same document on two devices
2. Save on both</t>
        </is>
      </c>
      <c r="F215" s="28" t="inlineStr">
        <is>
          <t>Second save reports that the document changed and reloads it; no silent overwrite.</t>
        </is>
      </c>
      <c r="G215" s="29" t="inlineStr">
        <is>
          <t>P2</t>
        </is>
      </c>
      <c r="H215" s="29" t="inlineStr">
        <is>
          <t>Negative</t>
        </is>
      </c>
      <c r="I215" s="29" t="inlineStr">
        <is>
          <t>Both</t>
        </is>
      </c>
      <c r="J215" s="29" t="n"/>
      <c r="K215" s="31" t="inlineStr">
        <is>
          <t>Not Run</t>
        </is>
      </c>
      <c r="L215" s="32" t="n"/>
      <c r="M215" s="33" t="n"/>
      <c r="N215" s="32" t="n"/>
      <c r="O215" s="32" t="n"/>
      <c r="P215" s="32" t="n"/>
      <c r="Q215" s="32" t="n"/>
    </row>
    <row r="216" ht="30" customHeight="1">
      <c r="A216" s="27" t="inlineStr">
        <is>
          <t>REC-017</t>
        </is>
      </c>
      <c r="B216" s="28" t="inlineStr">
        <is>
          <t>11 Health records &amp; documents</t>
        </is>
      </c>
      <c r="C216" s="28" t="inlineStr">
        <is>
          <t>Delete</t>
        </is>
      </c>
      <c r="D216" s="28" t="inlineStr">
        <is>
          <t>Delete a document</t>
        </is>
      </c>
      <c r="E216" s="28" t="inlineStr">
        <is>
          <t>1. Delete
2. Confirm</t>
        </is>
      </c>
      <c r="F216" s="28" t="inlineStr">
        <is>
          <t>Removed from the list and no longer opens.</t>
        </is>
      </c>
      <c r="G216" s="29" t="inlineStr">
        <is>
          <t>P1</t>
        </is>
      </c>
      <c r="H216" s="29" t="inlineStr">
        <is>
          <t>Functional</t>
        </is>
      </c>
      <c r="I216" s="29" t="inlineStr">
        <is>
          <t>Both</t>
        </is>
      </c>
      <c r="J216" s="29" t="n"/>
      <c r="K216" s="31" t="inlineStr">
        <is>
          <t>Not Run</t>
        </is>
      </c>
      <c r="L216" s="32" t="n"/>
      <c r="M216" s="33" t="n"/>
      <c r="N216" s="32" t="n"/>
      <c r="O216" s="32" t="n"/>
      <c r="P216" s="32" t="n"/>
      <c r="Q216" s="32" t="n"/>
    </row>
    <row r="217" ht="30" customHeight="1">
      <c r="A217" s="27" t="inlineStr">
        <is>
          <t>REC-018</t>
        </is>
      </c>
      <c r="B217" s="28" t="inlineStr">
        <is>
          <t>11 Health records &amp; documents</t>
        </is>
      </c>
      <c r="C217" s="28" t="inlineStr">
        <is>
          <t>Privacy</t>
        </is>
      </c>
      <c r="D217" s="28" t="inlineStr">
        <is>
          <t>Documents are private</t>
        </is>
      </c>
      <c r="E217" s="28" t="inlineStr">
        <is>
          <t>Look for any 'share with hospital' action</t>
        </is>
      </c>
      <c r="F217" s="28" t="inlineStr">
        <is>
          <t>None exists; documents are visible only to the patient.</t>
        </is>
      </c>
      <c r="G217" s="29" t="inlineStr">
        <is>
          <t>P1</t>
        </is>
      </c>
      <c r="H217" s="29" t="inlineStr">
        <is>
          <t>Security</t>
        </is>
      </c>
      <c r="I217" s="29" t="inlineStr">
        <is>
          <t>Both</t>
        </is>
      </c>
      <c r="J217" s="29" t="n"/>
      <c r="K217" s="31" t="inlineStr">
        <is>
          <t>Not Run</t>
        </is>
      </c>
      <c r="L217" s="32" t="n"/>
      <c r="M217" s="33" t="n"/>
      <c r="N217" s="32" t="n"/>
      <c r="O217" s="32" t="n"/>
      <c r="P217" s="32" t="n"/>
      <c r="Q217" s="32" t="n"/>
    </row>
    <row r="218" ht="30" customHeight="1">
      <c r="A218" s="27" t="inlineStr">
        <is>
          <t>REC-019</t>
        </is>
      </c>
      <c r="B218" s="28" t="inlineStr">
        <is>
          <t>11 Health records &amp; documents</t>
        </is>
      </c>
      <c r="C218" s="28" t="inlineStr">
        <is>
          <t>Permissions</t>
        </is>
      </c>
      <c r="D218" s="28" t="inlineStr">
        <is>
          <t>Camera / photo permission denied</t>
        </is>
      </c>
      <c r="E218" s="28" t="inlineStr">
        <is>
          <t>1. Deny the permission when asked
2. Try again</t>
        </is>
      </c>
      <c r="F218" s="28" t="inlineStr">
        <is>
          <t>Friendly explanation with a route to Settings; no crash.</t>
        </is>
      </c>
      <c r="G218" s="29" t="inlineStr">
        <is>
          <t>P1</t>
        </is>
      </c>
      <c r="H218" s="29" t="inlineStr">
        <is>
          <t>Negative</t>
        </is>
      </c>
      <c r="I218" s="29" t="inlineStr">
        <is>
          <t>Both</t>
        </is>
      </c>
      <c r="J218" s="29" t="n"/>
      <c r="K218" s="31" t="inlineStr">
        <is>
          <t>Not Run</t>
        </is>
      </c>
      <c r="L218" s="32" t="n"/>
      <c r="M218" s="33" t="n"/>
      <c r="N218" s="32" t="n"/>
      <c r="O218" s="32" t="n"/>
      <c r="P218" s="32" t="n"/>
      <c r="Q218" s="32" t="n"/>
    </row>
    <row r="219" ht="30" customHeight="1">
      <c r="A219" s="27" t="inlineStr">
        <is>
          <t>REC-020</t>
        </is>
      </c>
      <c r="B219" s="28" t="inlineStr">
        <is>
          <t>11 Health records &amp; documents</t>
        </is>
      </c>
      <c r="C219" s="28" t="inlineStr">
        <is>
          <t>Offline</t>
        </is>
      </c>
      <c r="D219" s="28" t="inlineStr">
        <is>
          <t>Records offline</t>
        </is>
      </c>
      <c r="E219" s="28" t="inlineStr">
        <is>
          <t>Open Records in airplane mode</t>
        </is>
      </c>
      <c r="F219" s="28" t="inlineStr">
        <is>
          <t>'You are offline — showing your saved records'; upload is blocked clearly.</t>
        </is>
      </c>
      <c r="G219" s="29" t="inlineStr">
        <is>
          <t>P1</t>
        </is>
      </c>
      <c r="H219" s="29" t="inlineStr">
        <is>
          <t>Offline</t>
        </is>
      </c>
      <c r="I219" s="29" t="inlineStr">
        <is>
          <t>Both</t>
        </is>
      </c>
      <c r="J219" s="29" t="n"/>
      <c r="K219" s="31" t="inlineStr">
        <is>
          <t>Not Run</t>
        </is>
      </c>
      <c r="L219" s="32" t="n"/>
      <c r="M219" s="33" t="n"/>
      <c r="N219" s="32" t="n"/>
      <c r="O219" s="32" t="n"/>
      <c r="P219" s="32" t="n"/>
      <c r="Q219" s="32" t="n"/>
    </row>
    <row r="220" ht="30" customHeight="1">
      <c r="A220" s="27" t="inlineStr">
        <is>
          <t>NOTIF-001</t>
        </is>
      </c>
      <c r="B220" s="28" t="inlineStr">
        <is>
          <t>12 Notifications &amp; push</t>
        </is>
      </c>
      <c r="C220" s="28" t="inlineStr">
        <is>
          <t>Inbox</t>
        </is>
      </c>
      <c r="D220" s="28" t="inlineStr">
        <is>
          <t>Notification list</t>
        </is>
      </c>
      <c r="E220" s="28" t="inlineStr">
        <is>
          <t>Open Notifications</t>
        </is>
      </c>
      <c r="F220" s="28" t="inlineStr">
        <is>
          <t>Notifications show newest first with kind, title and time; unread ones are distinct; pagination works.</t>
        </is>
      </c>
      <c r="G220" s="29" t="inlineStr">
        <is>
          <t>P1</t>
        </is>
      </c>
      <c r="H220" s="29" t="inlineStr">
        <is>
          <t>Functional</t>
        </is>
      </c>
      <c r="I220" s="29" t="inlineStr">
        <is>
          <t>Both</t>
        </is>
      </c>
      <c r="J220" s="29" t="n"/>
      <c r="K220" s="31" t="inlineStr">
        <is>
          <t>Not Run</t>
        </is>
      </c>
      <c r="L220" s="32" t="n"/>
      <c r="M220" s="33" t="n"/>
      <c r="N220" s="32" t="n"/>
      <c r="O220" s="32" t="n"/>
      <c r="P220" s="32" t="n"/>
      <c r="Q220" s="32" t="n"/>
    </row>
    <row r="221" ht="17" customHeight="1">
      <c r="A221" s="27" t="inlineStr">
        <is>
          <t>NOTIF-002</t>
        </is>
      </c>
      <c r="B221" s="28" t="inlineStr">
        <is>
          <t>12 Notifications &amp; push</t>
        </is>
      </c>
      <c r="C221" s="28" t="inlineStr">
        <is>
          <t>Inbox</t>
        </is>
      </c>
      <c r="D221" s="28" t="inlineStr">
        <is>
          <t>Empty state</t>
        </is>
      </c>
      <c r="E221" s="28" t="inlineStr">
        <is>
          <t>Open on a new account</t>
        </is>
      </c>
      <c r="F221" s="28" t="inlineStr">
        <is>
          <t>Friendly empty state.</t>
        </is>
      </c>
      <c r="G221" s="29" t="inlineStr">
        <is>
          <t>P3</t>
        </is>
      </c>
      <c r="H221" s="29" t="inlineStr">
        <is>
          <t>Functional</t>
        </is>
      </c>
      <c r="I221" s="29" t="inlineStr">
        <is>
          <t>Both</t>
        </is>
      </c>
      <c r="J221" s="29" t="n"/>
      <c r="K221" s="31" t="inlineStr">
        <is>
          <t>Not Run</t>
        </is>
      </c>
      <c r="L221" s="32" t="n"/>
      <c r="M221" s="33" t="n"/>
      <c r="N221" s="32" t="n"/>
      <c r="O221" s="32" t="n"/>
      <c r="P221" s="32" t="n"/>
      <c r="Q221" s="32" t="n"/>
    </row>
    <row r="222" ht="43" customHeight="1">
      <c r="A222" s="27" t="inlineStr">
        <is>
          <t>NOTIF-003</t>
        </is>
      </c>
      <c r="B222" s="28" t="inlineStr">
        <is>
          <t>12 Notifications &amp; push</t>
        </is>
      </c>
      <c r="C222" s="28" t="inlineStr">
        <is>
          <t>Inbox</t>
        </is>
      </c>
      <c r="D222" s="28" t="inlineStr">
        <is>
          <t>Read / unread / read all</t>
        </is>
      </c>
      <c r="E222" s="28" t="inlineStr">
        <is>
          <t>1. Open one notification
2. Mark another unread
3. Mark all read</t>
        </is>
      </c>
      <c r="F222" s="28" t="inlineStr">
        <is>
          <t>States change and the bell badge follows.</t>
        </is>
      </c>
      <c r="G222" s="29" t="inlineStr">
        <is>
          <t>P1</t>
        </is>
      </c>
      <c r="H222" s="29" t="inlineStr">
        <is>
          <t>Functional</t>
        </is>
      </c>
      <c r="I222" s="29" t="inlineStr">
        <is>
          <t>Both</t>
        </is>
      </c>
      <c r="J222" s="29" t="n"/>
      <c r="K222" s="31" t="inlineStr">
        <is>
          <t>Not Run</t>
        </is>
      </c>
      <c r="L222" s="32" t="n"/>
      <c r="M222" s="33" t="n"/>
      <c r="N222" s="32" t="n"/>
      <c r="O222" s="32" t="n"/>
      <c r="P222" s="32" t="n"/>
      <c r="Q222" s="32" t="n"/>
    </row>
    <row r="223" ht="30" customHeight="1">
      <c r="A223" s="27" t="inlineStr">
        <is>
          <t>NOTIF-004</t>
        </is>
      </c>
      <c r="B223" s="28" t="inlineStr">
        <is>
          <t>12 Notifications &amp; push</t>
        </is>
      </c>
      <c r="C223" s="28" t="inlineStr">
        <is>
          <t>Inbox</t>
        </is>
      </c>
      <c r="D223" s="28" t="inlineStr">
        <is>
          <t>Tapping opens the right screen</t>
        </is>
      </c>
      <c r="E223" s="28" t="inlineStr">
        <is>
          <t>Tap a confirmation, reminder, cancellation, payment, queue and data-export notification</t>
        </is>
      </c>
      <c r="F223" s="28" t="inlineStr">
        <is>
          <t>Each opens its target (appointment, receipt, queue, Download my data).</t>
        </is>
      </c>
      <c r="G223" s="29" t="inlineStr">
        <is>
          <t>P1</t>
        </is>
      </c>
      <c r="H223" s="29" t="inlineStr">
        <is>
          <t>Functional</t>
        </is>
      </c>
      <c r="I223" s="29" t="inlineStr">
        <is>
          <t>Both</t>
        </is>
      </c>
      <c r="J223" s="29" t="n"/>
      <c r="K223" s="31" t="inlineStr">
        <is>
          <t>Not Run</t>
        </is>
      </c>
      <c r="L223" s="32" t="n"/>
      <c r="M223" s="33" t="n"/>
      <c r="N223" s="32" t="n"/>
      <c r="O223" s="32" t="n"/>
      <c r="P223" s="32" t="n"/>
      <c r="Q223" s="32" t="n"/>
    </row>
    <row r="224" ht="17" customHeight="1">
      <c r="A224" s="27" t="inlineStr">
        <is>
          <t>NOTIF-005</t>
        </is>
      </c>
      <c r="B224" s="28" t="inlineStr">
        <is>
          <t>12 Notifications &amp; push</t>
        </is>
      </c>
      <c r="C224" s="28" t="inlineStr">
        <is>
          <t>Inbox</t>
        </is>
      </c>
      <c r="D224" s="28" t="inlineStr">
        <is>
          <t>Target no longer exists</t>
        </is>
      </c>
      <c r="E224" s="28" t="inlineStr">
        <is>
          <t>Tap a notification for a deleted item</t>
        </is>
      </c>
      <c r="F224" s="28" t="inlineStr">
        <is>
          <t>Not-found view; no crash.</t>
        </is>
      </c>
      <c r="G224" s="29" t="inlineStr">
        <is>
          <t>P2</t>
        </is>
      </c>
      <c r="H224" s="29" t="inlineStr">
        <is>
          <t>Negative</t>
        </is>
      </c>
      <c r="I224" s="29" t="inlineStr">
        <is>
          <t>Both</t>
        </is>
      </c>
      <c r="J224" s="29" t="n"/>
      <c r="K224" s="31" t="inlineStr">
        <is>
          <t>Not Run</t>
        </is>
      </c>
      <c r="L224" s="32" t="n"/>
      <c r="M224" s="33" t="n"/>
      <c r="N224" s="32" t="n"/>
      <c r="O224" s="32" t="n"/>
      <c r="P224" s="32" t="n"/>
      <c r="Q224" s="32" t="n"/>
    </row>
    <row r="225" ht="17" customHeight="1">
      <c r="A225" s="27" t="inlineStr">
        <is>
          <t>NOTIF-006</t>
        </is>
      </c>
      <c r="B225" s="28" t="inlineStr">
        <is>
          <t>12 Notifications &amp; push</t>
        </is>
      </c>
      <c r="C225" s="28" t="inlineStr">
        <is>
          <t>Realtime</t>
        </is>
      </c>
      <c r="D225" s="28" t="inlineStr">
        <is>
          <t>Inbox updates live</t>
        </is>
      </c>
      <c r="E225" s="28" t="inlineStr">
        <is>
          <t>With the app open, trigger a notification from the backend</t>
        </is>
      </c>
      <c r="F225" s="28" t="inlineStr">
        <is>
          <t>Badge and list update without a manual refresh.</t>
        </is>
      </c>
      <c r="G225" s="29" t="inlineStr">
        <is>
          <t>P1</t>
        </is>
      </c>
      <c r="H225" s="29" t="inlineStr">
        <is>
          <t>Functional</t>
        </is>
      </c>
      <c r="I225" s="29" t="inlineStr">
        <is>
          <t>Both</t>
        </is>
      </c>
      <c r="J225" s="29" t="n"/>
      <c r="K225" s="31" t="inlineStr">
        <is>
          <t>Not Run</t>
        </is>
      </c>
      <c r="L225" s="32" t="n"/>
      <c r="M225" s="33" t="n"/>
      <c r="N225" s="32" t="n"/>
      <c r="O225" s="32" t="n"/>
      <c r="P225" s="32" t="n"/>
      <c r="Q225" s="32" t="n"/>
    </row>
    <row r="226" ht="30" customHeight="1">
      <c r="A226" s="27" t="inlineStr">
        <is>
          <t>NOTIF-007</t>
        </is>
      </c>
      <c r="B226" s="28" t="inlineStr">
        <is>
          <t>12 Notifications &amp; push</t>
        </is>
      </c>
      <c r="C226" s="28" t="inlineStr">
        <is>
          <t>Push</t>
        </is>
      </c>
      <c r="D226" s="28" t="inlineStr">
        <is>
          <t>Permission prompt</t>
        </is>
      </c>
      <c r="E226" s="28" t="inlineStr">
        <is>
          <t>1. Fresh install on Android 13+ and iOS
2. Reach the point where push is requested</t>
        </is>
      </c>
      <c r="F226" s="28" t="inlineStr">
        <is>
          <t>System prompt appears once, with context; denying does not break the app.</t>
        </is>
      </c>
      <c r="G226" s="29" t="inlineStr">
        <is>
          <t>P1</t>
        </is>
      </c>
      <c r="H226" s="29" t="inlineStr">
        <is>
          <t>Functional</t>
        </is>
      </c>
      <c r="I226" s="29" t="inlineStr">
        <is>
          <t>Both</t>
        </is>
      </c>
      <c r="J226" s="29" t="inlineStr">
        <is>
          <t>KB-04</t>
        </is>
      </c>
      <c r="K226" s="31" t="inlineStr">
        <is>
          <t>Not Run</t>
        </is>
      </c>
      <c r="L226" s="32" t="n"/>
      <c r="M226" s="33" t="n"/>
      <c r="N226" s="32" t="n"/>
      <c r="O226" s="32" t="n"/>
      <c r="P226" s="32" t="n"/>
      <c r="Q226" s="32" t="n"/>
    </row>
    <row r="227" ht="30" customHeight="1">
      <c r="A227" s="27" t="inlineStr">
        <is>
          <t>NOTIF-008</t>
        </is>
      </c>
      <c r="B227" s="28" t="inlineStr">
        <is>
          <t>12 Notifications &amp; push</t>
        </is>
      </c>
      <c r="C227" s="28" t="inlineStr">
        <is>
          <t>Push</t>
        </is>
      </c>
      <c r="D227" s="28" t="inlineStr">
        <is>
          <t>Device registered after sign-in</t>
        </is>
      </c>
      <c r="E227" s="28" t="inlineStr">
        <is>
          <t>1. Sign in
2. Check POST /patient/me/devices in the proxy</t>
        </is>
      </c>
      <c r="F227" s="28" t="inlineStr">
        <is>
          <t>Device is registered with platform, token and app version.</t>
        </is>
      </c>
      <c r="G227" s="29" t="inlineStr">
        <is>
          <t>P0</t>
        </is>
      </c>
      <c r="H227" s="29" t="inlineStr">
        <is>
          <t>Functional</t>
        </is>
      </c>
      <c r="I227" s="29" t="inlineStr">
        <is>
          <t>Both</t>
        </is>
      </c>
      <c r="J227" s="29" t="inlineStr">
        <is>
          <t>KB-04</t>
        </is>
      </c>
      <c r="K227" s="31" t="inlineStr">
        <is>
          <t>Not Run</t>
        </is>
      </c>
      <c r="L227" s="32" t="n"/>
      <c r="M227" s="33" t="n"/>
      <c r="N227" s="32" t="n"/>
      <c r="O227" s="32" t="n"/>
      <c r="P227" s="32" t="n"/>
      <c r="Q227" s="32" t="n"/>
    </row>
    <row r="228" ht="30" customHeight="1">
      <c r="A228" s="27" t="inlineStr">
        <is>
          <t>NOTIF-009</t>
        </is>
      </c>
      <c r="B228" s="28" t="inlineStr">
        <is>
          <t>12 Notifications &amp; push</t>
        </is>
      </c>
      <c r="C228" s="28" t="inlineStr">
        <is>
          <t>Push</t>
        </is>
      </c>
      <c r="D228" s="28" t="inlineStr">
        <is>
          <t>Push received in foreground, background and killed states</t>
        </is>
      </c>
      <c r="E228" s="28" t="inlineStr">
        <is>
          <t>Trigger a push in each state</t>
        </is>
      </c>
      <c r="F228" s="28" t="inlineStr">
        <is>
          <t>Notification is shown in all three states.</t>
        </is>
      </c>
      <c r="G228" s="29" t="inlineStr">
        <is>
          <t>P0</t>
        </is>
      </c>
      <c r="H228" s="29" t="inlineStr">
        <is>
          <t>Functional</t>
        </is>
      </c>
      <c r="I228" s="29" t="inlineStr">
        <is>
          <t>Both</t>
        </is>
      </c>
      <c r="J228" s="29" t="inlineStr">
        <is>
          <t>KB-04</t>
        </is>
      </c>
      <c r="K228" s="31" t="inlineStr">
        <is>
          <t>Not Run</t>
        </is>
      </c>
      <c r="L228" s="32" t="n"/>
      <c r="M228" s="33" t="n"/>
      <c r="N228" s="32" t="n"/>
      <c r="O228" s="32" t="n"/>
      <c r="P228" s="32" t="n"/>
      <c r="Q228" s="32" t="n"/>
    </row>
    <row r="229" ht="17" customHeight="1">
      <c r="A229" s="27" t="inlineStr">
        <is>
          <t>NOTIF-010</t>
        </is>
      </c>
      <c r="B229" s="28" t="inlineStr">
        <is>
          <t>12 Notifications &amp; push</t>
        </is>
      </c>
      <c r="C229" s="28" t="inlineStr">
        <is>
          <t>Push</t>
        </is>
      </c>
      <c r="D229" s="28" t="inlineStr">
        <is>
          <t>Tapping a push opens the target</t>
        </is>
      </c>
      <c r="E229" s="28" t="inlineStr">
        <is>
          <t>Tap a push from background and from killed state</t>
        </is>
      </c>
      <c r="F229" s="28" t="inlineStr">
        <is>
          <t>App opens on the related screen (after sign-in if needed).</t>
        </is>
      </c>
      <c r="G229" s="29" t="inlineStr">
        <is>
          <t>P0</t>
        </is>
      </c>
      <c r="H229" s="29" t="inlineStr">
        <is>
          <t>Functional</t>
        </is>
      </c>
      <c r="I229" s="29" t="inlineStr">
        <is>
          <t>Both</t>
        </is>
      </c>
      <c r="J229" s="29" t="inlineStr">
        <is>
          <t>KB-04</t>
        </is>
      </c>
      <c r="K229" s="31" t="inlineStr">
        <is>
          <t>Not Run</t>
        </is>
      </c>
      <c r="L229" s="32" t="n"/>
      <c r="M229" s="33" t="n"/>
      <c r="N229" s="32" t="n"/>
      <c r="O229" s="32" t="n"/>
      <c r="P229" s="32" t="n"/>
      <c r="Q229" s="32" t="n"/>
    </row>
    <row r="230" ht="30" customHeight="1">
      <c r="A230" s="27" t="inlineStr">
        <is>
          <t>NOTIF-011</t>
        </is>
      </c>
      <c r="B230" s="28" t="inlineStr">
        <is>
          <t>12 Notifications &amp; push</t>
        </is>
      </c>
      <c r="C230" s="28" t="inlineStr">
        <is>
          <t>Push</t>
        </is>
      </c>
      <c r="D230" s="28" t="inlineStr">
        <is>
          <t>No push after logout</t>
        </is>
      </c>
      <c r="E230" s="28" t="inlineStr">
        <is>
          <t>1. Log out
2. Trigger a push for that user</t>
        </is>
      </c>
      <c r="F230" s="28" t="inlineStr">
        <is>
          <t>Nothing is delivered to the device.</t>
        </is>
      </c>
      <c r="G230" s="29" t="inlineStr">
        <is>
          <t>P0</t>
        </is>
      </c>
      <c r="H230" s="29" t="inlineStr">
        <is>
          <t>Security</t>
        </is>
      </c>
      <c r="I230" s="29" t="inlineStr">
        <is>
          <t>Both</t>
        </is>
      </c>
      <c r="J230" s="29" t="inlineStr">
        <is>
          <t>KB-04</t>
        </is>
      </c>
      <c r="K230" s="31" t="inlineStr">
        <is>
          <t>Not Run</t>
        </is>
      </c>
      <c r="L230" s="32" t="n"/>
      <c r="M230" s="33" t="n"/>
      <c r="N230" s="32" t="n"/>
      <c r="O230" s="32" t="n"/>
      <c r="P230" s="32" t="n"/>
      <c r="Q230" s="32" t="n"/>
    </row>
    <row r="231" ht="30" customHeight="1">
      <c r="A231" s="27" t="inlineStr">
        <is>
          <t>NOTIF-012</t>
        </is>
      </c>
      <c r="B231" s="28" t="inlineStr">
        <is>
          <t>12 Notifications &amp; push</t>
        </is>
      </c>
      <c r="C231" s="28" t="inlineStr">
        <is>
          <t>Push</t>
        </is>
      </c>
      <c r="D231" s="28" t="inlineStr">
        <is>
          <t>Appointment reminders</t>
        </is>
      </c>
      <c r="E231" s="28" t="inlineStr">
        <is>
          <t>Book appointments at suitable lead times</t>
        </is>
      </c>
      <c r="F231" s="28" t="inlineStr">
        <is>
          <t>Reminders arrive at the documented times (1 week, 48 h, 24 h, 2 h) and not between 21:00 and 08:00 hospital time.</t>
        </is>
      </c>
      <c r="G231" s="29" t="inlineStr">
        <is>
          <t>P2</t>
        </is>
      </c>
      <c r="H231" s="29" t="inlineStr">
        <is>
          <t>Functional</t>
        </is>
      </c>
      <c r="I231" s="29" t="inlineStr">
        <is>
          <t>Both</t>
        </is>
      </c>
      <c r="J231" s="29" t="inlineStr">
        <is>
          <t>KB-04</t>
        </is>
      </c>
      <c r="K231" s="31" t="inlineStr">
        <is>
          <t>Not Run</t>
        </is>
      </c>
      <c r="L231" s="32" t="n"/>
      <c r="M231" s="33" t="n"/>
      <c r="N231" s="32" t="n"/>
      <c r="O231" s="32" t="n"/>
      <c r="P231" s="32" t="n"/>
      <c r="Q231" s="32" t="n"/>
    </row>
    <row r="232" ht="30" customHeight="1">
      <c r="A232" s="27" t="inlineStr">
        <is>
          <t>PROF-001</t>
        </is>
      </c>
      <c r="B232" s="28" t="inlineStr">
        <is>
          <t>13 Profile &amp; account</t>
        </is>
      </c>
      <c r="C232" s="28" t="inlineStr">
        <is>
          <t>Profile</t>
        </is>
      </c>
      <c r="D232" s="28" t="inlineStr">
        <is>
          <t>Profile overview</t>
        </is>
      </c>
      <c r="E232" s="28" t="inlineStr">
        <is>
          <t>Open the Profile tab</t>
        </is>
      </c>
      <c r="F232" s="28" t="inlineStr">
        <is>
          <t>Name, phone, email (or 'No email on file') and all menu entries are shown.</t>
        </is>
      </c>
      <c r="G232" s="29" t="inlineStr">
        <is>
          <t>P1</t>
        </is>
      </c>
      <c r="H232" s="29" t="inlineStr">
        <is>
          <t>Functional</t>
        </is>
      </c>
      <c r="I232" s="29" t="inlineStr">
        <is>
          <t>Both</t>
        </is>
      </c>
      <c r="J232" s="29" t="n"/>
      <c r="K232" s="31" t="inlineStr">
        <is>
          <t>Not Run</t>
        </is>
      </c>
      <c r="L232" s="32" t="n"/>
      <c r="M232" s="33" t="n"/>
      <c r="N232" s="32" t="n"/>
      <c r="O232" s="32" t="n"/>
      <c r="P232" s="32" t="n"/>
      <c r="Q232" s="32" t="n"/>
    </row>
    <row r="233" ht="30" customHeight="1">
      <c r="A233" s="27" t="inlineStr">
        <is>
          <t>PROF-002</t>
        </is>
      </c>
      <c r="B233" s="28" t="inlineStr">
        <is>
          <t>13 Profile &amp; account</t>
        </is>
      </c>
      <c r="C233" s="28" t="inlineStr">
        <is>
          <t>Edit</t>
        </is>
      </c>
      <c r="D233" s="28" t="inlineStr">
        <is>
          <t>Edit personal information</t>
        </is>
      </c>
      <c r="E233" s="28" t="inlineStr">
        <is>
          <t>1. Change name, email, gender, blood group
2. Save</t>
        </is>
      </c>
      <c r="F233" s="28" t="inlineStr">
        <is>
          <t>Saved; values persist after relaunch and appear on Home.</t>
        </is>
      </c>
      <c r="G233" s="29" t="inlineStr">
        <is>
          <t>P0</t>
        </is>
      </c>
      <c r="H233" s="29" t="inlineStr">
        <is>
          <t>Functional</t>
        </is>
      </c>
      <c r="I233" s="29" t="inlineStr">
        <is>
          <t>Both</t>
        </is>
      </c>
      <c r="J233" s="29" t="n"/>
      <c r="K233" s="31" t="inlineStr">
        <is>
          <t>Not Run</t>
        </is>
      </c>
      <c r="L233" s="32" t="n"/>
      <c r="M233" s="33" t="n"/>
      <c r="N233" s="32" t="n"/>
      <c r="O233" s="32" t="n"/>
      <c r="P233" s="32" t="n"/>
      <c r="Q233" s="32" t="n"/>
    </row>
    <row r="234" ht="30" customHeight="1">
      <c r="A234" s="27" t="inlineStr">
        <is>
          <t>PROF-003</t>
        </is>
      </c>
      <c r="B234" s="28" t="inlineStr">
        <is>
          <t>13 Profile &amp; account</t>
        </is>
      </c>
      <c r="C234" s="28" t="inlineStr">
        <is>
          <t>Edit</t>
        </is>
      </c>
      <c r="D234" s="28" t="inlineStr">
        <is>
          <t>Validation</t>
        </is>
      </c>
      <c r="E234" s="28" t="inlineStr">
        <is>
          <t>Enter an invalid email, a 1-character name, digits in the name</t>
        </is>
      </c>
      <c r="F234" s="28" t="inlineStr">
        <is>
          <t>Inline errors; save blocked.</t>
        </is>
      </c>
      <c r="G234" s="29" t="inlineStr">
        <is>
          <t>P1</t>
        </is>
      </c>
      <c r="H234" s="29" t="inlineStr">
        <is>
          <t>Negative</t>
        </is>
      </c>
      <c r="I234" s="29" t="inlineStr">
        <is>
          <t>Both</t>
        </is>
      </c>
      <c r="J234" s="29" t="n"/>
      <c r="K234" s="31" t="inlineStr">
        <is>
          <t>Not Run</t>
        </is>
      </c>
      <c r="L234" s="32" t="n"/>
      <c r="M234" s="33" t="n"/>
      <c r="N234" s="32" t="n"/>
      <c r="O234" s="32" t="n"/>
      <c r="P234" s="32" t="n"/>
      <c r="Q234" s="32" t="n"/>
    </row>
    <row r="235" ht="43" customHeight="1">
      <c r="A235" s="27" t="inlineStr">
        <is>
          <t>PROF-004</t>
        </is>
      </c>
      <c r="B235" s="28" t="inlineStr">
        <is>
          <t>13 Profile &amp; account</t>
        </is>
      </c>
      <c r="C235" s="28" t="inlineStr">
        <is>
          <t>Edit</t>
        </is>
      </c>
      <c r="D235" s="28" t="inlineStr">
        <is>
          <t>Allergies</t>
        </is>
      </c>
      <c r="E235" s="28" t="inlineStr">
        <is>
          <t>1. Add an allergy
2. Try adding an empty one
3. Remove one</t>
        </is>
      </c>
      <c r="F235" s="28" t="inlineStr">
        <is>
          <t>List updates; 'Type an allergy first' for empty input.</t>
        </is>
      </c>
      <c r="G235" s="29" t="inlineStr">
        <is>
          <t>P2</t>
        </is>
      </c>
      <c r="H235" s="29" t="inlineStr">
        <is>
          <t>Functional</t>
        </is>
      </c>
      <c r="I235" s="29" t="inlineStr">
        <is>
          <t>Both</t>
        </is>
      </c>
      <c r="J235" s="29" t="n"/>
      <c r="K235" s="31" t="inlineStr">
        <is>
          <t>Not Run</t>
        </is>
      </c>
      <c r="L235" s="32" t="n"/>
      <c r="M235" s="33" t="n"/>
      <c r="N235" s="32" t="n"/>
      <c r="O235" s="32" t="n"/>
      <c r="P235" s="32" t="n"/>
      <c r="Q235" s="32" t="n"/>
    </row>
    <row r="236" ht="30" customHeight="1">
      <c r="A236" s="27" t="inlineStr">
        <is>
          <t>PROF-005</t>
        </is>
      </c>
      <c r="B236" s="28" t="inlineStr">
        <is>
          <t>13 Profile &amp; account</t>
        </is>
      </c>
      <c r="C236" s="28" t="inlineStr">
        <is>
          <t>Edit</t>
        </is>
      </c>
      <c r="D236" s="28" t="inlineStr">
        <is>
          <t>Unsaved changes guard</t>
        </is>
      </c>
      <c r="E236" s="28" t="inlineStr">
        <is>
          <t>1. Change a field
2. Press Back</t>
        </is>
      </c>
      <c r="F236" s="28" t="inlineStr">
        <is>
          <t>Confirmation before discarding.</t>
        </is>
      </c>
      <c r="G236" s="29" t="inlineStr">
        <is>
          <t>P2</t>
        </is>
      </c>
      <c r="H236" s="29" t="inlineStr">
        <is>
          <t>Functional</t>
        </is>
      </c>
      <c r="I236" s="29" t="inlineStr">
        <is>
          <t>Both</t>
        </is>
      </c>
      <c r="J236" s="29" t="n"/>
      <c r="K236" s="31" t="inlineStr">
        <is>
          <t>Not Run</t>
        </is>
      </c>
      <c r="L236" s="32" t="n"/>
      <c r="M236" s="33" t="n"/>
      <c r="N236" s="32" t="n"/>
      <c r="O236" s="32" t="n"/>
      <c r="P236" s="32" t="n"/>
      <c r="Q236" s="32" t="n"/>
    </row>
    <row r="237" ht="30" customHeight="1">
      <c r="A237" s="27" t="inlineStr">
        <is>
          <t>PROF-006</t>
        </is>
      </c>
      <c r="B237" s="28" t="inlineStr">
        <is>
          <t>13 Profile &amp; account</t>
        </is>
      </c>
      <c r="C237" s="28" t="inlineStr">
        <is>
          <t>Edit</t>
        </is>
      </c>
      <c r="D237" s="28" t="inlineStr">
        <is>
          <t>Edit conflict</t>
        </is>
      </c>
      <c r="E237" s="28" t="inlineStr">
        <is>
          <t>1. Edit the profile on two devices
2. Save on both</t>
        </is>
      </c>
      <c r="F237" s="28" t="inlineStr">
        <is>
          <t>Second save reports the conflict and reloads; no silent overwrite.</t>
        </is>
      </c>
      <c r="G237" s="29" t="inlineStr">
        <is>
          <t>P2</t>
        </is>
      </c>
      <c r="H237" s="29" t="inlineStr">
        <is>
          <t>Negative</t>
        </is>
      </c>
      <c r="I237" s="29" t="inlineStr">
        <is>
          <t>Both</t>
        </is>
      </c>
      <c r="J237" s="29" t="n"/>
      <c r="K237" s="31" t="inlineStr">
        <is>
          <t>Not Run</t>
        </is>
      </c>
      <c r="L237" s="32" t="n"/>
      <c r="M237" s="33" t="n"/>
      <c r="N237" s="32" t="n"/>
      <c r="O237" s="32" t="n"/>
      <c r="P237" s="32" t="n"/>
      <c r="Q237" s="32" t="n"/>
    </row>
    <row r="238" ht="56" customHeight="1">
      <c r="A238" s="27" t="inlineStr">
        <is>
          <t>PROF-007</t>
        </is>
      </c>
      <c r="B238" s="28" t="inlineStr">
        <is>
          <t>13 Profile &amp; account</t>
        </is>
      </c>
      <c r="C238" s="28" t="inlineStr">
        <is>
          <t>Phone</t>
        </is>
      </c>
      <c r="D238" s="28" t="inlineStr">
        <is>
          <t>Change mobile number</t>
        </is>
      </c>
      <c r="E238" s="28" t="inlineStr">
        <is>
          <t>1. Profile &gt; change number
2. Verify the old number's code
3. Enter the new number
4. Verify its code</t>
        </is>
      </c>
      <c r="F238" s="28" t="inlineStr">
        <is>
          <t>Number is updated; sign-in works with the new number and not the old.</t>
        </is>
      </c>
      <c r="G238" s="29" t="inlineStr">
        <is>
          <t>P0</t>
        </is>
      </c>
      <c r="H238" s="29" t="inlineStr">
        <is>
          <t>Functional</t>
        </is>
      </c>
      <c r="I238" s="29" t="inlineStr">
        <is>
          <t>Both</t>
        </is>
      </c>
      <c r="J238" s="29" t="inlineStr">
        <is>
          <t>KB-05</t>
        </is>
      </c>
      <c r="K238" s="31" t="inlineStr">
        <is>
          <t>Not Run</t>
        </is>
      </c>
      <c r="L238" s="32" t="n"/>
      <c r="M238" s="33" t="n"/>
      <c r="N238" s="32" t="n"/>
      <c r="O238" s="32" t="n"/>
      <c r="P238" s="32" t="n"/>
      <c r="Q238" s="32" t="n"/>
    </row>
    <row r="239" ht="17" customHeight="1">
      <c r="A239" s="27" t="inlineStr">
        <is>
          <t>PROF-008</t>
        </is>
      </c>
      <c r="B239" s="28" t="inlineStr">
        <is>
          <t>13 Profile &amp; account</t>
        </is>
      </c>
      <c r="C239" s="28" t="inlineStr">
        <is>
          <t>Phone</t>
        </is>
      </c>
      <c r="D239" s="28" t="inlineStr">
        <is>
          <t>New number already registered</t>
        </is>
      </c>
      <c r="E239" s="28" t="inlineStr">
        <is>
          <t>Use a number belonging to another account</t>
        </is>
      </c>
      <c r="F239" s="28" t="inlineStr">
        <is>
          <t>Clear error; number is not changed.</t>
        </is>
      </c>
      <c r="G239" s="29" t="inlineStr">
        <is>
          <t>P1</t>
        </is>
      </c>
      <c r="H239" s="29" t="inlineStr">
        <is>
          <t>Negative</t>
        </is>
      </c>
      <c r="I239" s="29" t="inlineStr">
        <is>
          <t>Both</t>
        </is>
      </c>
      <c r="J239" s="29" t="inlineStr">
        <is>
          <t>KB-05</t>
        </is>
      </c>
      <c r="K239" s="31" t="inlineStr">
        <is>
          <t>Not Run</t>
        </is>
      </c>
      <c r="L239" s="32" t="n"/>
      <c r="M239" s="33" t="n"/>
      <c r="N239" s="32" t="n"/>
      <c r="O239" s="32" t="n"/>
      <c r="P239" s="32" t="n"/>
      <c r="Q239" s="32" t="n"/>
    </row>
    <row r="240" ht="30" customHeight="1">
      <c r="A240" s="27" t="inlineStr">
        <is>
          <t>PROF-009</t>
        </is>
      </c>
      <c r="B240" s="28" t="inlineStr">
        <is>
          <t>13 Profile &amp; account</t>
        </is>
      </c>
      <c r="C240" s="28" t="inlineStr">
        <is>
          <t>Phone</t>
        </is>
      </c>
      <c r="D240" s="28" t="inlineStr">
        <is>
          <t>Alternate phone</t>
        </is>
      </c>
      <c r="E240" s="28" t="inlineStr">
        <is>
          <t>1. Add an alternate number
2. Remove it</t>
        </is>
      </c>
      <c r="F240" s="28" t="inlineStr">
        <is>
          <t>Both actions succeed and are reflected.</t>
        </is>
      </c>
      <c r="G240" s="29" t="inlineStr">
        <is>
          <t>P3</t>
        </is>
      </c>
      <c r="H240" s="29" t="inlineStr">
        <is>
          <t>Functional</t>
        </is>
      </c>
      <c r="I240" s="29" t="inlineStr">
        <is>
          <t>Both</t>
        </is>
      </c>
      <c r="J240" s="29" t="n"/>
      <c r="K240" s="31" t="inlineStr">
        <is>
          <t>Not Run</t>
        </is>
      </c>
      <c r="L240" s="32" t="n"/>
      <c r="M240" s="33" t="n"/>
      <c r="N240" s="32" t="n"/>
      <c r="O240" s="32" t="n"/>
      <c r="P240" s="32" t="n"/>
      <c r="Q240" s="32" t="n"/>
    </row>
    <row r="241" ht="56" customHeight="1">
      <c r="A241" s="27" t="inlineStr">
        <is>
          <t>PROF-010</t>
        </is>
      </c>
      <c r="B241" s="28" t="inlineStr">
        <is>
          <t>13 Profile &amp; account</t>
        </is>
      </c>
      <c r="C241" s="28" t="inlineStr">
        <is>
          <t>Addresses</t>
        </is>
      </c>
      <c r="D241" s="28" t="inlineStr">
        <is>
          <t>Add, edit, delete and set default address</t>
        </is>
      </c>
      <c r="E241" s="28" t="inlineStr">
        <is>
          <t>1. Add an address
2. Edit it
3. Add a second and make it default
4. Delete one</t>
        </is>
      </c>
      <c r="F241" s="28" t="inlineStr">
        <is>
          <t>All changes persist; exactly one default.</t>
        </is>
      </c>
      <c r="G241" s="29" t="inlineStr">
        <is>
          <t>P1</t>
        </is>
      </c>
      <c r="H241" s="29" t="inlineStr">
        <is>
          <t>Functional</t>
        </is>
      </c>
      <c r="I241" s="29" t="inlineStr">
        <is>
          <t>Both</t>
        </is>
      </c>
      <c r="J241" s="29" t="n"/>
      <c r="K241" s="31" t="inlineStr">
        <is>
          <t>Not Run</t>
        </is>
      </c>
      <c r="L241" s="32" t="n"/>
      <c r="M241" s="33" t="n"/>
      <c r="N241" s="32" t="n"/>
      <c r="O241" s="32" t="n"/>
      <c r="P241" s="32" t="n"/>
      <c r="Q241" s="32" t="n"/>
    </row>
    <row r="242" ht="17" customHeight="1">
      <c r="A242" s="27" t="inlineStr">
        <is>
          <t>PROF-011</t>
        </is>
      </c>
      <c r="B242" s="28" t="inlineStr">
        <is>
          <t>13 Profile &amp; account</t>
        </is>
      </c>
      <c r="C242" s="28" t="inlineStr">
        <is>
          <t>Addresses</t>
        </is>
      </c>
      <c r="D242" s="28" t="inlineStr">
        <is>
          <t>Address validation</t>
        </is>
      </c>
      <c r="E242" s="28" t="inlineStr">
        <is>
          <t>Leave line 1/city/state empty; use a 5-digit PIN</t>
        </is>
      </c>
      <c r="F242" s="28" t="inlineStr">
        <is>
          <t>Inline errors.</t>
        </is>
      </c>
      <c r="G242" s="29" t="inlineStr">
        <is>
          <t>P2</t>
        </is>
      </c>
      <c r="H242" s="29" t="inlineStr">
        <is>
          <t>Negative</t>
        </is>
      </c>
      <c r="I242" s="29" t="inlineStr">
        <is>
          <t>Both</t>
        </is>
      </c>
      <c r="J242" s="29" t="n"/>
      <c r="K242" s="31" t="inlineStr">
        <is>
          <t>Not Run</t>
        </is>
      </c>
      <c r="L242" s="32" t="n"/>
      <c r="M242" s="33" t="n"/>
      <c r="N242" s="32" t="n"/>
      <c r="O242" s="32" t="n"/>
      <c r="P242" s="32" t="n"/>
      <c r="Q242" s="32" t="n"/>
    </row>
    <row r="243" ht="56" customHeight="1">
      <c r="A243" s="27" t="inlineStr">
        <is>
          <t>PROF-012</t>
        </is>
      </c>
      <c r="B243" s="28" t="inlineStr">
        <is>
          <t>13 Profile &amp; account</t>
        </is>
      </c>
      <c r="C243" s="28" t="inlineStr">
        <is>
          <t>Emergency</t>
        </is>
      </c>
      <c r="D243" s="28" t="inlineStr">
        <is>
          <t>Emergency contacts</t>
        </is>
      </c>
      <c r="E243" s="28" t="inlineStr">
        <is>
          <t>1. Add a contact
2. Edit
3. Set primary
4. Delete</t>
        </is>
      </c>
      <c r="F243" s="28" t="inlineStr">
        <is>
          <t>All changes persist; exactly one primary; empty state when none.</t>
        </is>
      </c>
      <c r="G243" s="29" t="inlineStr">
        <is>
          <t>P1</t>
        </is>
      </c>
      <c r="H243" s="29" t="inlineStr">
        <is>
          <t>Functional</t>
        </is>
      </c>
      <c r="I243" s="29" t="inlineStr">
        <is>
          <t>Both</t>
        </is>
      </c>
      <c r="J243" s="29" t="n"/>
      <c r="K243" s="31" t="inlineStr">
        <is>
          <t>Not Run</t>
        </is>
      </c>
      <c r="L243" s="32" t="n"/>
      <c r="M243" s="33" t="n"/>
      <c r="N243" s="32" t="n"/>
      <c r="O243" s="32" t="n"/>
      <c r="P243" s="32" t="n"/>
      <c r="Q243" s="32" t="n"/>
    </row>
    <row r="244" ht="17" customHeight="1">
      <c r="A244" s="27" t="inlineStr">
        <is>
          <t>PROF-013</t>
        </is>
      </c>
      <c r="B244" s="28" t="inlineStr">
        <is>
          <t>13 Profile &amp; account</t>
        </is>
      </c>
      <c r="C244" s="28" t="inlineStr">
        <is>
          <t>Sessions</t>
        </is>
      </c>
      <c r="D244" s="28" t="inlineStr">
        <is>
          <t>Signed-in devices list</t>
        </is>
      </c>
      <c r="E244" s="28" t="inlineStr">
        <is>
          <t>Open Signed-in devices with two active sessions</t>
        </is>
      </c>
      <c r="F244" s="28" t="inlineStr">
        <is>
          <t>Both listed; the current one is marked.</t>
        </is>
      </c>
      <c r="G244" s="29" t="inlineStr">
        <is>
          <t>P1</t>
        </is>
      </c>
      <c r="H244" s="29" t="inlineStr">
        <is>
          <t>Functional</t>
        </is>
      </c>
      <c r="I244" s="29" t="inlineStr">
        <is>
          <t>Both</t>
        </is>
      </c>
      <c r="J244" s="29" t="n"/>
      <c r="K244" s="31" t="inlineStr">
        <is>
          <t>Not Run</t>
        </is>
      </c>
      <c r="L244" s="32" t="n"/>
      <c r="M244" s="33" t="n"/>
      <c r="N244" s="32" t="n"/>
      <c r="O244" s="32" t="n"/>
      <c r="P244" s="32" t="n"/>
      <c r="Q244" s="32" t="n"/>
    </row>
    <row r="245" ht="17" customHeight="1">
      <c r="A245" s="27" t="inlineStr">
        <is>
          <t>PROF-014</t>
        </is>
      </c>
      <c r="B245" s="28" t="inlineStr">
        <is>
          <t>13 Profile &amp; account</t>
        </is>
      </c>
      <c r="C245" s="28" t="inlineStr">
        <is>
          <t>Sessions</t>
        </is>
      </c>
      <c r="D245" s="28" t="inlineStr">
        <is>
          <t>End another session</t>
        </is>
      </c>
      <c r="E245" s="28" t="inlineStr">
        <is>
          <t>End the other device's session</t>
        </is>
      </c>
      <c r="F245" s="28" t="inlineStr">
        <is>
          <t>It disappears from the list and that device is signed out.</t>
        </is>
      </c>
      <c r="G245" s="29" t="inlineStr">
        <is>
          <t>P1</t>
        </is>
      </c>
      <c r="H245" s="29" t="inlineStr">
        <is>
          <t>Security</t>
        </is>
      </c>
      <c r="I245" s="29" t="inlineStr">
        <is>
          <t>Both</t>
        </is>
      </c>
      <c r="J245" s="29" t="n"/>
      <c r="K245" s="31" t="inlineStr">
        <is>
          <t>Not Run</t>
        </is>
      </c>
      <c r="L245" s="32" t="n"/>
      <c r="M245" s="33" t="n"/>
      <c r="N245" s="32" t="n"/>
      <c r="O245" s="32" t="n"/>
      <c r="P245" s="32" t="n"/>
      <c r="Q245" s="32" t="n"/>
    </row>
    <row r="246" ht="17" customHeight="1">
      <c r="A246" s="27" t="inlineStr">
        <is>
          <t>PROF-015</t>
        </is>
      </c>
      <c r="B246" s="28" t="inlineStr">
        <is>
          <t>13 Profile &amp; account</t>
        </is>
      </c>
      <c r="C246" s="28" t="inlineStr">
        <is>
          <t>Sessions</t>
        </is>
      </c>
      <c r="D246" s="28" t="inlineStr">
        <is>
          <t>Log out everywhere</t>
        </is>
      </c>
      <c r="E246" s="28" t="inlineStr">
        <is>
          <t>Use 'log out everywhere'</t>
        </is>
      </c>
      <c r="F246" s="28" t="inlineStr">
        <is>
          <t>All devices, including this one, return to sign-in.</t>
        </is>
      </c>
      <c r="G246" s="29" t="inlineStr">
        <is>
          <t>P1</t>
        </is>
      </c>
      <c r="H246" s="29" t="inlineStr">
        <is>
          <t>Security</t>
        </is>
      </c>
      <c r="I246" s="29" t="inlineStr">
        <is>
          <t>Both</t>
        </is>
      </c>
      <c r="J246" s="29" t="n"/>
      <c r="K246" s="31" t="inlineStr">
        <is>
          <t>Not Run</t>
        </is>
      </c>
      <c r="L246" s="32" t="n"/>
      <c r="M246" s="33" t="n"/>
      <c r="N246" s="32" t="n"/>
      <c r="O246" s="32" t="n"/>
      <c r="P246" s="32" t="n"/>
      <c r="Q246" s="32" t="n"/>
    </row>
    <row r="247" ht="43" customHeight="1">
      <c r="A247" s="27" t="inlineStr">
        <is>
          <t>PROF-016</t>
        </is>
      </c>
      <c r="B247" s="28" t="inlineStr">
        <is>
          <t>13 Profile &amp; account</t>
        </is>
      </c>
      <c r="C247" s="28" t="inlineStr">
        <is>
          <t>Data export</t>
        </is>
      </c>
      <c r="D247" s="28" t="inlineStr">
        <is>
          <t>Request a copy of my data</t>
        </is>
      </c>
      <c r="E247" s="28" t="inlineStr">
        <is>
          <t>1. Profile &gt; Download my data
2. Request
3. Tap request again</t>
        </is>
      </c>
      <c r="F247" s="28" t="inlineStr">
        <is>
          <t>One request is created with a reference and status; a duplicate is not created.</t>
        </is>
      </c>
      <c r="G247" s="29" t="inlineStr">
        <is>
          <t>P1</t>
        </is>
      </c>
      <c r="H247" s="29" t="inlineStr">
        <is>
          <t>Functional</t>
        </is>
      </c>
      <c r="I247" s="29" t="inlineStr">
        <is>
          <t>Both</t>
        </is>
      </c>
      <c r="J247" s="29" t="n"/>
      <c r="K247" s="31" t="inlineStr">
        <is>
          <t>Not Run</t>
        </is>
      </c>
      <c r="L247" s="32" t="n"/>
      <c r="M247" s="33" t="n"/>
      <c r="N247" s="32" t="n"/>
      <c r="O247" s="32" t="n"/>
      <c r="P247" s="32" t="n"/>
      <c r="Q247" s="32" t="n"/>
    </row>
    <row r="248" ht="30" customHeight="1">
      <c r="A248" s="27" t="inlineStr">
        <is>
          <t>PROF-017</t>
        </is>
      </c>
      <c r="B248" s="28" t="inlineStr">
        <is>
          <t>13 Profile &amp; account</t>
        </is>
      </c>
      <c r="C248" s="28" t="inlineStr">
        <is>
          <t>Data export</t>
        </is>
      </c>
      <c r="D248" s="28" t="inlineStr">
        <is>
          <t>Download a completed export</t>
        </is>
      </c>
      <c r="E248" s="28" t="inlineStr">
        <is>
          <t>1. Open a completed request
2. Download</t>
        </is>
      </c>
      <c r="F248" s="28" t="inlineStr">
        <is>
          <t>File downloads; expired link is refreshed.</t>
        </is>
      </c>
      <c r="G248" s="29" t="inlineStr">
        <is>
          <t>P1</t>
        </is>
      </c>
      <c r="H248" s="29" t="inlineStr">
        <is>
          <t>Functional</t>
        </is>
      </c>
      <c r="I248" s="29" t="inlineStr">
        <is>
          <t>Both</t>
        </is>
      </c>
      <c r="J248" s="29" t="inlineStr">
        <is>
          <t>KB-01</t>
        </is>
      </c>
      <c r="K248" s="31" t="inlineStr">
        <is>
          <t>Not Run</t>
        </is>
      </c>
      <c r="L248" s="32" t="n"/>
      <c r="M248" s="33" t="n"/>
      <c r="N248" s="32" t="n"/>
      <c r="O248" s="32" t="n"/>
      <c r="P248" s="32" t="n"/>
      <c r="Q248" s="32" t="n"/>
    </row>
    <row r="249" ht="43" customHeight="1">
      <c r="A249" s="27" t="inlineStr">
        <is>
          <t>PROF-018</t>
        </is>
      </c>
      <c r="B249" s="28" t="inlineStr">
        <is>
          <t>13 Profile &amp; account</t>
        </is>
      </c>
      <c r="C249" s="28" t="inlineStr">
        <is>
          <t>Deletion</t>
        </is>
      </c>
      <c r="D249" s="28" t="inlineStr">
        <is>
          <t>Request account deletion</t>
        </is>
      </c>
      <c r="E249" s="28" t="inlineStr">
        <is>
          <t>1. Profile &gt; Delete account
2. Enter reason
3. Confirm</t>
        </is>
      </c>
      <c r="F249" s="28" t="inlineStr">
        <is>
          <t>Request number and cooling-off end date are shown; account is marked pending deletion; other sessions end.</t>
        </is>
      </c>
      <c r="G249" s="29" t="inlineStr">
        <is>
          <t>P0</t>
        </is>
      </c>
      <c r="H249" s="29" t="inlineStr">
        <is>
          <t>Functional</t>
        </is>
      </c>
      <c r="I249" s="29" t="inlineStr">
        <is>
          <t>Both</t>
        </is>
      </c>
      <c r="J249" s="29" t="n"/>
      <c r="K249" s="31" t="inlineStr">
        <is>
          <t>Not Run</t>
        </is>
      </c>
      <c r="L249" s="32" t="n"/>
      <c r="M249" s="33" t="n"/>
      <c r="N249" s="32" t="n"/>
      <c r="O249" s="32" t="n"/>
      <c r="P249" s="32" t="n"/>
      <c r="Q249" s="32" t="n"/>
    </row>
    <row r="250" ht="17" customHeight="1">
      <c r="A250" s="27" t="inlineStr">
        <is>
          <t>PROF-019</t>
        </is>
      </c>
      <c r="B250" s="28" t="inlineStr">
        <is>
          <t>13 Profile &amp; account</t>
        </is>
      </c>
      <c r="C250" s="28" t="inlineStr">
        <is>
          <t>Deletion</t>
        </is>
      </c>
      <c r="D250" s="28" t="inlineStr">
        <is>
          <t>Reactivate / withdraw</t>
        </is>
      </c>
      <c r="E250" s="28" t="inlineStr">
        <is>
          <t>Tap Reactivate (or sign in again during cooling-off)</t>
        </is>
      </c>
      <c r="F250" s="28" t="inlineStr">
        <is>
          <t>Account returns to active; request shows as withdrawn.</t>
        </is>
      </c>
      <c r="G250" s="29" t="inlineStr">
        <is>
          <t>P0</t>
        </is>
      </c>
      <c r="H250" s="29" t="inlineStr">
        <is>
          <t>Functional</t>
        </is>
      </c>
      <c r="I250" s="29" t="inlineStr">
        <is>
          <t>Both</t>
        </is>
      </c>
      <c r="J250" s="29" t="n"/>
      <c r="K250" s="31" t="inlineStr">
        <is>
          <t>Not Run</t>
        </is>
      </c>
      <c r="L250" s="32" t="n"/>
      <c r="M250" s="33" t="n"/>
      <c r="N250" s="32" t="n"/>
      <c r="O250" s="32" t="n"/>
      <c r="P250" s="32" t="n"/>
      <c r="Q250" s="32" t="n"/>
    </row>
    <row r="251" ht="17" customHeight="1">
      <c r="A251" s="27" t="inlineStr">
        <is>
          <t>PROF-020</t>
        </is>
      </c>
      <c r="B251" s="28" t="inlineStr">
        <is>
          <t>13 Profile &amp; account</t>
        </is>
      </c>
      <c r="C251" s="28" t="inlineStr">
        <is>
          <t>Deletion</t>
        </is>
      </c>
      <c r="D251" s="28" t="inlineStr">
        <is>
          <t>Duplicate deletion request</t>
        </is>
      </c>
      <c r="E251" s="28" t="inlineStr">
        <is>
          <t>Request deletion twice</t>
        </is>
      </c>
      <c r="F251" s="28" t="inlineStr">
        <is>
          <t>Second attempt is handled gracefully (already requested).</t>
        </is>
      </c>
      <c r="G251" s="29" t="inlineStr">
        <is>
          <t>P2</t>
        </is>
      </c>
      <c r="H251" s="29" t="inlineStr">
        <is>
          <t>Negative</t>
        </is>
      </c>
      <c r="I251" s="29" t="inlineStr">
        <is>
          <t>Both</t>
        </is>
      </c>
      <c r="J251" s="29" t="n"/>
      <c r="K251" s="31" t="inlineStr">
        <is>
          <t>Not Run</t>
        </is>
      </c>
      <c r="L251" s="32" t="n"/>
      <c r="M251" s="33" t="n"/>
      <c r="N251" s="32" t="n"/>
      <c r="O251" s="32" t="n"/>
      <c r="P251" s="32" t="n"/>
      <c r="Q251" s="32" t="n"/>
    </row>
    <row r="252" ht="17" customHeight="1">
      <c r="A252" s="27" t="inlineStr">
        <is>
          <t>PROF-021</t>
        </is>
      </c>
      <c r="B252" s="28" t="inlineStr">
        <is>
          <t>13 Profile &amp; account</t>
        </is>
      </c>
      <c r="C252" s="28" t="inlineStr">
        <is>
          <t>Legal</t>
        </is>
      </c>
      <c r="D252" s="28" t="inlineStr">
        <is>
          <t>Policies from Profile</t>
        </is>
      </c>
      <c r="E252" s="28" t="inlineStr">
        <is>
          <t>Open Terms, Privacy and Community Guidelines</t>
        </is>
      </c>
      <c r="F252" s="28" t="inlineStr">
        <is>
          <t>Each loads its document.</t>
        </is>
      </c>
      <c r="G252" s="29" t="inlineStr">
        <is>
          <t>P2</t>
        </is>
      </c>
      <c r="H252" s="29" t="inlineStr">
        <is>
          <t>Functional</t>
        </is>
      </c>
      <c r="I252" s="29" t="inlineStr">
        <is>
          <t>Both</t>
        </is>
      </c>
      <c r="J252" s="29" t="n"/>
      <c r="K252" s="31" t="inlineStr">
        <is>
          <t>Not Run</t>
        </is>
      </c>
      <c r="L252" s="32" t="n"/>
      <c r="M252" s="33" t="n"/>
      <c r="N252" s="32" t="n"/>
      <c r="O252" s="32" t="n"/>
      <c r="P252" s="32" t="n"/>
      <c r="Q252" s="32" t="n"/>
    </row>
    <row r="253" ht="17" customHeight="1">
      <c r="A253" s="27" t="inlineStr">
        <is>
          <t>PROF-022</t>
        </is>
      </c>
      <c r="B253" s="28" t="inlineStr">
        <is>
          <t>13 Profile &amp; account</t>
        </is>
      </c>
      <c r="C253" s="28" t="inlineStr">
        <is>
          <t>Marketing</t>
        </is>
      </c>
      <c r="D253" s="28" t="inlineStr">
        <is>
          <t>Marketing preference</t>
        </is>
      </c>
      <c r="E253" s="28" t="inlineStr">
        <is>
          <t>Toggle the offers/marketing preference (if exposed)</t>
        </is>
      </c>
      <c r="F253" s="28" t="inlineStr">
        <is>
          <t>Preference is saved on the account.</t>
        </is>
      </c>
      <c r="G253" s="29" t="inlineStr">
        <is>
          <t>P3</t>
        </is>
      </c>
      <c r="H253" s="29" t="inlineStr">
        <is>
          <t>Functional</t>
        </is>
      </c>
      <c r="I253" s="29" t="inlineStr">
        <is>
          <t>Both</t>
        </is>
      </c>
      <c r="J253" s="29" t="n"/>
      <c r="K253" s="31" t="inlineStr">
        <is>
          <t>Not Run</t>
        </is>
      </c>
      <c r="L253" s="32" t="n"/>
      <c r="M253" s="33" t="n"/>
      <c r="N253" s="32" t="n"/>
      <c r="O253" s="32" t="n"/>
      <c r="P253" s="32" t="n"/>
      <c r="Q253" s="32" t="n"/>
    </row>
    <row r="254" ht="30" customHeight="1">
      <c r="A254" s="27" t="inlineStr">
        <is>
          <t>DEP-001</t>
        </is>
      </c>
      <c r="B254" s="28" t="inlineStr">
        <is>
          <t>14 Family members (dependants)</t>
        </is>
      </c>
      <c r="C254" s="28" t="inlineStr">
        <is>
          <t>List</t>
        </is>
      </c>
      <c r="D254" s="28" t="inlineStr">
        <is>
          <t>Family list</t>
        </is>
      </c>
      <c r="E254" s="28" t="inlineStr">
        <is>
          <t>Open Family members</t>
        </is>
      </c>
      <c r="F254" s="28" t="inlineStr">
        <is>
          <t>Account holder is first and marked as you; others follow with relation.</t>
        </is>
      </c>
      <c r="G254" s="29" t="inlineStr">
        <is>
          <t>P1</t>
        </is>
      </c>
      <c r="H254" s="29" t="inlineStr">
        <is>
          <t>Functional</t>
        </is>
      </c>
      <c r="I254" s="29" t="inlineStr">
        <is>
          <t>Both</t>
        </is>
      </c>
      <c r="J254" s="29" t="n"/>
      <c r="K254" s="31" t="inlineStr">
        <is>
          <t>Not Run</t>
        </is>
      </c>
      <c r="L254" s="32" t="n"/>
      <c r="M254" s="33" t="n"/>
      <c r="N254" s="32" t="n"/>
      <c r="O254" s="32" t="n"/>
      <c r="P254" s="32" t="n"/>
      <c r="Q254" s="32" t="n"/>
    </row>
    <row r="255" ht="30" customHeight="1">
      <c r="A255" s="27" t="inlineStr">
        <is>
          <t>DEP-002</t>
        </is>
      </c>
      <c r="B255" s="28" t="inlineStr">
        <is>
          <t>14 Family members (dependants)</t>
        </is>
      </c>
      <c r="C255" s="28" t="inlineStr">
        <is>
          <t>Add</t>
        </is>
      </c>
      <c r="D255" s="28" t="inlineStr">
        <is>
          <t>Add a family member</t>
        </is>
      </c>
      <c r="E255" s="28" t="inlineStr">
        <is>
          <t>Add with first name and relation, plus optional DOB, gender, blood group, allergies</t>
        </is>
      </c>
      <c r="F255" s="28" t="inlineStr">
        <is>
          <t>Member is saved and appears in the list, in booking and in records.</t>
        </is>
      </c>
      <c r="G255" s="29" t="inlineStr">
        <is>
          <t>P0</t>
        </is>
      </c>
      <c r="H255" s="29" t="inlineStr">
        <is>
          <t>Functional</t>
        </is>
      </c>
      <c r="I255" s="29" t="inlineStr">
        <is>
          <t>Both</t>
        </is>
      </c>
      <c r="J255" s="29" t="n"/>
      <c r="K255" s="31" t="inlineStr">
        <is>
          <t>Not Run</t>
        </is>
      </c>
      <c r="L255" s="32" t="n"/>
      <c r="M255" s="33" t="n"/>
      <c r="N255" s="32" t="n"/>
      <c r="O255" s="32" t="n"/>
      <c r="P255" s="32" t="n"/>
      <c r="Q255" s="32" t="n"/>
    </row>
    <row r="256" ht="30" customHeight="1">
      <c r="A256" s="27" t="inlineStr">
        <is>
          <t>DEP-003</t>
        </is>
      </c>
      <c r="B256" s="28" t="inlineStr">
        <is>
          <t>14 Family members (dependants)</t>
        </is>
      </c>
      <c r="C256" s="28" t="inlineStr">
        <is>
          <t>Add</t>
        </is>
      </c>
      <c r="D256" s="28" t="inlineStr">
        <is>
          <t>Validation</t>
        </is>
      </c>
      <c r="E256" s="28" t="inlineStr">
        <is>
          <t>Save without a name / relation; pick a future date of birth</t>
        </is>
      </c>
      <c r="F256" s="28" t="inlineStr">
        <is>
          <t>Inline errors.</t>
        </is>
      </c>
      <c r="G256" s="29" t="inlineStr">
        <is>
          <t>P1</t>
        </is>
      </c>
      <c r="H256" s="29" t="inlineStr">
        <is>
          <t>Negative</t>
        </is>
      </c>
      <c r="I256" s="29" t="inlineStr">
        <is>
          <t>Both</t>
        </is>
      </c>
      <c r="J256" s="29" t="n"/>
      <c r="K256" s="31" t="inlineStr">
        <is>
          <t>Not Run</t>
        </is>
      </c>
      <c r="L256" s="32" t="n"/>
      <c r="M256" s="33" t="n"/>
      <c r="N256" s="32" t="n"/>
      <c r="O256" s="32" t="n"/>
      <c r="P256" s="32" t="n"/>
      <c r="Q256" s="32" t="n"/>
    </row>
    <row r="257" ht="30" customHeight="1">
      <c r="A257" s="27" t="inlineStr">
        <is>
          <t>DEP-004</t>
        </is>
      </c>
      <c r="B257" s="28" t="inlineStr">
        <is>
          <t>14 Family members (dependants)</t>
        </is>
      </c>
      <c r="C257" s="28" t="inlineStr">
        <is>
          <t>Edit</t>
        </is>
      </c>
      <c r="D257" s="28" t="inlineStr">
        <is>
          <t>Edit a family member</t>
        </is>
      </c>
      <c r="E257" s="28" t="inlineStr">
        <is>
          <t>1. Change details
2. Save</t>
        </is>
      </c>
      <c r="F257" s="28" t="inlineStr">
        <is>
          <t>Saved and reflected everywhere.</t>
        </is>
      </c>
      <c r="G257" s="29" t="inlineStr">
        <is>
          <t>P1</t>
        </is>
      </c>
      <c r="H257" s="29" t="inlineStr">
        <is>
          <t>Functional</t>
        </is>
      </c>
      <c r="I257" s="29" t="inlineStr">
        <is>
          <t>Both</t>
        </is>
      </c>
      <c r="J257" s="29" t="n"/>
      <c r="K257" s="31" t="inlineStr">
        <is>
          <t>Not Run</t>
        </is>
      </c>
      <c r="L257" s="32" t="n"/>
      <c r="M257" s="33" t="n"/>
      <c r="N257" s="32" t="n"/>
      <c r="O257" s="32" t="n"/>
      <c r="P257" s="32" t="n"/>
      <c r="Q257" s="32" t="n"/>
    </row>
    <row r="258" ht="30" customHeight="1">
      <c r="A258" s="27" t="inlineStr">
        <is>
          <t>DEP-005</t>
        </is>
      </c>
      <c r="B258" s="28" t="inlineStr">
        <is>
          <t>14 Family members (dependants)</t>
        </is>
      </c>
      <c r="C258" s="28" t="inlineStr">
        <is>
          <t>Delete</t>
        </is>
      </c>
      <c r="D258" s="28" t="inlineStr">
        <is>
          <t>Delete a family member</t>
        </is>
      </c>
      <c r="E258" s="28" t="inlineStr">
        <is>
          <t>Delete a member with no upcoming bookings</t>
        </is>
      </c>
      <c r="F258" s="28" t="inlineStr">
        <is>
          <t>Removed after confirmation.</t>
        </is>
      </c>
      <c r="G258" s="29" t="inlineStr">
        <is>
          <t>P1</t>
        </is>
      </c>
      <c r="H258" s="29" t="inlineStr">
        <is>
          <t>Functional</t>
        </is>
      </c>
      <c r="I258" s="29" t="inlineStr">
        <is>
          <t>Both</t>
        </is>
      </c>
      <c r="J258" s="29" t="n"/>
      <c r="K258" s="31" t="inlineStr">
        <is>
          <t>Not Run</t>
        </is>
      </c>
      <c r="L258" s="32" t="n"/>
      <c r="M258" s="33" t="n"/>
      <c r="N258" s="32" t="n"/>
      <c r="O258" s="32" t="n"/>
      <c r="P258" s="32" t="n"/>
      <c r="Q258" s="32" t="n"/>
    </row>
    <row r="259" ht="30" customHeight="1">
      <c r="A259" s="27" t="inlineStr">
        <is>
          <t>DEP-006</t>
        </is>
      </c>
      <c r="B259" s="28" t="inlineStr">
        <is>
          <t>14 Family members (dependants)</t>
        </is>
      </c>
      <c r="C259" s="28" t="inlineStr">
        <is>
          <t>Delete</t>
        </is>
      </c>
      <c r="D259" s="28" t="inlineStr">
        <is>
          <t>Cannot delete yourself</t>
        </is>
      </c>
      <c r="E259" s="28" t="inlineStr">
        <is>
          <t>Look for delete on the account holder's own row</t>
        </is>
      </c>
      <c r="F259" s="28" t="inlineStr">
        <is>
          <t>Not offered, or refused with a clear message.</t>
        </is>
      </c>
      <c r="G259" s="29" t="inlineStr">
        <is>
          <t>P1</t>
        </is>
      </c>
      <c r="H259" s="29" t="inlineStr">
        <is>
          <t>Negative</t>
        </is>
      </c>
      <c r="I259" s="29" t="inlineStr">
        <is>
          <t>Both</t>
        </is>
      </c>
      <c r="J259" s="29" t="n"/>
      <c r="K259" s="31" t="inlineStr">
        <is>
          <t>Not Run</t>
        </is>
      </c>
      <c r="L259" s="32" t="n"/>
      <c r="M259" s="33" t="n"/>
      <c r="N259" s="32" t="n"/>
      <c r="O259" s="32" t="n"/>
      <c r="P259" s="32" t="n"/>
      <c r="Q259" s="32" t="n"/>
    </row>
    <row r="260" ht="30" customHeight="1">
      <c r="A260" s="27" t="inlineStr">
        <is>
          <t>DEP-007</t>
        </is>
      </c>
      <c r="B260" s="28" t="inlineStr">
        <is>
          <t>14 Family members (dependants)</t>
        </is>
      </c>
      <c r="C260" s="28" t="inlineStr">
        <is>
          <t>Delete</t>
        </is>
      </c>
      <c r="D260" s="28" t="inlineStr">
        <is>
          <t>Member with upcoming appointments</t>
        </is>
      </c>
      <c r="E260" s="28" t="inlineStr">
        <is>
          <t>Delete a member who has an upcoming booking</t>
        </is>
      </c>
      <c r="F260" s="28" t="inlineStr">
        <is>
          <t>Refused with a message explaining why.</t>
        </is>
      </c>
      <c r="G260" s="29" t="inlineStr">
        <is>
          <t>P1</t>
        </is>
      </c>
      <c r="H260" s="29" t="inlineStr">
        <is>
          <t>Negative</t>
        </is>
      </c>
      <c r="I260" s="29" t="inlineStr">
        <is>
          <t>Both</t>
        </is>
      </c>
      <c r="J260" s="29" t="n"/>
      <c r="K260" s="31" t="inlineStr">
        <is>
          <t>Not Run</t>
        </is>
      </c>
      <c r="L260" s="32" t="n"/>
      <c r="M260" s="33" t="n"/>
      <c r="N260" s="32" t="n"/>
      <c r="O260" s="32" t="n"/>
      <c r="P260" s="32" t="n"/>
      <c r="Q260" s="32" t="n"/>
    </row>
    <row r="261" ht="43" customHeight="1">
      <c r="A261" s="27" t="inlineStr">
        <is>
          <t>DEP-008</t>
        </is>
      </c>
      <c r="B261" s="28" t="inlineStr">
        <is>
          <t>14 Family members (dependants)</t>
        </is>
      </c>
      <c r="C261" s="28" t="inlineStr">
        <is>
          <t>Release</t>
        </is>
      </c>
      <c r="D261" s="28" t="inlineStr">
        <is>
          <t>Release an adult member to their own account</t>
        </is>
      </c>
      <c r="E261" s="28" t="inlineStr">
        <is>
          <t>1. Choose release for an 18+ member
2. Enter their mobile
3. Enter the OTP</t>
        </is>
      </c>
      <c r="F261" s="28" t="inlineStr">
        <is>
          <t>Member and their history leave this account; summary of moved records is shown.</t>
        </is>
      </c>
      <c r="G261" s="29" t="inlineStr">
        <is>
          <t>P2</t>
        </is>
      </c>
      <c r="H261" s="29" t="inlineStr">
        <is>
          <t>Functional</t>
        </is>
      </c>
      <c r="I261" s="29" t="inlineStr">
        <is>
          <t>Both</t>
        </is>
      </c>
      <c r="J261" s="29" t="inlineStr">
        <is>
          <t>KB-05</t>
        </is>
      </c>
      <c r="K261" s="31" t="inlineStr">
        <is>
          <t>Not Run</t>
        </is>
      </c>
      <c r="L261" s="32" t="n"/>
      <c r="M261" s="33" t="n"/>
      <c r="N261" s="32" t="n"/>
      <c r="O261" s="32" t="n"/>
      <c r="P261" s="32" t="n"/>
      <c r="Q261" s="32" t="n"/>
    </row>
    <row r="262" ht="30" customHeight="1">
      <c r="A262" s="27" t="inlineStr">
        <is>
          <t>DEP-009</t>
        </is>
      </c>
      <c r="B262" s="28" t="inlineStr">
        <is>
          <t>14 Family members (dependants)</t>
        </is>
      </c>
      <c r="C262" s="28" t="inlineStr">
        <is>
          <t>Release</t>
        </is>
      </c>
      <c r="D262" s="28" t="inlineStr">
        <is>
          <t>Release a minor</t>
        </is>
      </c>
      <c r="E262" s="28" t="inlineStr">
        <is>
          <t>Try to release an under-18 member</t>
        </is>
      </c>
      <c r="F262" s="28" t="inlineStr">
        <is>
          <t>Refused with an age message.</t>
        </is>
      </c>
      <c r="G262" s="29" t="inlineStr">
        <is>
          <t>P2</t>
        </is>
      </c>
      <c r="H262" s="29" t="inlineStr">
        <is>
          <t>Negative</t>
        </is>
      </c>
      <c r="I262" s="29" t="inlineStr">
        <is>
          <t>Both</t>
        </is>
      </c>
      <c r="J262" s="29" t="n"/>
      <c r="K262" s="31" t="inlineStr">
        <is>
          <t>Not Run</t>
        </is>
      </c>
      <c r="L262" s="32" t="n"/>
      <c r="M262" s="33" t="n"/>
      <c r="N262" s="32" t="n"/>
      <c r="O262" s="32" t="n"/>
      <c r="P262" s="32" t="n"/>
      <c r="Q262" s="32" t="n"/>
    </row>
    <row r="263" ht="17" customHeight="1">
      <c r="A263" s="27" t="inlineStr">
        <is>
          <t>INSU-001</t>
        </is>
      </c>
      <c r="B263" s="28" t="inlineStr">
        <is>
          <t>15 Insurance</t>
        </is>
      </c>
      <c r="C263" s="28" t="inlineStr">
        <is>
          <t>List</t>
        </is>
      </c>
      <c r="D263" s="28" t="inlineStr">
        <is>
          <t>Policy list and empty state</t>
        </is>
      </c>
      <c r="E263" s="28" t="inlineStr">
        <is>
          <t>Open Insurance with and without policies</t>
        </is>
      </c>
      <c r="F263" s="28" t="inlineStr">
        <is>
          <t>Policies listed, or an empty state with an Add action.</t>
        </is>
      </c>
      <c r="G263" s="29" t="inlineStr">
        <is>
          <t>P2</t>
        </is>
      </c>
      <c r="H263" s="29" t="inlineStr">
        <is>
          <t>Functional</t>
        </is>
      </c>
      <c r="I263" s="29" t="inlineStr">
        <is>
          <t>Both</t>
        </is>
      </c>
      <c r="J263" s="29" t="n"/>
      <c r="K263" s="31" t="inlineStr">
        <is>
          <t>Not Run</t>
        </is>
      </c>
      <c r="L263" s="32" t="n"/>
      <c r="M263" s="33" t="n"/>
      <c r="N263" s="32" t="n"/>
      <c r="O263" s="32" t="n"/>
      <c r="P263" s="32" t="n"/>
      <c r="Q263" s="32" t="n"/>
    </row>
    <row r="264" ht="30" customHeight="1">
      <c r="A264" s="27" t="inlineStr">
        <is>
          <t>INSU-002</t>
        </is>
      </c>
      <c r="B264" s="28" t="inlineStr">
        <is>
          <t>15 Insurance</t>
        </is>
      </c>
      <c r="C264" s="28" t="inlineStr">
        <is>
          <t>Add</t>
        </is>
      </c>
      <c r="D264" s="28" t="inlineStr">
        <is>
          <t>Add a policy</t>
        </is>
      </c>
      <c r="E264" s="28" t="inlineStr">
        <is>
          <t>1. Fill insurer, policy number, holder and dates
2. Save</t>
        </is>
      </c>
      <c r="F264" s="28" t="inlineStr">
        <is>
          <t>Policy is saved and opens in detail.</t>
        </is>
      </c>
      <c r="G264" s="29" t="inlineStr">
        <is>
          <t>P1</t>
        </is>
      </c>
      <c r="H264" s="29" t="inlineStr">
        <is>
          <t>Functional</t>
        </is>
      </c>
      <c r="I264" s="29" t="inlineStr">
        <is>
          <t>Both</t>
        </is>
      </c>
      <c r="J264" s="29" t="n"/>
      <c r="K264" s="31" t="inlineStr">
        <is>
          <t>Not Run</t>
        </is>
      </c>
      <c r="L264" s="32" t="n"/>
      <c r="M264" s="33" t="n"/>
      <c r="N264" s="32" t="n"/>
      <c r="O264" s="32" t="n"/>
      <c r="P264" s="32" t="n"/>
      <c r="Q264" s="32" t="n"/>
    </row>
    <row r="265" ht="17" customHeight="1">
      <c r="A265" s="27" t="inlineStr">
        <is>
          <t>INSU-003</t>
        </is>
      </c>
      <c r="B265" s="28" t="inlineStr">
        <is>
          <t>15 Insurance</t>
        </is>
      </c>
      <c r="C265" s="28" t="inlineStr">
        <is>
          <t>Add</t>
        </is>
      </c>
      <c r="D265" s="28" t="inlineStr">
        <is>
          <t>Validation</t>
        </is>
      </c>
      <c r="E265" s="28" t="inlineStr">
        <is>
          <t>Leave required fields empty; set end date before start date</t>
        </is>
      </c>
      <c r="F265" s="28" t="inlineStr">
        <is>
          <t>Inline errors.</t>
        </is>
      </c>
      <c r="G265" s="29" t="inlineStr">
        <is>
          <t>P2</t>
        </is>
      </c>
      <c r="H265" s="29" t="inlineStr">
        <is>
          <t>Negative</t>
        </is>
      </c>
      <c r="I265" s="29" t="inlineStr">
        <is>
          <t>Both</t>
        </is>
      </c>
      <c r="J265" s="29" t="n"/>
      <c r="K265" s="31" t="inlineStr">
        <is>
          <t>Not Run</t>
        </is>
      </c>
      <c r="L265" s="32" t="n"/>
      <c r="M265" s="33" t="n"/>
      <c r="N265" s="32" t="n"/>
      <c r="O265" s="32" t="n"/>
      <c r="P265" s="32" t="n"/>
      <c r="Q265" s="32" t="n"/>
    </row>
    <row r="266" ht="43" customHeight="1">
      <c r="A266" s="27" t="inlineStr">
        <is>
          <t>INSU-004</t>
        </is>
      </c>
      <c r="B266" s="28" t="inlineStr">
        <is>
          <t>15 Insurance</t>
        </is>
      </c>
      <c r="C266" s="28" t="inlineStr">
        <is>
          <t>Document</t>
        </is>
      </c>
      <c r="D266" s="28" t="inlineStr">
        <is>
          <t>Attach and remove a policy document</t>
        </is>
      </c>
      <c r="E266" s="28" t="inlineStr">
        <is>
          <t>1. Attach a PDF/photo
2. Open it
3. Remove it</t>
        </is>
      </c>
      <c r="F266" s="28" t="inlineStr">
        <is>
          <t>Upload, preview and removal all work.</t>
        </is>
      </c>
      <c r="G266" s="29" t="inlineStr">
        <is>
          <t>P1</t>
        </is>
      </c>
      <c r="H266" s="29" t="inlineStr">
        <is>
          <t>Functional</t>
        </is>
      </c>
      <c r="I266" s="29" t="inlineStr">
        <is>
          <t>Both</t>
        </is>
      </c>
      <c r="J266" s="29" t="inlineStr">
        <is>
          <t>KB-01</t>
        </is>
      </c>
      <c r="K266" s="31" t="inlineStr">
        <is>
          <t>Not Run</t>
        </is>
      </c>
      <c r="L266" s="32" t="n"/>
      <c r="M266" s="33" t="n"/>
      <c r="N266" s="32" t="n"/>
      <c r="O266" s="32" t="n"/>
      <c r="P266" s="32" t="n"/>
      <c r="Q266" s="32" t="n"/>
    </row>
    <row r="267" ht="30" customHeight="1">
      <c r="A267" s="27" t="inlineStr">
        <is>
          <t>INSU-005</t>
        </is>
      </c>
      <c r="B267" s="28" t="inlineStr">
        <is>
          <t>15 Insurance</t>
        </is>
      </c>
      <c r="C267" s="28" t="inlineStr">
        <is>
          <t>Edit</t>
        </is>
      </c>
      <c r="D267" s="28" t="inlineStr">
        <is>
          <t>Edit a policy</t>
        </is>
      </c>
      <c r="E267" s="28" t="inlineStr">
        <is>
          <t>1. Change details
2. Save</t>
        </is>
      </c>
      <c r="F267" s="28" t="inlineStr">
        <is>
          <t>Saved; conflict is reported if edited elsewhere.</t>
        </is>
      </c>
      <c r="G267" s="29" t="inlineStr">
        <is>
          <t>P2</t>
        </is>
      </c>
      <c r="H267" s="29" t="inlineStr">
        <is>
          <t>Functional</t>
        </is>
      </c>
      <c r="I267" s="29" t="inlineStr">
        <is>
          <t>Both</t>
        </is>
      </c>
      <c r="J267" s="29" t="n"/>
      <c r="K267" s="31" t="inlineStr">
        <is>
          <t>Not Run</t>
        </is>
      </c>
      <c r="L267" s="32" t="n"/>
      <c r="M267" s="33" t="n"/>
      <c r="N267" s="32" t="n"/>
      <c r="O267" s="32" t="n"/>
      <c r="P267" s="32" t="n"/>
      <c r="Q267" s="32" t="n"/>
    </row>
    <row r="268" ht="30" customHeight="1">
      <c r="A268" s="27" t="inlineStr">
        <is>
          <t>INSU-006</t>
        </is>
      </c>
      <c r="B268" s="28" t="inlineStr">
        <is>
          <t>15 Insurance</t>
        </is>
      </c>
      <c r="C268" s="28" t="inlineStr">
        <is>
          <t>Delete</t>
        </is>
      </c>
      <c r="D268" s="28" t="inlineStr">
        <is>
          <t>Delete a policy</t>
        </is>
      </c>
      <c r="E268" s="28" t="inlineStr">
        <is>
          <t>1. Delete
2. Confirm</t>
        </is>
      </c>
      <c r="F268" s="28" t="inlineStr">
        <is>
          <t>Removed from the list.</t>
        </is>
      </c>
      <c r="G268" s="29" t="inlineStr">
        <is>
          <t>P2</t>
        </is>
      </c>
      <c r="H268" s="29" t="inlineStr">
        <is>
          <t>Functional</t>
        </is>
      </c>
      <c r="I268" s="29" t="inlineStr">
        <is>
          <t>Both</t>
        </is>
      </c>
      <c r="J268" s="29" t="n"/>
      <c r="K268" s="31" t="inlineStr">
        <is>
          <t>Not Run</t>
        </is>
      </c>
      <c r="L268" s="32" t="n"/>
      <c r="M268" s="33" t="n"/>
      <c r="N268" s="32" t="n"/>
      <c r="O268" s="32" t="n"/>
      <c r="P268" s="32" t="n"/>
      <c r="Q268" s="32" t="n"/>
    </row>
    <row r="269" ht="17" customHeight="1">
      <c r="A269" s="27" t="inlineStr">
        <is>
          <t>INSU-007</t>
        </is>
      </c>
      <c r="B269" s="28" t="inlineStr">
        <is>
          <t>15 Insurance</t>
        </is>
      </c>
      <c r="C269" s="28" t="inlineStr">
        <is>
          <t>Detail</t>
        </is>
      </c>
      <c r="D269" s="28" t="inlineStr">
        <is>
          <t>Expired policy display</t>
        </is>
      </c>
      <c r="E269" s="28" t="inlineStr">
        <is>
          <t>Open a policy past its end date</t>
        </is>
      </c>
      <c r="F269" s="28" t="inlineStr">
        <is>
          <t>Clearly marked as expired.</t>
        </is>
      </c>
      <c r="G269" s="29" t="inlineStr">
        <is>
          <t>P3</t>
        </is>
      </c>
      <c r="H269" s="29" t="inlineStr">
        <is>
          <t>UI</t>
        </is>
      </c>
      <c r="I269" s="29" t="inlineStr">
        <is>
          <t>Both</t>
        </is>
      </c>
      <c r="J269" s="29" t="n"/>
      <c r="K269" s="31" t="inlineStr">
        <is>
          <t>Not Run</t>
        </is>
      </c>
      <c r="L269" s="32" t="n"/>
      <c r="M269" s="33" t="n"/>
      <c r="N269" s="32" t="n"/>
      <c r="O269" s="32" t="n"/>
      <c r="P269" s="32" t="n"/>
      <c r="Q269" s="32" t="n"/>
    </row>
    <row r="270" ht="30" customHeight="1">
      <c r="A270" s="27" t="inlineStr">
        <is>
          <t>SUP-001</t>
        </is>
      </c>
      <c r="B270" s="28" t="inlineStr">
        <is>
          <t>16 Support, FAQ, legal &amp; ambulance</t>
        </is>
      </c>
      <c r="C270" s="28" t="inlineStr">
        <is>
          <t>Help</t>
        </is>
      </c>
      <c r="D270" s="28" t="inlineStr">
        <is>
          <t>Help &amp; Support hub</t>
        </is>
      </c>
      <c r="E270" s="28" t="inlineStr">
        <is>
          <t>Open Help &amp; Support</t>
        </is>
      </c>
      <c r="F270" s="28" t="inlineStr">
        <is>
          <t>FAQ, raise a request, my requests and contact numbers are reachable.</t>
        </is>
      </c>
      <c r="G270" s="29" t="inlineStr">
        <is>
          <t>P2</t>
        </is>
      </c>
      <c r="H270" s="29" t="inlineStr">
        <is>
          <t>Functional</t>
        </is>
      </c>
      <c r="I270" s="29" t="inlineStr">
        <is>
          <t>Both</t>
        </is>
      </c>
      <c r="J270" s="29" t="n"/>
      <c r="K270" s="31" t="inlineStr">
        <is>
          <t>Not Run</t>
        </is>
      </c>
      <c r="L270" s="32" t="n"/>
      <c r="M270" s="33" t="n"/>
      <c r="N270" s="32" t="n"/>
      <c r="O270" s="32" t="n"/>
      <c r="P270" s="32" t="n"/>
      <c r="Q270" s="32" t="n"/>
    </row>
    <row r="271" ht="43" customHeight="1">
      <c r="A271" s="27" t="inlineStr">
        <is>
          <t>SUP-002</t>
        </is>
      </c>
      <c r="B271" s="28" t="inlineStr">
        <is>
          <t>16 Support, FAQ, legal &amp; ambulance</t>
        </is>
      </c>
      <c r="C271" s="28" t="inlineStr">
        <is>
          <t>FAQ</t>
        </is>
      </c>
      <c r="D271" s="28" t="inlineStr">
        <is>
          <t>FAQs load and expand</t>
        </is>
      </c>
      <c r="E271" s="28" t="inlineStr">
        <is>
          <t>1. Open FAQs
2. Expand several
3. Search if available</t>
        </is>
      </c>
      <c r="F271" s="28" t="inlineStr">
        <is>
          <t>Content comes from the server; expand/collapse works.</t>
        </is>
      </c>
      <c r="G271" s="29" t="inlineStr">
        <is>
          <t>P2</t>
        </is>
      </c>
      <c r="H271" s="29" t="inlineStr">
        <is>
          <t>Functional</t>
        </is>
      </c>
      <c r="I271" s="29" t="inlineStr">
        <is>
          <t>Both</t>
        </is>
      </c>
      <c r="J271" s="29" t="n"/>
      <c r="K271" s="31" t="inlineStr">
        <is>
          <t>Not Run</t>
        </is>
      </c>
      <c r="L271" s="32" t="n"/>
      <c r="M271" s="33" t="n"/>
      <c r="N271" s="32" t="n"/>
      <c r="O271" s="32" t="n"/>
      <c r="P271" s="32" t="n"/>
      <c r="Q271" s="32" t="n"/>
    </row>
    <row r="272" ht="30" customHeight="1">
      <c r="A272" s="27" t="inlineStr">
        <is>
          <t>SUP-003</t>
        </is>
      </c>
      <c r="B272" s="28" t="inlineStr">
        <is>
          <t>16 Support, FAQ, legal &amp; ambulance</t>
        </is>
      </c>
      <c r="C272" s="28" t="inlineStr">
        <is>
          <t>Legal</t>
        </is>
      </c>
      <c r="D272" s="28" t="inlineStr">
        <is>
          <t>Unknown policy slug</t>
        </is>
      </c>
      <c r="E272" s="28" t="inlineStr">
        <is>
          <t>Open medibook://legal/unknown</t>
        </is>
      </c>
      <c r="F272" s="28" t="inlineStr">
        <is>
          <t>Not-found screen — not a silent redirect to Terms.</t>
        </is>
      </c>
      <c r="G272" s="29" t="inlineStr">
        <is>
          <t>P2</t>
        </is>
      </c>
      <c r="H272" s="29" t="inlineStr">
        <is>
          <t>Negative</t>
        </is>
      </c>
      <c r="I272" s="29" t="inlineStr">
        <is>
          <t>Both</t>
        </is>
      </c>
      <c r="J272" s="29" t="n"/>
      <c r="K272" s="31" t="inlineStr">
        <is>
          <t>Not Run</t>
        </is>
      </c>
      <c r="L272" s="32" t="n"/>
      <c r="M272" s="33" t="n"/>
      <c r="N272" s="32" t="n"/>
      <c r="O272" s="32" t="n"/>
      <c r="P272" s="32" t="n"/>
      <c r="Q272" s="32" t="n"/>
    </row>
    <row r="273" ht="30" customHeight="1">
      <c r="A273" s="27" t="inlineStr">
        <is>
          <t>SUP-004</t>
        </is>
      </c>
      <c r="B273" s="28" t="inlineStr">
        <is>
          <t>16 Support, FAQ, legal &amp; ambulance</t>
        </is>
      </c>
      <c r="C273" s="28" t="inlineStr">
        <is>
          <t>Contact</t>
        </is>
      </c>
      <c r="D273" s="28" t="inlineStr">
        <is>
          <t>Call support</t>
        </is>
      </c>
      <c r="E273" s="28" t="inlineStr">
        <is>
          <t>Tap a support phone number</t>
        </is>
      </c>
      <c r="F273" s="28" t="inlineStr">
        <is>
          <t>Dialer opens with the real production support number.</t>
        </is>
      </c>
      <c r="G273" s="29" t="inlineStr">
        <is>
          <t>P1</t>
        </is>
      </c>
      <c r="H273" s="29" t="inlineStr">
        <is>
          <t>Functional</t>
        </is>
      </c>
      <c r="I273" s="29" t="inlineStr">
        <is>
          <t>Both</t>
        </is>
      </c>
      <c r="J273" s="29" t="n"/>
      <c r="K273" s="31" t="inlineStr">
        <is>
          <t>Not Run</t>
        </is>
      </c>
      <c r="L273" s="32" t="n"/>
      <c r="M273" s="33" t="n"/>
      <c r="N273" s="32" t="n"/>
      <c r="O273" s="32" t="n"/>
      <c r="P273" s="32" t="n"/>
      <c r="Q273" s="32" t="n"/>
    </row>
    <row r="274" ht="43" customHeight="1">
      <c r="A274" s="27" t="inlineStr">
        <is>
          <t>SUP-005</t>
        </is>
      </c>
      <c r="B274" s="28" t="inlineStr">
        <is>
          <t>16 Support, FAQ, legal &amp; ambulance</t>
        </is>
      </c>
      <c r="C274" s="28" t="inlineStr">
        <is>
          <t>Ticket</t>
        </is>
      </c>
      <c r="D274" s="28" t="inlineStr">
        <is>
          <t>Raise a support request</t>
        </is>
      </c>
      <c r="E274" s="28" t="inlineStr">
        <is>
          <t>1. Choose a category
2. Enter subject and description
3. Submit</t>
        </is>
      </c>
      <c r="F274" s="28" t="inlineStr">
        <is>
          <t>Ticket created; ticket number shown; appears in My requests.</t>
        </is>
      </c>
      <c r="G274" s="29" t="inlineStr">
        <is>
          <t>P1</t>
        </is>
      </c>
      <c r="H274" s="29" t="inlineStr">
        <is>
          <t>Functional</t>
        </is>
      </c>
      <c r="I274" s="29" t="inlineStr">
        <is>
          <t>Both</t>
        </is>
      </c>
      <c r="J274" s="29" t="n"/>
      <c r="K274" s="31" t="inlineStr">
        <is>
          <t>Not Run</t>
        </is>
      </c>
      <c r="L274" s="32" t="n"/>
      <c r="M274" s="33" t="n"/>
      <c r="N274" s="32" t="n"/>
      <c r="O274" s="32" t="n"/>
      <c r="P274" s="32" t="n"/>
      <c r="Q274" s="32" t="n"/>
    </row>
    <row r="275" ht="43" customHeight="1">
      <c r="A275" s="27" t="inlineStr">
        <is>
          <t>SUP-006</t>
        </is>
      </c>
      <c r="B275" s="28" t="inlineStr">
        <is>
          <t>16 Support, FAQ, legal &amp; ambulance</t>
        </is>
      </c>
      <c r="C275" s="28" t="inlineStr">
        <is>
          <t>Ticket</t>
        </is>
      </c>
      <c r="D275" s="28" t="inlineStr">
        <is>
          <t>Validation and limits</t>
        </is>
      </c>
      <c r="E275" s="28" t="inlineStr">
        <is>
          <t>Submit with empty subject/description and a description under 20 characters; paste 201+ characters into subject and 5001+ into description</t>
        </is>
      </c>
      <c r="F275" s="28" t="inlineStr">
        <is>
          <t>Inline errors or enforced limits.</t>
        </is>
      </c>
      <c r="G275" s="29" t="inlineStr">
        <is>
          <t>P2</t>
        </is>
      </c>
      <c r="H275" s="29" t="inlineStr">
        <is>
          <t>Negative</t>
        </is>
      </c>
      <c r="I275" s="29" t="inlineStr">
        <is>
          <t>Both</t>
        </is>
      </c>
      <c r="J275" s="29" t="n"/>
      <c r="K275" s="31" t="inlineStr">
        <is>
          <t>Not Run</t>
        </is>
      </c>
      <c r="L275" s="32" t="n"/>
      <c r="M275" s="33" t="n"/>
      <c r="N275" s="32" t="n"/>
      <c r="O275" s="32" t="n"/>
      <c r="P275" s="32" t="n"/>
      <c r="Q275" s="32" t="n"/>
    </row>
    <row r="276" ht="43" customHeight="1">
      <c r="A276" s="27" t="inlineStr">
        <is>
          <t>SUP-007</t>
        </is>
      </c>
      <c r="B276" s="28" t="inlineStr">
        <is>
          <t>16 Support, FAQ, legal &amp; ambulance</t>
        </is>
      </c>
      <c r="C276" s="28" t="inlineStr">
        <is>
          <t>Ticket</t>
        </is>
      </c>
      <c r="D276" s="28" t="inlineStr">
        <is>
          <t>Attach files to a request</t>
        </is>
      </c>
      <c r="E276" s="28" t="inlineStr">
        <is>
          <t>1. Attach up to 5 PDF/JPEG/PNG files
2. Try a 6th
3. Try a HEIC</t>
        </is>
      </c>
      <c r="F276" s="28" t="inlineStr">
        <is>
          <t>Up to 5 allowed types upload; extra/unsupported files are refused clearly.</t>
        </is>
      </c>
      <c r="G276" s="29" t="inlineStr">
        <is>
          <t>P2</t>
        </is>
      </c>
      <c r="H276" s="29" t="inlineStr">
        <is>
          <t>Functional</t>
        </is>
      </c>
      <c r="I276" s="29" t="inlineStr">
        <is>
          <t>Both</t>
        </is>
      </c>
      <c r="J276" s="29" t="inlineStr">
        <is>
          <t>KB-01</t>
        </is>
      </c>
      <c r="K276" s="31" t="inlineStr">
        <is>
          <t>Not Run</t>
        </is>
      </c>
      <c r="L276" s="32" t="n"/>
      <c r="M276" s="33" t="n"/>
      <c r="N276" s="32" t="n"/>
      <c r="O276" s="32" t="n"/>
      <c r="P276" s="32" t="n"/>
      <c r="Q276" s="32" t="n"/>
    </row>
    <row r="277" ht="30" customHeight="1">
      <c r="A277" s="27" t="inlineStr">
        <is>
          <t>SUP-008</t>
        </is>
      </c>
      <c r="B277" s="28" t="inlineStr">
        <is>
          <t>16 Support, FAQ, legal &amp; ambulance</t>
        </is>
      </c>
      <c r="C277" s="28" t="inlineStr">
        <is>
          <t>Ticket</t>
        </is>
      </c>
      <c r="D277" s="28" t="inlineStr">
        <is>
          <t>Ticket thread and reply</t>
        </is>
      </c>
      <c r="E277" s="28" t="inlineStr">
        <is>
          <t>1. Open a ticket
2. Send a reply</t>
        </is>
      </c>
      <c r="F277" s="28" t="inlineStr">
        <is>
          <t>Reply appears in order with author and time.</t>
        </is>
      </c>
      <c r="G277" s="29" t="inlineStr">
        <is>
          <t>P1</t>
        </is>
      </c>
      <c r="H277" s="29" t="inlineStr">
        <is>
          <t>Functional</t>
        </is>
      </c>
      <c r="I277" s="29" t="inlineStr">
        <is>
          <t>Both</t>
        </is>
      </c>
      <c r="J277" s="29" t="n"/>
      <c r="K277" s="31" t="inlineStr">
        <is>
          <t>Not Run</t>
        </is>
      </c>
      <c r="L277" s="32" t="n"/>
      <c r="M277" s="33" t="n"/>
      <c r="N277" s="32" t="n"/>
      <c r="O277" s="32" t="n"/>
      <c r="P277" s="32" t="n"/>
      <c r="Q277" s="32" t="n"/>
    </row>
    <row r="278" ht="30" customHeight="1">
      <c r="A278" s="27" t="inlineStr">
        <is>
          <t>SUP-009</t>
        </is>
      </c>
      <c r="B278" s="28" t="inlineStr">
        <is>
          <t>16 Support, FAQ, legal &amp; ambulance</t>
        </is>
      </c>
      <c r="C278" s="28" t="inlineStr">
        <is>
          <t>Ticket</t>
        </is>
      </c>
      <c r="D278" s="28" t="inlineStr">
        <is>
          <t>Closed and resolved tickets</t>
        </is>
      </c>
      <c r="E278" s="28" t="inlineStr">
        <is>
          <t>1. Reply on a resolved ticket
2. Try to reply on a closed ticket</t>
        </is>
      </c>
      <c r="F278" s="28" t="inlineStr">
        <is>
          <t>Resolved ticket reopens; closed ticket cannot be replied to and says so.</t>
        </is>
      </c>
      <c r="G278" s="29" t="inlineStr">
        <is>
          <t>P2</t>
        </is>
      </c>
      <c r="H278" s="29" t="inlineStr">
        <is>
          <t>Negative</t>
        </is>
      </c>
      <c r="I278" s="29" t="inlineStr">
        <is>
          <t>Both</t>
        </is>
      </c>
      <c r="J278" s="29" t="n"/>
      <c r="K278" s="31" t="inlineStr">
        <is>
          <t>Not Run</t>
        </is>
      </c>
      <c r="L278" s="32" t="n"/>
      <c r="M278" s="33" t="n"/>
      <c r="N278" s="32" t="n"/>
      <c r="O278" s="32" t="n"/>
      <c r="P278" s="32" t="n"/>
      <c r="Q278" s="32" t="n"/>
    </row>
    <row r="279" ht="30" customHeight="1">
      <c r="A279" s="27" t="inlineStr">
        <is>
          <t>SUP-010</t>
        </is>
      </c>
      <c r="B279" s="28" t="inlineStr">
        <is>
          <t>16 Support, FAQ, legal &amp; ambulance</t>
        </is>
      </c>
      <c r="C279" s="28" t="inlineStr">
        <is>
          <t>Ticket</t>
        </is>
      </c>
      <c r="D279" s="28" t="inlineStr">
        <is>
          <t>Status display</t>
        </is>
      </c>
      <c r="E279" s="28" t="inlineStr">
        <is>
          <t>View tickets in each status</t>
        </is>
      </c>
      <c r="F279" s="28" t="inlineStr">
        <is>
          <t>Open, in progress, waiting on you, resolved and closed are each labelled clearly.</t>
        </is>
      </c>
      <c r="G279" s="29" t="inlineStr">
        <is>
          <t>P3</t>
        </is>
      </c>
      <c r="H279" s="29" t="inlineStr">
        <is>
          <t>UI</t>
        </is>
      </c>
      <c r="I279" s="29" t="inlineStr">
        <is>
          <t>Both</t>
        </is>
      </c>
      <c r="J279" s="29" t="n"/>
      <c r="K279" s="31" t="inlineStr">
        <is>
          <t>Not Run</t>
        </is>
      </c>
      <c r="L279" s="32" t="n"/>
      <c r="M279" s="33" t="n"/>
      <c r="N279" s="32" t="n"/>
      <c r="O279" s="32" t="n"/>
      <c r="P279" s="32" t="n"/>
      <c r="Q279" s="32" t="n"/>
    </row>
    <row r="280" ht="30" customHeight="1">
      <c r="A280" s="27" t="inlineStr">
        <is>
          <t>SUP-011</t>
        </is>
      </c>
      <c r="B280" s="28" t="inlineStr">
        <is>
          <t>16 Support, FAQ, legal &amp; ambulance</t>
        </is>
      </c>
      <c r="C280" s="28" t="inlineStr">
        <is>
          <t>Ambulance</t>
        </is>
      </c>
      <c r="D280" s="28" t="inlineStr">
        <is>
          <t>Ambulance providers list</t>
        </is>
      </c>
      <c r="E280" s="28" t="inlineStr">
        <is>
          <t>Open Ambulance from Home and from an appointment</t>
        </is>
      </c>
      <c r="F280" s="28" t="inlineStr">
        <is>
          <t>Providers for the area are listed with name, area and ETA where known.</t>
        </is>
      </c>
      <c r="G280" s="29" t="inlineStr">
        <is>
          <t>P1</t>
        </is>
      </c>
      <c r="H280" s="29" t="inlineStr">
        <is>
          <t>Functional</t>
        </is>
      </c>
      <c r="I280" s="29" t="inlineStr">
        <is>
          <t>Both</t>
        </is>
      </c>
      <c r="J280" s="29" t="n"/>
      <c r="K280" s="31" t="inlineStr">
        <is>
          <t>Not Run</t>
        </is>
      </c>
      <c r="L280" s="32" t="n"/>
      <c r="M280" s="33" t="n"/>
      <c r="N280" s="32" t="n"/>
      <c r="O280" s="32" t="n"/>
      <c r="P280" s="32" t="n"/>
      <c r="Q280" s="32" t="n"/>
    </row>
    <row r="281" ht="30" customHeight="1">
      <c r="A281" s="27" t="inlineStr">
        <is>
          <t>SUP-012</t>
        </is>
      </c>
      <c r="B281" s="28" t="inlineStr">
        <is>
          <t>16 Support, FAQ, legal &amp; ambulance</t>
        </is>
      </c>
      <c r="C281" s="28" t="inlineStr">
        <is>
          <t>Ambulance</t>
        </is>
      </c>
      <c r="D281" s="28" t="inlineStr">
        <is>
          <t>Call a provider</t>
        </is>
      </c>
      <c r="E281" s="28" t="inlineStr">
        <is>
          <t>Tap a provider</t>
        </is>
      </c>
      <c r="F281" s="28" t="inlineStr">
        <is>
          <t>Dialer opens with that number. No booking flow is implied.</t>
        </is>
      </c>
      <c r="G281" s="29" t="inlineStr">
        <is>
          <t>P0</t>
        </is>
      </c>
      <c r="H281" s="29" t="inlineStr">
        <is>
          <t>Functional</t>
        </is>
      </c>
      <c r="I281" s="29" t="inlineStr">
        <is>
          <t>Both</t>
        </is>
      </c>
      <c r="J281" s="29" t="n"/>
      <c r="K281" s="31" t="inlineStr">
        <is>
          <t>Not Run</t>
        </is>
      </c>
      <c r="L281" s="32" t="n"/>
      <c r="M281" s="33" t="n"/>
      <c r="N281" s="32" t="n"/>
      <c r="O281" s="32" t="n"/>
      <c r="P281" s="32" t="n"/>
      <c r="Q281" s="32" t="n"/>
    </row>
    <row r="282" ht="30" customHeight="1">
      <c r="A282" s="27" t="inlineStr">
        <is>
          <t>SUP-013</t>
        </is>
      </c>
      <c r="B282" s="28" t="inlineStr">
        <is>
          <t>16 Support, FAQ, legal &amp; ambulance</t>
        </is>
      </c>
      <c r="C282" s="28" t="inlineStr">
        <is>
          <t>Ambulance</t>
        </is>
      </c>
      <c r="D282" s="28" t="inlineStr">
        <is>
          <t>No providers / offline</t>
        </is>
      </c>
      <c r="E282" s="28" t="inlineStr">
        <is>
          <t>Open with no providers for the city, and offline</t>
        </is>
      </c>
      <c r="F282" s="28" t="inlineStr">
        <is>
          <t>Clear empty/offline state that still shows an emergency number to dial.</t>
        </is>
      </c>
      <c r="G282" s="29" t="inlineStr">
        <is>
          <t>P1</t>
        </is>
      </c>
      <c r="H282" s="29" t="inlineStr">
        <is>
          <t>Negative</t>
        </is>
      </c>
      <c r="I282" s="29" t="inlineStr">
        <is>
          <t>Both</t>
        </is>
      </c>
      <c r="J282" s="29" t="n"/>
      <c r="K282" s="31" t="inlineStr">
        <is>
          <t>Not Run</t>
        </is>
      </c>
      <c r="L282" s="32" t="n"/>
      <c r="M282" s="33" t="n"/>
      <c r="N282" s="32" t="n"/>
      <c r="O282" s="32" t="n"/>
      <c r="P282" s="32" t="n"/>
      <c r="Q282" s="32" t="n"/>
    </row>
    <row r="283" ht="56" customHeight="1">
      <c r="A283" s="27" t="inlineStr">
        <is>
          <t>NAV-001</t>
        </is>
      </c>
      <c r="B283" s="28" t="inlineStr">
        <is>
          <t>17 Navigation &amp; deep links</t>
        </is>
      </c>
      <c r="C283" s="28" t="inlineStr">
        <is>
          <t>Deep link</t>
        </is>
      </c>
      <c r="D283" s="28" t="inlineStr">
        <is>
          <t>Custom-scheme links open the right screen</t>
        </is>
      </c>
      <c r="E283" s="28" t="inlineStr">
        <is>
          <t>With the app signed in, open: medibook://appointment/&lt;id&gt;, medibook://doctor/&lt;id&gt;, medibook://hospital/&lt;id&gt;, medibook://queue/&lt;id&gt;, medibook://receipt/&lt;id&gt;, medibook://profile/edit, medibook://insurance/add, medibook://notifications</t>
        </is>
      </c>
      <c r="F283" s="28" t="inlineStr">
        <is>
          <t>Each lands on the matching screen with a working Back.</t>
        </is>
      </c>
      <c r="G283" s="29" t="inlineStr">
        <is>
          <t>P1</t>
        </is>
      </c>
      <c r="H283" s="29" t="inlineStr">
        <is>
          <t>Functional</t>
        </is>
      </c>
      <c r="I283" s="29" t="inlineStr">
        <is>
          <t>Both</t>
        </is>
      </c>
      <c r="J283" s="29" t="n"/>
      <c r="K283" s="31" t="inlineStr">
        <is>
          <t>Not Run</t>
        </is>
      </c>
      <c r="L283" s="32" t="n"/>
      <c r="M283" s="33" t="n"/>
      <c r="N283" s="32" t="n"/>
      <c r="O283" s="32" t="n"/>
      <c r="P283" s="32" t="n"/>
      <c r="Q283" s="32" t="n"/>
    </row>
    <row r="284" ht="30" customHeight="1">
      <c r="A284" s="27" t="inlineStr">
        <is>
          <t>NAV-002</t>
        </is>
      </c>
      <c r="B284" s="28" t="inlineStr">
        <is>
          <t>17 Navigation &amp; deep links</t>
        </is>
      </c>
      <c r="C284" s="28" t="inlineStr">
        <is>
          <t>Deep link</t>
        </is>
      </c>
      <c r="D284" s="28" t="inlineStr">
        <is>
          <t>https://medibook.app links open the app</t>
        </is>
      </c>
      <c r="E284" s="28" t="inlineStr">
        <is>
          <t>Tap https://medibook.app/appointment/&lt;id&gt; from Messages/Mail/Notes</t>
        </is>
      </c>
      <c r="F284" s="28" t="inlineStr">
        <is>
          <t>App opens directly on the screen (Android: verified App Link, no chooser; iOS: Universal Link).</t>
        </is>
      </c>
      <c r="G284" s="29" t="inlineStr">
        <is>
          <t>P1</t>
        </is>
      </c>
      <c r="H284" s="29" t="inlineStr">
        <is>
          <t>Release</t>
        </is>
      </c>
      <c r="I284" s="29" t="inlineStr">
        <is>
          <t>Both</t>
        </is>
      </c>
      <c r="J284" s="29" t="n"/>
      <c r="K284" s="31" t="inlineStr">
        <is>
          <t>Not Run</t>
        </is>
      </c>
      <c r="L284" s="32" t="n"/>
      <c r="M284" s="33" t="n"/>
      <c r="N284" s="32" t="n"/>
      <c r="O284" s="32" t="n"/>
      <c r="P284" s="32" t="n"/>
      <c r="Q284" s="32" t="n"/>
    </row>
    <row r="285" ht="30" customHeight="1">
      <c r="A285" s="27" t="inlineStr">
        <is>
          <t>NAV-003</t>
        </is>
      </c>
      <c r="B285" s="28" t="inlineStr">
        <is>
          <t>17 Navigation &amp; deep links</t>
        </is>
      </c>
      <c r="C285" s="28" t="inlineStr">
        <is>
          <t>Deep link</t>
        </is>
      </c>
      <c r="D285" s="28" t="inlineStr">
        <is>
          <t>Cold start vs warm start</t>
        </is>
      </c>
      <c r="E285" s="28" t="inlineStr">
        <is>
          <t>Open a deep link with the app killed, then with it in the background</t>
        </is>
      </c>
      <c r="F285" s="28" t="inlineStr">
        <is>
          <t>Both land on the target screen.</t>
        </is>
      </c>
      <c r="G285" s="29" t="inlineStr">
        <is>
          <t>P1</t>
        </is>
      </c>
      <c r="H285" s="29" t="inlineStr">
        <is>
          <t>Functional</t>
        </is>
      </c>
      <c r="I285" s="29" t="inlineStr">
        <is>
          <t>Both</t>
        </is>
      </c>
      <c r="J285" s="29" t="n"/>
      <c r="K285" s="31" t="inlineStr">
        <is>
          <t>Not Run</t>
        </is>
      </c>
      <c r="L285" s="32" t="n"/>
      <c r="M285" s="33" t="n"/>
      <c r="N285" s="32" t="n"/>
      <c r="O285" s="32" t="n"/>
      <c r="P285" s="32" t="n"/>
      <c r="Q285" s="32" t="n"/>
    </row>
    <row r="286" ht="30" customHeight="1">
      <c r="A286" s="27" t="inlineStr">
        <is>
          <t>NAV-004</t>
        </is>
      </c>
      <c r="B286" s="28" t="inlineStr">
        <is>
          <t>17 Navigation &amp; deep links</t>
        </is>
      </c>
      <c r="C286" s="28" t="inlineStr">
        <is>
          <t>Deep link</t>
        </is>
      </c>
      <c r="D286" s="28" t="inlineStr">
        <is>
          <t>Unknown link</t>
        </is>
      </c>
      <c r="E286" s="28" t="inlineStr">
        <is>
          <t>Open medibook://nonsense/path</t>
        </is>
      </c>
      <c r="F286" s="28" t="inlineStr">
        <is>
          <t>Designed not-found screen with a route Home — never a blank screen or silent no-op.</t>
        </is>
      </c>
      <c r="G286" s="29" t="inlineStr">
        <is>
          <t>P1</t>
        </is>
      </c>
      <c r="H286" s="29" t="inlineStr">
        <is>
          <t>Negative</t>
        </is>
      </c>
      <c r="I286" s="29" t="inlineStr">
        <is>
          <t>Both</t>
        </is>
      </c>
      <c r="J286" s="29" t="n"/>
      <c r="K286" s="31" t="inlineStr">
        <is>
          <t>Not Run</t>
        </is>
      </c>
      <c r="L286" s="32" t="n"/>
      <c r="M286" s="33" t="n"/>
      <c r="N286" s="32" t="n"/>
      <c r="O286" s="32" t="n"/>
      <c r="P286" s="32" t="n"/>
      <c r="Q286" s="32" t="n"/>
    </row>
    <row r="287" ht="17" customHeight="1">
      <c r="A287" s="27" t="inlineStr">
        <is>
          <t>NAV-005</t>
        </is>
      </c>
      <c r="B287" s="28" t="inlineStr">
        <is>
          <t>17 Navigation &amp; deep links</t>
        </is>
      </c>
      <c r="C287" s="28" t="inlineStr">
        <is>
          <t>Deep link</t>
        </is>
      </c>
      <c r="D287" s="28" t="inlineStr">
        <is>
          <t>Link while signed out</t>
        </is>
      </c>
      <c r="E287" s="28" t="inlineStr">
        <is>
          <t>Signed out, open a protected deep link</t>
        </is>
      </c>
      <c r="F287" s="28" t="inlineStr">
        <is>
          <t>Sign-in first, then the target.</t>
        </is>
      </c>
      <c r="G287" s="29" t="inlineStr">
        <is>
          <t>P1</t>
        </is>
      </c>
      <c r="H287" s="29" t="inlineStr">
        <is>
          <t>Security</t>
        </is>
      </c>
      <c r="I287" s="29" t="inlineStr">
        <is>
          <t>Both</t>
        </is>
      </c>
      <c r="J287" s="29" t="n"/>
      <c r="K287" s="31" t="inlineStr">
        <is>
          <t>Not Run</t>
        </is>
      </c>
      <c r="L287" s="32" t="n"/>
      <c r="M287" s="33" t="n"/>
      <c r="N287" s="32" t="n"/>
      <c r="O287" s="32" t="n"/>
      <c r="P287" s="32" t="n"/>
      <c r="Q287" s="32" t="n"/>
    </row>
    <row r="288" ht="30" customHeight="1">
      <c r="A288" s="27" t="inlineStr">
        <is>
          <t>NAV-006</t>
        </is>
      </c>
      <c r="B288" s="28" t="inlineStr">
        <is>
          <t>17 Navigation &amp; deep links</t>
        </is>
      </c>
      <c r="C288" s="28" t="inlineStr">
        <is>
          <t>Deep link</t>
        </is>
      </c>
      <c r="D288" s="28" t="inlineStr">
        <is>
          <t>Malformed or hostile link</t>
        </is>
      </c>
      <c r="E288" s="28" t="inlineStr">
        <is>
          <t>Open links with encoded slashes, very long ids, script tags and extra query parameters</t>
        </is>
      </c>
      <c r="F288" s="28" t="inlineStr">
        <is>
          <t>No crash and no navigation outside known screens.</t>
        </is>
      </c>
      <c r="G288" s="29" t="inlineStr">
        <is>
          <t>P1</t>
        </is>
      </c>
      <c r="H288" s="29" t="inlineStr">
        <is>
          <t>Security</t>
        </is>
      </c>
      <c r="I288" s="29" t="inlineStr">
        <is>
          <t>Both</t>
        </is>
      </c>
      <c r="J288" s="29" t="n"/>
      <c r="K288" s="31" t="inlineStr">
        <is>
          <t>Not Run</t>
        </is>
      </c>
      <c r="L288" s="32" t="n"/>
      <c r="M288" s="33" t="n"/>
      <c r="N288" s="32" t="n"/>
      <c r="O288" s="32" t="n"/>
      <c r="P288" s="32" t="n"/>
      <c r="Q288" s="32" t="n"/>
    </row>
    <row r="289" ht="30" customHeight="1">
      <c r="A289" s="27" t="inlineStr">
        <is>
          <t>NAV-007</t>
        </is>
      </c>
      <c r="B289" s="28" t="inlineStr">
        <is>
          <t>17 Navigation &amp; deep links</t>
        </is>
      </c>
      <c r="C289" s="28" t="inlineStr">
        <is>
          <t>Back</t>
        </is>
      </c>
      <c r="D289" s="28" t="inlineStr">
        <is>
          <t>Android back button and gesture</t>
        </is>
      </c>
      <c r="E289" s="28" t="inlineStr">
        <is>
          <t>On every screen use system Back / predictive back</t>
        </is>
      </c>
      <c r="F289" s="28" t="inlineStr">
        <is>
          <t>Each press goes one level up; on a root tab it leaves the app (or returns to Home first) consistently.</t>
        </is>
      </c>
      <c r="G289" s="29" t="inlineStr">
        <is>
          <t>P1</t>
        </is>
      </c>
      <c r="H289" s="29" t="inlineStr">
        <is>
          <t>Functional</t>
        </is>
      </c>
      <c r="I289" s="29" t="inlineStr">
        <is>
          <t>Android</t>
        </is>
      </c>
      <c r="J289" s="29" t="n"/>
      <c r="K289" s="31" t="inlineStr">
        <is>
          <t>Not Run</t>
        </is>
      </c>
      <c r="L289" s="32" t="n"/>
      <c r="M289" s="33" t="n"/>
      <c r="N289" s="32" t="n"/>
      <c r="O289" s="32" t="n"/>
      <c r="P289" s="32" t="n"/>
      <c r="Q289" s="32" t="n"/>
    </row>
    <row r="290" ht="17" customHeight="1">
      <c r="A290" s="27" t="inlineStr">
        <is>
          <t>NAV-008</t>
        </is>
      </c>
      <c r="B290" s="28" t="inlineStr">
        <is>
          <t>17 Navigation &amp; deep links</t>
        </is>
      </c>
      <c r="C290" s="28" t="inlineStr">
        <is>
          <t>Back</t>
        </is>
      </c>
      <c r="D290" s="28" t="inlineStr">
        <is>
          <t>iOS swipe-back</t>
        </is>
      </c>
      <c r="E290" s="28" t="inlineStr">
        <is>
          <t>Swipe from the left edge on pushed screens</t>
        </is>
      </c>
      <c r="F290" s="28" t="inlineStr">
        <is>
          <t>Screen pops; forms with unsaved changes ask first.</t>
        </is>
      </c>
      <c r="G290" s="29" t="inlineStr">
        <is>
          <t>P1</t>
        </is>
      </c>
      <c r="H290" s="29" t="inlineStr">
        <is>
          <t>Functional</t>
        </is>
      </c>
      <c r="I290" s="29" t="inlineStr">
        <is>
          <t>iOS</t>
        </is>
      </c>
      <c r="J290" s="29" t="n"/>
      <c r="K290" s="31" t="inlineStr">
        <is>
          <t>Not Run</t>
        </is>
      </c>
      <c r="L290" s="32" t="n"/>
      <c r="M290" s="33" t="n"/>
      <c r="N290" s="32" t="n"/>
      <c r="O290" s="32" t="n"/>
      <c r="P290" s="32" t="n"/>
      <c r="Q290" s="32" t="n"/>
    </row>
    <row r="291" ht="30" customHeight="1">
      <c r="A291" s="27" t="inlineStr">
        <is>
          <t>NAV-009</t>
        </is>
      </c>
      <c r="B291" s="28" t="inlineStr">
        <is>
          <t>17 Navigation &amp; deep links</t>
        </is>
      </c>
      <c r="C291" s="28" t="inlineStr">
        <is>
          <t>Back</t>
        </is>
      </c>
      <c r="D291" s="28" t="inlineStr">
        <is>
          <t>Completed flows cannot be re-entered with Back</t>
        </is>
      </c>
      <c r="E291" s="28" t="inlineStr">
        <is>
          <t>After booking success, payment result, logout and password reset press Back</t>
        </is>
      </c>
      <c r="F291" s="28" t="inlineStr">
        <is>
          <t>User never returns to a finished or signed-in-only step.</t>
        </is>
      </c>
      <c r="G291" s="29" t="inlineStr">
        <is>
          <t>P0</t>
        </is>
      </c>
      <c r="H291" s="29" t="inlineStr">
        <is>
          <t>Functional</t>
        </is>
      </c>
      <c r="I291" s="29" t="inlineStr">
        <is>
          <t>Both</t>
        </is>
      </c>
      <c r="J291" s="29" t="n"/>
      <c r="K291" s="31" t="inlineStr">
        <is>
          <t>Not Run</t>
        </is>
      </c>
      <c r="L291" s="32" t="n"/>
      <c r="M291" s="33" t="n"/>
      <c r="N291" s="32" t="n"/>
      <c r="O291" s="32" t="n"/>
      <c r="P291" s="32" t="n"/>
      <c r="Q291" s="32" t="n"/>
    </row>
    <row r="292" ht="30" customHeight="1">
      <c r="A292" s="27" t="inlineStr">
        <is>
          <t>NAV-010</t>
        </is>
      </c>
      <c r="B292" s="28" t="inlineStr">
        <is>
          <t>17 Navigation &amp; deep links</t>
        </is>
      </c>
      <c r="C292" s="28" t="inlineStr">
        <is>
          <t>Sheets</t>
        </is>
      </c>
      <c r="D292" s="28" t="inlineStr">
        <is>
          <t>Bottom sheets and dialogs dismiss correctly</t>
        </is>
      </c>
      <c r="E292" s="28" t="inlineStr">
        <is>
          <t>1. Open filter sheets, date pickers and confirm dialogs
2. Dismiss by Back, tap outside and drag</t>
        </is>
      </c>
      <c r="F292" s="28" t="inlineStr">
        <is>
          <t>They close without closing the screen beneath.</t>
        </is>
      </c>
      <c r="G292" s="29" t="inlineStr">
        <is>
          <t>P2</t>
        </is>
      </c>
      <c r="H292" s="29" t="inlineStr">
        <is>
          <t>UI</t>
        </is>
      </c>
      <c r="I292" s="29" t="inlineStr">
        <is>
          <t>Both</t>
        </is>
      </c>
      <c r="J292" s="29" t="n"/>
      <c r="K292" s="31" t="inlineStr">
        <is>
          <t>Not Run</t>
        </is>
      </c>
      <c r="L292" s="32" t="n"/>
      <c r="M292" s="33" t="n"/>
      <c r="N292" s="32" t="n"/>
      <c r="O292" s="32" t="n"/>
      <c r="P292" s="32" t="n"/>
      <c r="Q292" s="32" t="n"/>
    </row>
    <row r="293" ht="17" customHeight="1">
      <c r="A293" s="27" t="inlineStr">
        <is>
          <t>NAV-011</t>
        </is>
      </c>
      <c r="B293" s="28" t="inlineStr">
        <is>
          <t>17 Navigation &amp; deep links</t>
        </is>
      </c>
      <c r="C293" s="28" t="inlineStr">
        <is>
          <t>Not found</t>
        </is>
      </c>
      <c r="D293" s="28" t="inlineStr">
        <is>
          <t>Router error screen</t>
        </is>
      </c>
      <c r="E293" s="28" t="inlineStr">
        <is>
          <t>Navigate to an unregistered path</t>
        </is>
      </c>
      <c r="F293" s="28" t="inlineStr">
        <is>
          <t>Not-found screen is shown.</t>
        </is>
      </c>
      <c r="G293" s="29" t="inlineStr">
        <is>
          <t>P2</t>
        </is>
      </c>
      <c r="H293" s="29" t="inlineStr">
        <is>
          <t>Negative</t>
        </is>
      </c>
      <c r="I293" s="29" t="inlineStr">
        <is>
          <t>Both</t>
        </is>
      </c>
      <c r="J293" s="29" t="n"/>
      <c r="K293" s="31" t="inlineStr">
        <is>
          <t>Not Run</t>
        </is>
      </c>
      <c r="L293" s="32" t="n"/>
      <c r="M293" s="33" t="n"/>
      <c r="N293" s="32" t="n"/>
      <c r="O293" s="32" t="n"/>
      <c r="P293" s="32" t="n"/>
      <c r="Q293" s="32" t="n"/>
    </row>
    <row r="294" ht="30" customHeight="1">
      <c r="A294" s="27" t="inlineStr">
        <is>
          <t>NAV-012</t>
        </is>
      </c>
      <c r="B294" s="28" t="inlineStr">
        <is>
          <t>17 Navigation &amp; deep links</t>
        </is>
      </c>
      <c r="C294" s="28" t="inlineStr">
        <is>
          <t>External</t>
        </is>
      </c>
      <c r="D294" s="28" t="inlineStr">
        <is>
          <t>External links</t>
        </is>
      </c>
      <c r="E294" s="28" t="inlineStr">
        <is>
          <t>Open tel:, map and web links from the app</t>
        </is>
      </c>
      <c r="F294" s="28" t="inlineStr">
        <is>
          <t>Correct OS app opens; if none can handle it, a message is shown.</t>
        </is>
      </c>
      <c r="G294" s="29" t="inlineStr">
        <is>
          <t>P2</t>
        </is>
      </c>
      <c r="H294" s="29" t="inlineStr">
        <is>
          <t>Functional</t>
        </is>
      </c>
      <c r="I294" s="29" t="inlineStr">
        <is>
          <t>Both</t>
        </is>
      </c>
      <c r="J294" s="29" t="n"/>
      <c r="K294" s="31" t="inlineStr">
        <is>
          <t>Not Run</t>
        </is>
      </c>
      <c r="L294" s="32" t="n"/>
      <c r="M294" s="33" t="n"/>
      <c r="N294" s="32" t="n"/>
      <c r="O294" s="32" t="n"/>
      <c r="P294" s="32" t="n"/>
      <c r="Q294" s="32" t="n"/>
    </row>
    <row r="295" ht="43" customHeight="1">
      <c r="A295" s="27" t="inlineStr">
        <is>
          <t>NET-001</t>
        </is>
      </c>
      <c r="B295" s="28" t="inlineStr">
        <is>
          <t>18 Network, offline &amp; cache (Hive)</t>
        </is>
      </c>
      <c r="C295" s="28" t="inlineStr">
        <is>
          <t>Scenario 1</t>
        </is>
      </c>
      <c r="D295" s="28" t="inlineStr">
        <is>
          <t>Cold start, online, empty cache</t>
        </is>
      </c>
      <c r="E295" s="28" t="inlineStr">
        <is>
          <t>1. Fresh install
2. Sign in
3. Open each tab</t>
        </is>
      </c>
      <c r="F295" s="28" t="inlineStr">
        <is>
          <t>Loader, then data; data is written to cache.</t>
        </is>
      </c>
      <c r="G295" s="29" t="inlineStr">
        <is>
          <t>P0</t>
        </is>
      </c>
      <c r="H295" s="29" t="inlineStr">
        <is>
          <t>Offline</t>
        </is>
      </c>
      <c r="I295" s="29" t="inlineStr">
        <is>
          <t>Both</t>
        </is>
      </c>
      <c r="J295" s="29" t="n"/>
      <c r="K295" s="31" t="inlineStr">
        <is>
          <t>Not Run</t>
        </is>
      </c>
      <c r="L295" s="32" t="n"/>
      <c r="M295" s="33" t="n"/>
      <c r="N295" s="32" t="n"/>
      <c r="O295" s="32" t="n"/>
      <c r="P295" s="32" t="n"/>
      <c r="Q295" s="32" t="n"/>
    </row>
    <row r="296" ht="30" customHeight="1">
      <c r="A296" s="27" t="inlineStr">
        <is>
          <t>NET-002</t>
        </is>
      </c>
      <c r="B296" s="28" t="inlineStr">
        <is>
          <t>18 Network, offline &amp; cache (Hive)</t>
        </is>
      </c>
      <c r="C296" s="28" t="inlineStr">
        <is>
          <t>Scenario 2</t>
        </is>
      </c>
      <c r="D296" s="28" t="inlineStr">
        <is>
          <t>Warm start with a valid cache</t>
        </is>
      </c>
      <c r="E296" s="28" t="inlineStr">
        <is>
          <t>Relaunch within a few hours</t>
        </is>
      </c>
      <c r="F296" s="28" t="inlineStr">
        <is>
          <t>Cached content appears immediately, then refreshes in the background without flicker.</t>
        </is>
      </c>
      <c r="G296" s="29" t="inlineStr">
        <is>
          <t>P0</t>
        </is>
      </c>
      <c r="H296" s="29" t="inlineStr">
        <is>
          <t>Offline</t>
        </is>
      </c>
      <c r="I296" s="29" t="inlineStr">
        <is>
          <t>Both</t>
        </is>
      </c>
      <c r="J296" s="29" t="n"/>
      <c r="K296" s="31" t="inlineStr">
        <is>
          <t>Not Run</t>
        </is>
      </c>
      <c r="L296" s="32" t="n"/>
      <c r="M296" s="33" t="n"/>
      <c r="N296" s="32" t="n"/>
      <c r="O296" s="32" t="n"/>
      <c r="P296" s="32" t="n"/>
      <c r="Q296" s="32" t="n"/>
    </row>
    <row r="297" ht="30" customHeight="1">
      <c r="A297" s="27" t="inlineStr">
        <is>
          <t>NET-003</t>
        </is>
      </c>
      <c r="B297" s="28" t="inlineStr">
        <is>
          <t>18 Network, offline &amp; cache (Hive)</t>
        </is>
      </c>
      <c r="C297" s="28" t="inlineStr">
        <is>
          <t>Scenario 3</t>
        </is>
      </c>
      <c r="D297" s="28" t="inlineStr">
        <is>
          <t>Offline with cache</t>
        </is>
      </c>
      <c r="E297" s="28" t="inlineStr">
        <is>
          <t>1. Airplane mode
2. Open previously visited screens</t>
        </is>
      </c>
      <c r="F297" s="28" t="inlineStr">
        <is>
          <t>Cached content with an offline indication; no error screens.</t>
        </is>
      </c>
      <c r="G297" s="29" t="inlineStr">
        <is>
          <t>P0</t>
        </is>
      </c>
      <c r="H297" s="29" t="inlineStr">
        <is>
          <t>Offline</t>
        </is>
      </c>
      <c r="I297" s="29" t="inlineStr">
        <is>
          <t>Both</t>
        </is>
      </c>
      <c r="J297" s="29" t="n"/>
      <c r="K297" s="31" t="inlineStr">
        <is>
          <t>Not Run</t>
        </is>
      </c>
      <c r="L297" s="32" t="n"/>
      <c r="M297" s="33" t="n"/>
      <c r="N297" s="32" t="n"/>
      <c r="O297" s="32" t="n"/>
      <c r="P297" s="32" t="n"/>
      <c r="Q297" s="32" t="n"/>
    </row>
    <row r="298" ht="30" customHeight="1">
      <c r="A298" s="27" t="inlineStr">
        <is>
          <t>NET-004</t>
        </is>
      </c>
      <c r="B298" s="28" t="inlineStr">
        <is>
          <t>18 Network, offline &amp; cache (Hive)</t>
        </is>
      </c>
      <c r="C298" s="28" t="inlineStr">
        <is>
          <t>Scenario 3</t>
        </is>
      </c>
      <c r="D298" s="28" t="inlineStr">
        <is>
          <t>Offline with no cache</t>
        </is>
      </c>
      <c r="E298" s="28" t="inlineStr">
        <is>
          <t>1. Airplane mode
2. Open a screen never visited</t>
        </is>
      </c>
      <c r="F298" s="28" t="inlineStr">
        <is>
          <t>Friendly offline state with Retry; no endless spinner.</t>
        </is>
      </c>
      <c r="G298" s="29" t="inlineStr">
        <is>
          <t>P0</t>
        </is>
      </c>
      <c r="H298" s="29" t="inlineStr">
        <is>
          <t>Offline</t>
        </is>
      </c>
      <c r="I298" s="29" t="inlineStr">
        <is>
          <t>Both</t>
        </is>
      </c>
      <c r="J298" s="29" t="n"/>
      <c r="K298" s="31" t="inlineStr">
        <is>
          <t>Not Run</t>
        </is>
      </c>
      <c r="L298" s="32" t="n"/>
      <c r="M298" s="33" t="n"/>
      <c r="N298" s="32" t="n"/>
      <c r="O298" s="32" t="n"/>
      <c r="P298" s="32" t="n"/>
      <c r="Q298" s="32" t="n"/>
    </row>
    <row r="299" ht="30" customHeight="1">
      <c r="A299" s="27" t="inlineStr">
        <is>
          <t>NET-005</t>
        </is>
      </c>
      <c r="B299" s="28" t="inlineStr">
        <is>
          <t>18 Network, offline &amp; cache (Hive)</t>
        </is>
      </c>
      <c r="C299" s="28" t="inlineStr">
        <is>
          <t>Scenario 4</t>
        </is>
      </c>
      <c r="D299" s="28" t="inlineStr">
        <is>
          <t>Navigation reuses the in-memory cache</t>
        </is>
      </c>
      <c r="E299" s="28" t="inlineStr">
        <is>
          <t>With a proxy, move between Home, Appointments and back</t>
        </is>
      </c>
      <c r="F299" s="28" t="inlineStr">
        <is>
          <t>No repeat request for unchanged data within the validity window.</t>
        </is>
      </c>
      <c r="G299" s="29" t="inlineStr">
        <is>
          <t>P2</t>
        </is>
      </c>
      <c r="H299" s="29" t="inlineStr">
        <is>
          <t>Performance</t>
        </is>
      </c>
      <c r="I299" s="29" t="inlineStr">
        <is>
          <t>Both</t>
        </is>
      </c>
      <c r="J299" s="29" t="n"/>
      <c r="K299" s="31" t="inlineStr">
        <is>
          <t>Not Run</t>
        </is>
      </c>
      <c r="L299" s="32" t="n"/>
      <c r="M299" s="33" t="n"/>
      <c r="N299" s="32" t="n"/>
      <c r="O299" s="32" t="n"/>
      <c r="P299" s="32" t="n"/>
      <c r="Q299" s="32" t="n"/>
    </row>
    <row r="300" ht="30" customHeight="1">
      <c r="A300" s="27" t="inlineStr">
        <is>
          <t>NET-006</t>
        </is>
      </c>
      <c r="B300" s="28" t="inlineStr">
        <is>
          <t>18 Network, offline &amp; cache (Hive)</t>
        </is>
      </c>
      <c r="C300" s="28" t="inlineStr">
        <is>
          <t>Scenario 5</t>
        </is>
      </c>
      <c r="D300" s="28" t="inlineStr">
        <is>
          <t>Stale cache (older than 24 h)</t>
        </is>
      </c>
      <c r="E300" s="28" t="inlineStr">
        <is>
          <t>Set the device date forward by 2 days offline, or leave the app unused for 24 h+</t>
        </is>
      </c>
      <c r="F300" s="28" t="inlineStr">
        <is>
          <t>Old data shows with a 'data from…' indication; refresh replaces it.</t>
        </is>
      </c>
      <c r="G300" s="29" t="inlineStr">
        <is>
          <t>P1</t>
        </is>
      </c>
      <c r="H300" s="29" t="inlineStr">
        <is>
          <t>Offline</t>
        </is>
      </c>
      <c r="I300" s="29" t="inlineStr">
        <is>
          <t>Both</t>
        </is>
      </c>
      <c r="J300" s="29" t="n"/>
      <c r="K300" s="31" t="inlineStr">
        <is>
          <t>Not Run</t>
        </is>
      </c>
      <c r="L300" s="32" t="n"/>
      <c r="M300" s="33" t="n"/>
      <c r="N300" s="32" t="n"/>
      <c r="O300" s="32" t="n"/>
      <c r="P300" s="32" t="n"/>
      <c r="Q300" s="32" t="n"/>
    </row>
    <row r="301" ht="30" customHeight="1">
      <c r="A301" s="27" t="inlineStr">
        <is>
          <t>NET-007</t>
        </is>
      </c>
      <c r="B301" s="28" t="inlineStr">
        <is>
          <t>18 Network, offline &amp; cache (Hive)</t>
        </is>
      </c>
      <c r="C301" s="28" t="inlineStr">
        <is>
          <t>Scenario 6</t>
        </is>
      </c>
      <c r="D301" s="28" t="inlineStr">
        <is>
          <t>Conditional requests (304)</t>
        </is>
      </c>
      <c r="E301" s="28" t="inlineStr">
        <is>
          <t>With a proxy, refresh a screen whose data has not changed</t>
        </is>
      </c>
      <c r="F301" s="28" t="inlineStr">
        <is>
          <t>Request carries If-None-Match; a 304 keeps the cached data and updates its freshness.</t>
        </is>
      </c>
      <c r="G301" s="29" t="inlineStr">
        <is>
          <t>P2</t>
        </is>
      </c>
      <c r="H301" s="29" t="inlineStr">
        <is>
          <t>Performance</t>
        </is>
      </c>
      <c r="I301" s="29" t="inlineStr">
        <is>
          <t>Both</t>
        </is>
      </c>
      <c r="J301" s="29" t="n"/>
      <c r="K301" s="31" t="inlineStr">
        <is>
          <t>Not Run</t>
        </is>
      </c>
      <c r="L301" s="32" t="n"/>
      <c r="M301" s="33" t="n"/>
      <c r="N301" s="32" t="n"/>
      <c r="O301" s="32" t="n"/>
      <c r="P301" s="32" t="n"/>
      <c r="Q301" s="32" t="n"/>
    </row>
    <row r="302" ht="30" customHeight="1">
      <c r="A302" s="27" t="inlineStr">
        <is>
          <t>NET-008</t>
        </is>
      </c>
      <c r="B302" s="28" t="inlineStr">
        <is>
          <t>18 Network, offline &amp; cache (Hive)</t>
        </is>
      </c>
      <c r="C302" s="28" t="inlineStr">
        <is>
          <t>Scenario 7</t>
        </is>
      </c>
      <c r="D302" s="28" t="inlineStr">
        <is>
          <t>Concurrent request de-duplication</t>
        </is>
      </c>
      <c r="E302" s="28" t="inlineStr">
        <is>
          <t>Open a screen where two widgets need the same data</t>
        </is>
      </c>
      <c r="F302" s="28" t="inlineStr">
        <is>
          <t>One network call for that resource.</t>
        </is>
      </c>
      <c r="G302" s="29" t="inlineStr">
        <is>
          <t>P2</t>
        </is>
      </c>
      <c r="H302" s="29" t="inlineStr">
        <is>
          <t>Performance</t>
        </is>
      </c>
      <c r="I302" s="29" t="inlineStr">
        <is>
          <t>Both</t>
        </is>
      </c>
      <c r="J302" s="29" t="n"/>
      <c r="K302" s="31" t="inlineStr">
        <is>
          <t>Not Run</t>
        </is>
      </c>
      <c r="L302" s="32" t="n"/>
      <c r="M302" s="33" t="n"/>
      <c r="N302" s="32" t="n"/>
      <c r="O302" s="32" t="n"/>
      <c r="P302" s="32" t="n"/>
      <c r="Q302" s="32" t="n"/>
    </row>
    <row r="303" ht="30" customHeight="1">
      <c r="A303" s="27" t="inlineStr">
        <is>
          <t>NET-009</t>
        </is>
      </c>
      <c r="B303" s="28" t="inlineStr">
        <is>
          <t>18 Network, offline &amp; cache (Hive)</t>
        </is>
      </c>
      <c r="C303" s="28" t="inlineStr">
        <is>
          <t>Scenario 8</t>
        </is>
      </c>
      <c r="D303" s="28" t="inlineStr">
        <is>
          <t>Cache size limits and eviction</t>
        </is>
      </c>
      <c r="E303" s="28" t="inlineStr">
        <is>
          <t>1. Browse heavily (many doctors, hospitals, images)
2. Check app storage</t>
        </is>
      </c>
      <c r="F303" s="28" t="inlineStr">
        <is>
          <t>App storage stays within the configured ceiling; oldest entries are evicted; no crash.</t>
        </is>
      </c>
      <c r="G303" s="29" t="inlineStr">
        <is>
          <t>P2</t>
        </is>
      </c>
      <c r="H303" s="29" t="inlineStr">
        <is>
          <t>Performance</t>
        </is>
      </c>
      <c r="I303" s="29" t="inlineStr">
        <is>
          <t>Both</t>
        </is>
      </c>
      <c r="J303" s="29" t="n"/>
      <c r="K303" s="31" t="inlineStr">
        <is>
          <t>Not Run</t>
        </is>
      </c>
      <c r="L303" s="32" t="n"/>
      <c r="M303" s="33" t="n"/>
      <c r="N303" s="32" t="n"/>
      <c r="O303" s="32" t="n"/>
      <c r="P303" s="32" t="n"/>
      <c r="Q303" s="32" t="n"/>
    </row>
    <row r="304" ht="30" customHeight="1">
      <c r="A304" s="27" t="inlineStr">
        <is>
          <t>NET-010</t>
        </is>
      </c>
      <c r="B304" s="28" t="inlineStr">
        <is>
          <t>18 Network, offline &amp; cache (Hive)</t>
        </is>
      </c>
      <c r="C304" s="28" t="inlineStr">
        <is>
          <t>Scenario 9</t>
        </is>
      </c>
      <c r="D304" s="28" t="inlineStr">
        <is>
          <t>Corrupted cache recovery</t>
        </is>
      </c>
      <c r="E304" s="28" t="inlineStr">
        <is>
          <t>1. On a debug build, corrupt a cache entry/box
2. Open the affected screen</t>
        </is>
      </c>
      <c r="F304" s="28" t="inlineStr">
        <is>
          <t>App recovers by refetching; no crash; the bad entry is dropped.</t>
        </is>
      </c>
      <c r="G304" s="29" t="inlineStr">
        <is>
          <t>P1</t>
        </is>
      </c>
      <c r="H304" s="29" t="inlineStr">
        <is>
          <t>Negative</t>
        </is>
      </c>
      <c r="I304" s="29" t="inlineStr">
        <is>
          <t>Both</t>
        </is>
      </c>
      <c r="J304" s="29" t="n"/>
      <c r="K304" s="31" t="inlineStr">
        <is>
          <t>Not Run</t>
        </is>
      </c>
      <c r="L304" s="32" t="n"/>
      <c r="M304" s="33" t="n"/>
      <c r="N304" s="32" t="n"/>
      <c r="O304" s="32" t="n"/>
      <c r="P304" s="32" t="n"/>
      <c r="Q304" s="32" t="n"/>
    </row>
    <row r="305" ht="30" customHeight="1">
      <c r="A305" s="27" t="inlineStr">
        <is>
          <t>NET-011</t>
        </is>
      </c>
      <c r="B305" s="28" t="inlineStr">
        <is>
          <t>18 Network, offline &amp; cache (Hive)</t>
        </is>
      </c>
      <c r="C305" s="28" t="inlineStr">
        <is>
          <t>Scenario 10</t>
        </is>
      </c>
      <c r="D305" s="28" t="inlineStr">
        <is>
          <t>Invalid server response</t>
        </is>
      </c>
      <c r="E305" s="28" t="inlineStr">
        <is>
          <t>With a proxy, return malformed JSON and an HTML page with a 200</t>
        </is>
      </c>
      <c r="F305" s="28" t="inlineStr">
        <is>
          <t>Error state with retry; the bad response is not cached; previous good cache remains.</t>
        </is>
      </c>
      <c r="G305" s="29" t="inlineStr">
        <is>
          <t>P1</t>
        </is>
      </c>
      <c r="H305" s="29" t="inlineStr">
        <is>
          <t>Negative</t>
        </is>
      </c>
      <c r="I305" s="29" t="inlineStr">
        <is>
          <t>Both</t>
        </is>
      </c>
      <c r="J305" s="29" t="n"/>
      <c r="K305" s="31" t="inlineStr">
        <is>
          <t>Not Run</t>
        </is>
      </c>
      <c r="L305" s="32" t="n"/>
      <c r="M305" s="33" t="n"/>
      <c r="N305" s="32" t="n"/>
      <c r="O305" s="32" t="n"/>
      <c r="P305" s="32" t="n"/>
      <c r="Q305" s="32" t="n"/>
    </row>
    <row r="306" ht="30" customHeight="1">
      <c r="A306" s="27" t="inlineStr">
        <is>
          <t>NET-012</t>
        </is>
      </c>
      <c r="B306" s="28" t="inlineStr">
        <is>
          <t>18 Network, offline &amp; cache (Hive)</t>
        </is>
      </c>
      <c r="C306" s="28" t="inlineStr">
        <is>
          <t>Transitions</t>
        </is>
      </c>
      <c r="D306" s="28" t="inlineStr">
        <is>
          <t>Reconnect refreshes</t>
        </is>
      </c>
      <c r="E306" s="28" t="inlineStr">
        <is>
          <t>1. Go offline on a screen
2. Come back online</t>
        </is>
      </c>
      <c r="F306" s="28" t="inlineStr">
        <is>
          <t>Offline indication clears and data refreshes automatically or on tap.</t>
        </is>
      </c>
      <c r="G306" s="29" t="inlineStr">
        <is>
          <t>P1</t>
        </is>
      </c>
      <c r="H306" s="29" t="inlineStr">
        <is>
          <t>Offline</t>
        </is>
      </c>
      <c r="I306" s="29" t="inlineStr">
        <is>
          <t>Both</t>
        </is>
      </c>
      <c r="J306" s="29" t="n"/>
      <c r="K306" s="31" t="inlineStr">
        <is>
          <t>Not Run</t>
        </is>
      </c>
      <c r="L306" s="32" t="n"/>
      <c r="M306" s="33" t="n"/>
      <c r="N306" s="32" t="n"/>
      <c r="O306" s="32" t="n"/>
      <c r="P306" s="32" t="n"/>
      <c r="Q306" s="32" t="n"/>
    </row>
    <row r="307" ht="30" customHeight="1">
      <c r="A307" s="27" t="inlineStr">
        <is>
          <t>NET-013</t>
        </is>
      </c>
      <c r="B307" s="28" t="inlineStr">
        <is>
          <t>18 Network, offline &amp; cache (Hive)</t>
        </is>
      </c>
      <c r="C307" s="28" t="inlineStr">
        <is>
          <t>Slow network</t>
        </is>
      </c>
      <c r="D307" s="28" t="inlineStr">
        <is>
          <t>Slow 2G/3G</t>
        </is>
      </c>
      <c r="E307" s="28" t="inlineStr">
        <is>
          <t>1. Throttle to 2G
2. Use Home, search and booking</t>
        </is>
      </c>
      <c r="F307" s="28" t="inlineStr">
        <is>
          <t>Loaders are shown; requests time out after about 10 s with 'taking longer than usual' and Retry.</t>
        </is>
      </c>
      <c r="G307" s="29" t="inlineStr">
        <is>
          <t>P1</t>
        </is>
      </c>
      <c r="H307" s="29" t="inlineStr">
        <is>
          <t>Performance</t>
        </is>
      </c>
      <c r="I307" s="29" t="inlineStr">
        <is>
          <t>Both</t>
        </is>
      </c>
      <c r="J307" s="29" t="n"/>
      <c r="K307" s="31" t="inlineStr">
        <is>
          <t>Not Run</t>
        </is>
      </c>
      <c r="L307" s="32" t="n"/>
      <c r="M307" s="33" t="n"/>
      <c r="N307" s="32" t="n"/>
      <c r="O307" s="32" t="n"/>
      <c r="P307" s="32" t="n"/>
      <c r="Q307" s="32" t="n"/>
    </row>
    <row r="308" ht="30" customHeight="1">
      <c r="A308" s="27" t="inlineStr">
        <is>
          <t>NET-014</t>
        </is>
      </c>
      <c r="B308" s="28" t="inlineStr">
        <is>
          <t>18 Network, offline &amp; cache (Hive)</t>
        </is>
      </c>
      <c r="C308" s="28" t="inlineStr">
        <is>
          <t>Flaky</t>
        </is>
      </c>
      <c r="D308" s="28" t="inlineStr">
        <is>
          <t>Wi-Fi to mobile data switch mid-request</t>
        </is>
      </c>
      <c r="E308" s="28" t="inlineStr">
        <is>
          <t>1. Start a load
2. Switch networks</t>
        </is>
      </c>
      <c r="F308" s="28" t="inlineStr">
        <is>
          <t>Request recovers or fails cleanly with Retry.</t>
        </is>
      </c>
      <c r="G308" s="29" t="inlineStr">
        <is>
          <t>P2</t>
        </is>
      </c>
      <c r="H308" s="29" t="inlineStr">
        <is>
          <t>Negative</t>
        </is>
      </c>
      <c r="I308" s="29" t="inlineStr">
        <is>
          <t>Both</t>
        </is>
      </c>
      <c r="J308" s="29" t="n"/>
      <c r="K308" s="31" t="inlineStr">
        <is>
          <t>Not Run</t>
        </is>
      </c>
      <c r="L308" s="32" t="n"/>
      <c r="M308" s="33" t="n"/>
      <c r="N308" s="32" t="n"/>
      <c r="O308" s="32" t="n"/>
      <c r="P308" s="32" t="n"/>
      <c r="Q308" s="32" t="n"/>
    </row>
    <row r="309" ht="30" customHeight="1">
      <c r="A309" s="27" t="inlineStr">
        <is>
          <t>NET-015</t>
        </is>
      </c>
      <c r="B309" s="28" t="inlineStr">
        <is>
          <t>18 Network, offline &amp; cache (Hive)</t>
        </is>
      </c>
      <c r="C309" s="28" t="inlineStr">
        <is>
          <t>Mutations</t>
        </is>
      </c>
      <c r="D309" s="28" t="inlineStr">
        <is>
          <t>Write actions offline</t>
        </is>
      </c>
      <c r="E309" s="28" t="inlineStr">
        <is>
          <t>Offline: try booking, cancelling, editing profile, uploading, sending a ticket reply</t>
        </is>
      </c>
      <c r="F309" s="28" t="inlineStr">
        <is>
          <t>Each is refused with a clear message; nothing is queued silently; no duplicate after reconnecting.</t>
        </is>
      </c>
      <c r="G309" s="29" t="inlineStr">
        <is>
          <t>P0</t>
        </is>
      </c>
      <c r="H309" s="29" t="inlineStr">
        <is>
          <t>Offline</t>
        </is>
      </c>
      <c r="I309" s="29" t="inlineStr">
        <is>
          <t>Both</t>
        </is>
      </c>
      <c r="J309" s="29" t="n"/>
      <c r="K309" s="31" t="inlineStr">
        <is>
          <t>Not Run</t>
        </is>
      </c>
      <c r="L309" s="32" t="n"/>
      <c r="M309" s="33" t="n"/>
      <c r="N309" s="32" t="n"/>
      <c r="O309" s="32" t="n"/>
      <c r="P309" s="32" t="n"/>
      <c r="Q309" s="32" t="n"/>
    </row>
    <row r="310" ht="43" customHeight="1">
      <c r="A310" s="27" t="inlineStr">
        <is>
          <t>NET-016</t>
        </is>
      </c>
      <c r="B310" s="28" t="inlineStr">
        <is>
          <t>18 Network, offline &amp; cache (Hive)</t>
        </is>
      </c>
      <c r="C310" s="28" t="inlineStr">
        <is>
          <t>Fresh data</t>
        </is>
      </c>
      <c r="D310" s="28" t="inlineStr">
        <is>
          <t>Slots and fees are never served stale</t>
        </is>
      </c>
      <c r="E310" s="28" t="inlineStr">
        <is>
          <t>1. View slots
2. Have another user book one
3. Return to the slot list</t>
        </is>
      </c>
      <c r="F310" s="28" t="inlineStr">
        <is>
          <t>Slot list reloads from the server when shown; the taken slot is no longer selectable.</t>
        </is>
      </c>
      <c r="G310" s="29" t="inlineStr">
        <is>
          <t>P0</t>
        </is>
      </c>
      <c r="H310" s="29" t="inlineStr">
        <is>
          <t>Functional</t>
        </is>
      </c>
      <c r="I310" s="29" t="inlineStr">
        <is>
          <t>Both</t>
        </is>
      </c>
      <c r="J310" s="29" t="n"/>
      <c r="K310" s="31" t="inlineStr">
        <is>
          <t>Not Run</t>
        </is>
      </c>
      <c r="L310" s="32" t="n"/>
      <c r="M310" s="33" t="n"/>
      <c r="N310" s="32" t="n"/>
      <c r="O310" s="32" t="n"/>
      <c r="P310" s="32" t="n"/>
      <c r="Q310" s="32" t="n"/>
    </row>
    <row r="311" ht="56" customHeight="1">
      <c r="A311" s="27" t="inlineStr">
        <is>
          <t>NET-017</t>
        </is>
      </c>
      <c r="B311" s="28" t="inlineStr">
        <is>
          <t>18 Network, offline &amp; cache (Hive)</t>
        </is>
      </c>
      <c r="C311" s="28" t="inlineStr">
        <is>
          <t>Isolation</t>
        </is>
      </c>
      <c r="D311" s="28" t="inlineStr">
        <is>
          <t>Cache is separated between users</t>
        </is>
      </c>
      <c r="E311" s="28" t="inlineStr">
        <is>
          <t>1. Sign in as user A, browse
2. Log out
3. Sign in as user B
4. Go offline</t>
        </is>
      </c>
      <c r="F311" s="28" t="inlineStr">
        <is>
          <t>User B never sees A's appointments, records or profile.</t>
        </is>
      </c>
      <c r="G311" s="29" t="inlineStr">
        <is>
          <t>P0</t>
        </is>
      </c>
      <c r="H311" s="29" t="inlineStr">
        <is>
          <t>Security</t>
        </is>
      </c>
      <c r="I311" s="29" t="inlineStr">
        <is>
          <t>Both</t>
        </is>
      </c>
      <c r="J311" s="29" t="n"/>
      <c r="K311" s="31" t="inlineStr">
        <is>
          <t>Not Run</t>
        </is>
      </c>
      <c r="L311" s="32" t="n"/>
      <c r="M311" s="33" t="n"/>
      <c r="N311" s="32" t="n"/>
      <c r="O311" s="32" t="n"/>
      <c r="P311" s="32" t="n"/>
      <c r="Q311" s="32" t="n"/>
    </row>
    <row r="312" ht="30" customHeight="1">
      <c r="A312" s="27" t="inlineStr">
        <is>
          <t>NET-018</t>
        </is>
      </c>
      <c r="B312" s="28" t="inlineStr">
        <is>
          <t>18 Network, offline &amp; cache (Hive)</t>
        </is>
      </c>
      <c r="C312" s="28" t="inlineStr">
        <is>
          <t>Server errors</t>
        </is>
      </c>
      <c r="D312" s="28" t="inlineStr">
        <is>
          <t>5xx responses</t>
        </is>
      </c>
      <c r="E312" s="28" t="inlineStr">
        <is>
          <t>Simulate 500 and 503 on a list and on an action</t>
        </is>
      </c>
      <c r="F312" s="28" t="inlineStr">
        <is>
          <t>Generic friendly error with Retry; no raw error text.</t>
        </is>
      </c>
      <c r="G312" s="29" t="inlineStr">
        <is>
          <t>P1</t>
        </is>
      </c>
      <c r="H312" s="29" t="inlineStr">
        <is>
          <t>Negative</t>
        </is>
      </c>
      <c r="I312" s="29" t="inlineStr">
        <is>
          <t>Both</t>
        </is>
      </c>
      <c r="J312" s="29" t="n"/>
      <c r="K312" s="31" t="inlineStr">
        <is>
          <t>Not Run</t>
        </is>
      </c>
      <c r="L312" s="32" t="n"/>
      <c r="M312" s="33" t="n"/>
      <c r="N312" s="32" t="n"/>
      <c r="O312" s="32" t="n"/>
      <c r="P312" s="32" t="n"/>
      <c r="Q312" s="32" t="n"/>
    </row>
    <row r="313" ht="30" customHeight="1">
      <c r="A313" s="27" t="inlineStr">
        <is>
          <t>NET-019</t>
        </is>
      </c>
      <c r="B313" s="28" t="inlineStr">
        <is>
          <t>18 Network, offline &amp; cache (Hive)</t>
        </is>
      </c>
      <c r="C313" s="28" t="inlineStr">
        <is>
          <t>Server errors</t>
        </is>
      </c>
      <c r="D313" s="28" t="inlineStr">
        <is>
          <t>Rate limited (429)</t>
        </is>
      </c>
      <c r="E313" s="28" t="inlineStr">
        <is>
          <t>Simulate 429 with Retry-After</t>
        </is>
      </c>
      <c r="F313" s="28" t="inlineStr">
        <is>
          <t>User is asked to wait the stated time; the app does not hammer the server.</t>
        </is>
      </c>
      <c r="G313" s="29" t="inlineStr">
        <is>
          <t>P2</t>
        </is>
      </c>
      <c r="H313" s="29" t="inlineStr">
        <is>
          <t>Negative</t>
        </is>
      </c>
      <c r="I313" s="29" t="inlineStr">
        <is>
          <t>Both</t>
        </is>
      </c>
      <c r="J313" s="29" t="n"/>
      <c r="K313" s="31" t="inlineStr">
        <is>
          <t>Not Run</t>
        </is>
      </c>
      <c r="L313" s="32" t="n"/>
      <c r="M313" s="33" t="n"/>
      <c r="N313" s="32" t="n"/>
      <c r="O313" s="32" t="n"/>
      <c r="P313" s="32" t="n"/>
      <c r="Q313" s="32" t="n"/>
    </row>
    <row r="314" ht="30" customHeight="1">
      <c r="A314" s="27" t="inlineStr">
        <is>
          <t>NET-020</t>
        </is>
      </c>
      <c r="B314" s="28" t="inlineStr">
        <is>
          <t>18 Network, offline &amp; cache (Hive)</t>
        </is>
      </c>
      <c r="C314" s="28" t="inlineStr">
        <is>
          <t>Networks</t>
        </is>
      </c>
      <c r="D314" s="28" t="inlineStr">
        <is>
          <t>Restricted networks</t>
        </is>
      </c>
      <c r="E314" s="28" t="inlineStr">
        <is>
          <t>Use a captive-portal Wi-Fi, a VPN and an IPv6-only network</t>
        </is>
      </c>
      <c r="F314" s="28" t="inlineStr">
        <is>
          <t>App works on VPN and IPv6; captive portal shows an error rather than parsing the portal page.</t>
        </is>
      </c>
      <c r="G314" s="29" t="inlineStr">
        <is>
          <t>P2</t>
        </is>
      </c>
      <c r="H314" s="29" t="inlineStr">
        <is>
          <t>Compatibility</t>
        </is>
      </c>
      <c r="I314" s="29" t="inlineStr">
        <is>
          <t>Both</t>
        </is>
      </c>
      <c r="J314" s="29" t="n"/>
      <c r="K314" s="31" t="inlineStr">
        <is>
          <t>Not Run</t>
        </is>
      </c>
      <c r="L314" s="32" t="n"/>
      <c r="M314" s="33" t="n"/>
      <c r="N314" s="32" t="n"/>
      <c r="O314" s="32" t="n"/>
      <c r="P314" s="32" t="n"/>
      <c r="Q314" s="32" t="n"/>
    </row>
    <row r="315" ht="30" customHeight="1">
      <c r="A315" s="27" t="inlineStr">
        <is>
          <t>NET-021</t>
        </is>
      </c>
      <c r="B315" s="28" t="inlineStr">
        <is>
          <t>18 Network, offline &amp; cache (Hive)</t>
        </is>
      </c>
      <c r="C315" s="28" t="inlineStr">
        <is>
          <t>App config</t>
        </is>
      </c>
      <c r="D315" s="28" t="inlineStr">
        <is>
          <t>Maintenance / minimum version handling</t>
        </is>
      </c>
      <c r="E315" s="28" t="inlineStr">
        <is>
          <t>Change app-config on the backend (maintenance, minimum version) if supported</t>
        </is>
      </c>
      <c r="F315" s="28" t="inlineStr">
        <is>
          <t>User sees a maintenance or update-required message rather than broken screens.</t>
        </is>
      </c>
      <c r="G315" s="29" t="inlineStr">
        <is>
          <t>P1</t>
        </is>
      </c>
      <c r="H315" s="29" t="inlineStr">
        <is>
          <t>Functional</t>
        </is>
      </c>
      <c r="I315" s="29" t="inlineStr">
        <is>
          <t>Both</t>
        </is>
      </c>
      <c r="J315" s="29" t="n"/>
      <c r="K315" s="31" t="inlineStr">
        <is>
          <t>Not Run</t>
        </is>
      </c>
      <c r="L315" s="32" t="n"/>
      <c r="M315" s="33" t="n"/>
      <c r="N315" s="32" t="n"/>
      <c r="O315" s="32" t="n"/>
      <c r="P315" s="32" t="n"/>
      <c r="Q315" s="32" t="n"/>
    </row>
    <row r="316" ht="30" customHeight="1">
      <c r="A316" s="27" t="inlineStr">
        <is>
          <t>ERR-001</t>
        </is>
      </c>
      <c r="B316" s="28" t="inlineStr">
        <is>
          <t>19 Error handling &amp; states</t>
        </is>
      </c>
      <c r="C316" s="28" t="inlineStr">
        <is>
          <t>States</t>
        </is>
      </c>
      <c r="D316" s="28" t="inlineStr">
        <is>
          <t>Every data screen has loading, empty and error states</t>
        </is>
      </c>
      <c r="E316" s="28" t="inlineStr">
        <is>
          <t>For each screen on the Screen Coverage sheet, force the loading, empty and error states</t>
        </is>
      </c>
      <c r="F316" s="28" t="inlineStr">
        <is>
          <t>No blank screens; each state has copy and, for errors, a Retry.</t>
        </is>
      </c>
      <c r="G316" s="29" t="inlineStr">
        <is>
          <t>P0</t>
        </is>
      </c>
      <c r="H316" s="29" t="inlineStr">
        <is>
          <t>UI</t>
        </is>
      </c>
      <c r="I316" s="29" t="inlineStr">
        <is>
          <t>Both</t>
        </is>
      </c>
      <c r="J316" s="29" t="n"/>
      <c r="K316" s="31" t="inlineStr">
        <is>
          <t>Not Run</t>
        </is>
      </c>
      <c r="L316" s="32" t="n"/>
      <c r="M316" s="33" t="n"/>
      <c r="N316" s="32" t="n"/>
      <c r="O316" s="32" t="n"/>
      <c r="P316" s="32" t="n"/>
      <c r="Q316" s="32" t="n"/>
    </row>
    <row r="317" ht="30" customHeight="1">
      <c r="A317" s="27" t="inlineStr">
        <is>
          <t>ERR-002</t>
        </is>
      </c>
      <c r="B317" s="28" t="inlineStr">
        <is>
          <t>19 Error handling &amp; states</t>
        </is>
      </c>
      <c r="C317" s="28" t="inlineStr">
        <is>
          <t>Messages</t>
        </is>
      </c>
      <c r="D317" s="28" t="inlineStr">
        <is>
          <t>Errors are written for patients</t>
        </is>
      </c>
      <c r="E317" s="28" t="inlineStr">
        <is>
          <t>Collect every error seen during the run</t>
        </is>
      </c>
      <c r="F317" s="28" t="inlineStr">
        <is>
          <t>Plain language with a next step; no codes, stack traces, URLs or UUIDs.</t>
        </is>
      </c>
      <c r="G317" s="29" t="inlineStr">
        <is>
          <t>P1</t>
        </is>
      </c>
      <c r="H317" s="29" t="inlineStr">
        <is>
          <t>UI</t>
        </is>
      </c>
      <c r="I317" s="29" t="inlineStr">
        <is>
          <t>Both</t>
        </is>
      </c>
      <c r="J317" s="29" t="n"/>
      <c r="K317" s="31" t="inlineStr">
        <is>
          <t>Not Run</t>
        </is>
      </c>
      <c r="L317" s="32" t="n"/>
      <c r="M317" s="33" t="n"/>
      <c r="N317" s="32" t="n"/>
      <c r="O317" s="32" t="n"/>
      <c r="P317" s="32" t="n"/>
      <c r="Q317" s="32" t="n"/>
    </row>
    <row r="318" ht="30" customHeight="1">
      <c r="A318" s="27" t="inlineStr">
        <is>
          <t>ERR-003</t>
        </is>
      </c>
      <c r="B318" s="28" t="inlineStr">
        <is>
          <t>19 Error handling &amp; states</t>
        </is>
      </c>
      <c r="C318" s="28" t="inlineStr">
        <is>
          <t>Validation</t>
        </is>
      </c>
      <c r="D318" s="28" t="inlineStr">
        <is>
          <t>Server validation maps to fields (incl. nested)</t>
        </is>
      </c>
      <c r="E318" s="28" t="inlineStr">
        <is>
          <t>Trigger a 400 with field and nested errors (e.g. address.city)</t>
        </is>
      </c>
      <c r="F318" s="28" t="inlineStr">
        <is>
          <t>Each message appears under its field.</t>
        </is>
      </c>
      <c r="G318" s="29" t="inlineStr">
        <is>
          <t>P1</t>
        </is>
      </c>
      <c r="H318" s="29" t="inlineStr">
        <is>
          <t>Negative</t>
        </is>
      </c>
      <c r="I318" s="29" t="inlineStr">
        <is>
          <t>Both</t>
        </is>
      </c>
      <c r="J318" s="29" t="n"/>
      <c r="K318" s="31" t="inlineStr">
        <is>
          <t>Not Run</t>
        </is>
      </c>
      <c r="L318" s="32" t="n"/>
      <c r="M318" s="33" t="n"/>
      <c r="N318" s="32" t="n"/>
      <c r="O318" s="32" t="n"/>
      <c r="P318" s="32" t="n"/>
      <c r="Q318" s="32" t="n"/>
    </row>
    <row r="319" ht="17" customHeight="1">
      <c r="A319" s="27" t="inlineStr">
        <is>
          <t>ERR-004</t>
        </is>
      </c>
      <c r="B319" s="28" t="inlineStr">
        <is>
          <t>19 Error handling &amp; states</t>
        </is>
      </c>
      <c r="C319" s="28" t="inlineStr">
        <is>
          <t>Not found</t>
        </is>
      </c>
      <c r="D319" s="28" t="inlineStr">
        <is>
          <t>404 on a detail screen</t>
        </is>
      </c>
      <c r="E319" s="28" t="inlineStr">
        <is>
          <t>Open a detail whose item was deleted</t>
        </is>
      </c>
      <c r="F319" s="28" t="inlineStr">
        <is>
          <t>Not-found view.</t>
        </is>
      </c>
      <c r="G319" s="29" t="inlineStr">
        <is>
          <t>P1</t>
        </is>
      </c>
      <c r="H319" s="29" t="inlineStr">
        <is>
          <t>Negative</t>
        </is>
      </c>
      <c r="I319" s="29" t="inlineStr">
        <is>
          <t>Both</t>
        </is>
      </c>
      <c r="J319" s="29" t="n"/>
      <c r="K319" s="31" t="inlineStr">
        <is>
          <t>Not Run</t>
        </is>
      </c>
      <c r="L319" s="32" t="n"/>
      <c r="M319" s="33" t="n"/>
      <c r="N319" s="32" t="n"/>
      <c r="O319" s="32" t="n"/>
      <c r="P319" s="32" t="n"/>
      <c r="Q319" s="32" t="n"/>
    </row>
    <row r="320" ht="30" customHeight="1">
      <c r="A320" s="27" t="inlineStr">
        <is>
          <t>ERR-005</t>
        </is>
      </c>
      <c r="B320" s="28" t="inlineStr">
        <is>
          <t>19 Error handling &amp; states</t>
        </is>
      </c>
      <c r="C320" s="28" t="inlineStr">
        <is>
          <t>Conflict</t>
        </is>
      </c>
      <c r="D320" s="28" t="inlineStr">
        <is>
          <t>Version conflict (409)</t>
        </is>
      </c>
      <c r="E320" s="28" t="inlineStr">
        <is>
          <t>Edit the same row on two devices</t>
        </is>
      </c>
      <c r="F320" s="28" t="inlineStr">
        <is>
          <t>User is told the data changed and can retry with fresh data.</t>
        </is>
      </c>
      <c r="G320" s="29" t="inlineStr">
        <is>
          <t>P2</t>
        </is>
      </c>
      <c r="H320" s="29" t="inlineStr">
        <is>
          <t>Negative</t>
        </is>
      </c>
      <c r="I320" s="29" t="inlineStr">
        <is>
          <t>Both</t>
        </is>
      </c>
      <c r="J320" s="29" t="n"/>
      <c r="K320" s="31" t="inlineStr">
        <is>
          <t>Not Run</t>
        </is>
      </c>
      <c r="L320" s="32" t="n"/>
      <c r="M320" s="33" t="n"/>
      <c r="N320" s="32" t="n"/>
      <c r="O320" s="32" t="n"/>
      <c r="P320" s="32" t="n"/>
      <c r="Q320" s="32" t="n"/>
    </row>
    <row r="321" ht="30" customHeight="1">
      <c r="A321" s="27" t="inlineStr">
        <is>
          <t>ERR-006</t>
        </is>
      </c>
      <c r="B321" s="28" t="inlineStr">
        <is>
          <t>19 Error handling &amp; states</t>
        </is>
      </c>
      <c r="C321" s="28" t="inlineStr">
        <is>
          <t>Unavailable</t>
        </is>
      </c>
      <c r="D321" s="28" t="inlineStr">
        <is>
          <t>Feature switched off on the server (501)</t>
        </is>
      </c>
      <c r="E321" s="28" t="inlineStr">
        <is>
          <t>Simulate NOT_IMPLEMENTED_YET</t>
        </is>
      </c>
      <c r="F321" s="28" t="inlineStr">
        <is>
          <t>'Not available yet' message; no crash.</t>
        </is>
      </c>
      <c r="G321" s="29" t="inlineStr">
        <is>
          <t>P3</t>
        </is>
      </c>
      <c r="H321" s="29" t="inlineStr">
        <is>
          <t>Negative</t>
        </is>
      </c>
      <c r="I321" s="29" t="inlineStr">
        <is>
          <t>Both</t>
        </is>
      </c>
      <c r="J321" s="29" t="n"/>
      <c r="K321" s="31" t="inlineStr">
        <is>
          <t>Not Run</t>
        </is>
      </c>
      <c r="L321" s="32" t="n"/>
      <c r="M321" s="33" t="n"/>
      <c r="N321" s="32" t="n"/>
      <c r="O321" s="32" t="n"/>
      <c r="P321" s="32" t="n"/>
      <c r="Q321" s="32" t="n"/>
    </row>
    <row r="322" ht="17" customHeight="1">
      <c r="A322" s="27" t="inlineStr">
        <is>
          <t>ERR-007</t>
        </is>
      </c>
      <c r="B322" s="28" t="inlineStr">
        <is>
          <t>19 Error handling &amp; states</t>
        </is>
      </c>
      <c r="C322" s="28" t="inlineStr">
        <is>
          <t>Unexpected</t>
        </is>
      </c>
      <c r="D322" s="28" t="inlineStr">
        <is>
          <t>Plain 500 without an error body</t>
        </is>
      </c>
      <c r="E322" s="28" t="inlineStr">
        <is>
          <t>Simulate a 500 with HTML/empty body</t>
        </is>
      </c>
      <c r="F322" s="28" t="inlineStr">
        <is>
          <t>Generic error; no parsing crash.</t>
        </is>
      </c>
      <c r="G322" s="29" t="inlineStr">
        <is>
          <t>P1</t>
        </is>
      </c>
      <c r="H322" s="29" t="inlineStr">
        <is>
          <t>Negative</t>
        </is>
      </c>
      <c r="I322" s="29" t="inlineStr">
        <is>
          <t>Both</t>
        </is>
      </c>
      <c r="J322" s="29" t="n"/>
      <c r="K322" s="31" t="inlineStr">
        <is>
          <t>Not Run</t>
        </is>
      </c>
      <c r="L322" s="32" t="n"/>
      <c r="M322" s="33" t="n"/>
      <c r="N322" s="32" t="n"/>
      <c r="O322" s="32" t="n"/>
      <c r="P322" s="32" t="n"/>
      <c r="Q322" s="32" t="n"/>
    </row>
    <row r="323" ht="30" customHeight="1">
      <c r="A323" s="27" t="inlineStr">
        <is>
          <t>ERR-008</t>
        </is>
      </c>
      <c r="B323" s="28" t="inlineStr">
        <is>
          <t>19 Error handling &amp; states</t>
        </is>
      </c>
      <c r="C323" s="28" t="inlineStr">
        <is>
          <t>Toasts</t>
        </is>
      </c>
      <c r="D323" s="28" t="inlineStr">
        <is>
          <t>Toasts behave</t>
        </is>
      </c>
      <c r="E323" s="28" t="inlineStr">
        <is>
          <t>1. Trigger several toasts quickly
2. Navigate away</t>
        </is>
      </c>
      <c r="F323" s="28" t="inlineStr">
        <is>
          <t>Toasts do not stack over content or persist onto unrelated screens; they are announced by screen readers.</t>
        </is>
      </c>
      <c r="G323" s="29" t="inlineStr">
        <is>
          <t>P3</t>
        </is>
      </c>
      <c r="H323" s="29" t="inlineStr">
        <is>
          <t>UI</t>
        </is>
      </c>
      <c r="I323" s="29" t="inlineStr">
        <is>
          <t>Both</t>
        </is>
      </c>
      <c r="J323" s="29" t="n"/>
      <c r="K323" s="31" t="inlineStr">
        <is>
          <t>Not Run</t>
        </is>
      </c>
      <c r="L323" s="32" t="n"/>
      <c r="M323" s="33" t="n"/>
      <c r="N323" s="32" t="n"/>
      <c r="O323" s="32" t="n"/>
      <c r="P323" s="32" t="n"/>
      <c r="Q323" s="32" t="n"/>
    </row>
    <row r="324" ht="30" customHeight="1">
      <c r="A324" s="27" t="inlineStr">
        <is>
          <t>ERR-009</t>
        </is>
      </c>
      <c r="B324" s="28" t="inlineStr">
        <is>
          <t>19 Error handling &amp; states</t>
        </is>
      </c>
      <c r="C324" s="28" t="inlineStr">
        <is>
          <t>Crash</t>
        </is>
      </c>
      <c r="D324" s="28" t="inlineStr">
        <is>
          <t>No red error screens in release</t>
        </is>
      </c>
      <c r="E324" s="28" t="inlineStr">
        <is>
          <t>Run the whole checklist on the release build</t>
        </is>
      </c>
      <c r="F324" s="28" t="inlineStr">
        <is>
          <t>No Flutter red/grey error widgets; uncaught errors are reported to crash reporting.</t>
        </is>
      </c>
      <c r="G324" s="29" t="inlineStr">
        <is>
          <t>P0</t>
        </is>
      </c>
      <c r="H324" s="29" t="inlineStr">
        <is>
          <t>Functional</t>
        </is>
      </c>
      <c r="I324" s="29" t="inlineStr">
        <is>
          <t>Both</t>
        </is>
      </c>
      <c r="J324" s="29" t="n"/>
      <c r="K324" s="31" t="inlineStr">
        <is>
          <t>Not Run</t>
        </is>
      </c>
      <c r="L324" s="32" t="n"/>
      <c r="M324" s="33" t="n"/>
      <c r="N324" s="32" t="n"/>
      <c r="O324" s="32" t="n"/>
      <c r="P324" s="32" t="n"/>
      <c r="Q324" s="32" t="n"/>
    </row>
    <row r="325" ht="17" customHeight="1">
      <c r="A325" s="27" t="inlineStr">
        <is>
          <t>ERR-010</t>
        </is>
      </c>
      <c r="B325" s="28" t="inlineStr">
        <is>
          <t>19 Error handling &amp; states</t>
        </is>
      </c>
      <c r="C325" s="28" t="inlineStr">
        <is>
          <t>Retry</t>
        </is>
      </c>
      <c r="D325" s="28" t="inlineStr">
        <is>
          <t>Retry buttons actually retry</t>
        </is>
      </c>
      <c r="E325" s="28" t="inlineStr">
        <is>
          <t>On each error view, fix the cause and tap Retry</t>
        </is>
      </c>
      <c r="F325" s="28" t="inlineStr">
        <is>
          <t>Screen recovers without leaving and re-entering.</t>
        </is>
      </c>
      <c r="G325" s="29" t="inlineStr">
        <is>
          <t>P1</t>
        </is>
      </c>
      <c r="H325" s="29" t="inlineStr">
        <is>
          <t>Functional</t>
        </is>
      </c>
      <c r="I325" s="29" t="inlineStr">
        <is>
          <t>Both</t>
        </is>
      </c>
      <c r="J325" s="29" t="n"/>
      <c r="K325" s="31" t="inlineStr">
        <is>
          <t>Not Run</t>
        </is>
      </c>
      <c r="L325" s="32" t="n"/>
      <c r="M325" s="33" t="n"/>
      <c r="N325" s="32" t="n"/>
      <c r="O325" s="32" t="n"/>
      <c r="P325" s="32" t="n"/>
      <c r="Q325" s="32" t="n"/>
    </row>
    <row r="326" ht="43" customHeight="1">
      <c r="A326" s="27" t="inlineStr">
        <is>
          <t>SEC-001</t>
        </is>
      </c>
      <c r="B326" s="28" t="inlineStr">
        <is>
          <t>20 Security &amp; privacy</t>
        </is>
      </c>
      <c r="C326" s="28" t="inlineStr">
        <is>
          <t>Tokens</t>
        </is>
      </c>
      <c r="D326" s="28" t="inlineStr">
        <is>
          <t>Tokens are stored only in secure storage</t>
        </is>
      </c>
      <c r="E326" s="28" t="inlineStr">
        <is>
          <t>1. Sign in
2. Inspect app data on a rooted/debuggable device (Hive files, shared_prefs, plist)</t>
        </is>
      </c>
      <c r="F326" s="28" t="inlineStr">
        <is>
          <t>Access and refresh tokens are only in Keystore/Keychain-backed storage.</t>
        </is>
      </c>
      <c r="G326" s="29" t="inlineStr">
        <is>
          <t>P0</t>
        </is>
      </c>
      <c r="H326" s="29" t="inlineStr">
        <is>
          <t>Security</t>
        </is>
      </c>
      <c r="I326" s="29" t="inlineStr">
        <is>
          <t>Both</t>
        </is>
      </c>
      <c r="J326" s="29" t="n"/>
      <c r="K326" s="31" t="inlineStr">
        <is>
          <t>Not Run</t>
        </is>
      </c>
      <c r="L326" s="32" t="n"/>
      <c r="M326" s="33" t="n"/>
      <c r="N326" s="32" t="n"/>
      <c r="O326" s="32" t="n"/>
      <c r="P326" s="32" t="n"/>
      <c r="Q326" s="32" t="n"/>
    </row>
    <row r="327" ht="30" customHeight="1">
      <c r="A327" s="27" t="inlineStr">
        <is>
          <t>SEC-002</t>
        </is>
      </c>
      <c r="B327" s="28" t="inlineStr">
        <is>
          <t>20 Security &amp; privacy</t>
        </is>
      </c>
      <c r="C327" s="28" t="inlineStr">
        <is>
          <t>Logs</t>
        </is>
      </c>
      <c r="D327" s="28" t="inlineStr">
        <is>
          <t>No tokens or health data in logs</t>
        </is>
      </c>
      <c r="E327" s="28" t="inlineStr">
        <is>
          <t>Run the release build with adb logcat / Console attached through sign-in, booking and records</t>
        </is>
      </c>
      <c r="F327" s="28" t="inlineStr">
        <is>
          <t>No tokens, OTPs, passwords, names, phone numbers or medical details are logged.</t>
        </is>
      </c>
      <c r="G327" s="29" t="inlineStr">
        <is>
          <t>P0</t>
        </is>
      </c>
      <c r="H327" s="29" t="inlineStr">
        <is>
          <t>Security</t>
        </is>
      </c>
      <c r="I327" s="29" t="inlineStr">
        <is>
          <t>Both</t>
        </is>
      </c>
      <c r="J327" s="29" t="n"/>
      <c r="K327" s="31" t="inlineStr">
        <is>
          <t>Not Run</t>
        </is>
      </c>
      <c r="L327" s="32" t="n"/>
      <c r="M327" s="33" t="n"/>
      <c r="N327" s="32" t="n"/>
      <c r="O327" s="32" t="n"/>
      <c r="P327" s="32" t="n"/>
      <c r="Q327" s="32" t="n"/>
    </row>
    <row r="328" ht="30" customHeight="1">
      <c r="A328" s="27" t="inlineStr">
        <is>
          <t>SEC-003</t>
        </is>
      </c>
      <c r="B328" s="28" t="inlineStr">
        <is>
          <t>20 Security &amp; privacy</t>
        </is>
      </c>
      <c r="C328" s="28" t="inlineStr">
        <is>
          <t>Transport</t>
        </is>
      </c>
      <c r="D328" s="28" t="inlineStr">
        <is>
          <t>HTTPS only</t>
        </is>
      </c>
      <c r="E328" s="28" t="inlineStr">
        <is>
          <t>Inspect traffic and the manifests</t>
        </is>
      </c>
      <c r="F328" s="28" t="inlineStr">
        <is>
          <t>Every request is https/wss; Android cleartext is disabled; iOS ATS has no arbitrary-load exceptions.</t>
        </is>
      </c>
      <c r="G328" s="29" t="inlineStr">
        <is>
          <t>P0</t>
        </is>
      </c>
      <c r="H328" s="29" t="inlineStr">
        <is>
          <t>Security</t>
        </is>
      </c>
      <c r="I328" s="29" t="inlineStr">
        <is>
          <t>Both</t>
        </is>
      </c>
      <c r="J328" s="29" t="n"/>
      <c r="K328" s="31" t="inlineStr">
        <is>
          <t>Not Run</t>
        </is>
      </c>
      <c r="L328" s="32" t="n"/>
      <c r="M328" s="33" t="n"/>
      <c r="N328" s="32" t="n"/>
      <c r="O328" s="32" t="n"/>
      <c r="P328" s="32" t="n"/>
      <c r="Q328" s="32" t="n"/>
    </row>
    <row r="329" ht="43" customHeight="1">
      <c r="A329" s="27" t="inlineStr">
        <is>
          <t>SEC-004</t>
        </is>
      </c>
      <c r="B329" s="28" t="inlineStr">
        <is>
          <t>20 Security &amp; privacy</t>
        </is>
      </c>
      <c r="C329" s="28" t="inlineStr">
        <is>
          <t>Transport</t>
        </is>
      </c>
      <c r="D329" s="28" t="inlineStr">
        <is>
          <t>Untrusted certificates are rejected</t>
        </is>
      </c>
      <c r="E329" s="28" t="inlineStr">
        <is>
          <t>1. Put the device behind a MITM proxy with a user-installed CA
2. Use the production build</t>
        </is>
      </c>
      <c r="F329" s="28" t="inlineStr">
        <is>
          <t>Requests fail safely; no data is sent. (Certificate pinning verified if required by policy.)</t>
        </is>
      </c>
      <c r="G329" s="29" t="inlineStr">
        <is>
          <t>P0</t>
        </is>
      </c>
      <c r="H329" s="29" t="inlineStr">
        <is>
          <t>Security</t>
        </is>
      </c>
      <c r="I329" s="29" t="inlineStr">
        <is>
          <t>Both</t>
        </is>
      </c>
      <c r="J329" s="29" t="inlineStr">
        <is>
          <t>KB-03</t>
        </is>
      </c>
      <c r="K329" s="31" t="inlineStr">
        <is>
          <t>Not Run</t>
        </is>
      </c>
      <c r="L329" s="32" t="n"/>
      <c r="M329" s="33" t="n"/>
      <c r="N329" s="32" t="n"/>
      <c r="O329" s="32" t="n"/>
      <c r="P329" s="32" t="n"/>
      <c r="Q329" s="32" t="n"/>
    </row>
    <row r="330" ht="30" customHeight="1">
      <c r="A330" s="27" t="inlineStr">
        <is>
          <t>SEC-005</t>
        </is>
      </c>
      <c r="B330" s="28" t="inlineStr">
        <is>
          <t>20 Security &amp; privacy</t>
        </is>
      </c>
      <c r="C330" s="28" t="inlineStr">
        <is>
          <t>At rest</t>
        </is>
      </c>
      <c r="D330" s="28" t="inlineStr">
        <is>
          <t>Cached health data is protected at rest</t>
        </is>
      </c>
      <c r="E330" s="28" t="inlineStr">
        <is>
          <t>Inspect Hive files after browsing appointments and records</t>
        </is>
      </c>
      <c r="F330" s="28" t="inlineStr">
        <is>
          <t>Sensitive boxes are encrypted or contain no readable PHI, per QA Prompt 2.</t>
        </is>
      </c>
      <c r="G330" s="29" t="inlineStr">
        <is>
          <t>P0</t>
        </is>
      </c>
      <c r="H330" s="29" t="inlineStr">
        <is>
          <t>Security</t>
        </is>
      </c>
      <c r="I330" s="29" t="inlineStr">
        <is>
          <t>Both</t>
        </is>
      </c>
      <c r="J330" s="29" t="n"/>
      <c r="K330" s="31" t="inlineStr">
        <is>
          <t>Not Run</t>
        </is>
      </c>
      <c r="L330" s="32" t="n"/>
      <c r="M330" s="33" t="n"/>
      <c r="N330" s="32" t="n"/>
      <c r="O330" s="32" t="n"/>
      <c r="P330" s="32" t="n"/>
      <c r="Q330" s="32" t="n"/>
    </row>
    <row r="331" ht="43" customHeight="1">
      <c r="A331" s="27" t="inlineStr">
        <is>
          <t>SEC-006</t>
        </is>
      </c>
      <c r="B331" s="28" t="inlineStr">
        <is>
          <t>20 Security &amp; privacy</t>
        </is>
      </c>
      <c r="C331" s="28" t="inlineStr">
        <is>
          <t>Backup</t>
        </is>
      </c>
      <c r="D331" s="28" t="inlineStr">
        <is>
          <t>App data is excluded from backups</t>
        </is>
      </c>
      <c r="E331" s="28" t="inlineStr">
        <is>
          <t>1. Check allowBackup=false (Android) and backup exclusion (iOS)
2. Attempt adb backup</t>
        </is>
      </c>
      <c r="F331" s="28" t="inlineStr">
        <is>
          <t>No app data is extractable through backup.</t>
        </is>
      </c>
      <c r="G331" s="29" t="inlineStr">
        <is>
          <t>P1</t>
        </is>
      </c>
      <c r="H331" s="29" t="inlineStr">
        <is>
          <t>Security</t>
        </is>
      </c>
      <c r="I331" s="29" t="inlineStr">
        <is>
          <t>Both</t>
        </is>
      </c>
      <c r="J331" s="29" t="n"/>
      <c r="K331" s="31" t="inlineStr">
        <is>
          <t>Not Run</t>
        </is>
      </c>
      <c r="L331" s="32" t="n"/>
      <c r="M331" s="33" t="n"/>
      <c r="N331" s="32" t="n"/>
      <c r="O331" s="32" t="n"/>
      <c r="P331" s="32" t="n"/>
      <c r="Q331" s="32" t="n"/>
    </row>
    <row r="332" ht="30" customHeight="1">
      <c r="A332" s="27" t="inlineStr">
        <is>
          <t>SEC-007</t>
        </is>
      </c>
      <c r="B332" s="28" t="inlineStr">
        <is>
          <t>20 Security &amp; privacy</t>
        </is>
      </c>
      <c r="C332" s="28" t="inlineStr">
        <is>
          <t>Logout</t>
        </is>
      </c>
      <c r="D332" s="28" t="inlineStr">
        <is>
          <t>Logout wipes local data</t>
        </is>
      </c>
      <c r="E332" s="28" t="inlineStr">
        <is>
          <t>1. Log out
2. Inspect app storage</t>
        </is>
      </c>
      <c r="F332" s="28" t="inlineStr">
        <is>
          <t>Tokens, user cache and in-memory state are cleared.</t>
        </is>
      </c>
      <c r="G332" s="29" t="inlineStr">
        <is>
          <t>P0</t>
        </is>
      </c>
      <c r="H332" s="29" t="inlineStr">
        <is>
          <t>Security</t>
        </is>
      </c>
      <c r="I332" s="29" t="inlineStr">
        <is>
          <t>Both</t>
        </is>
      </c>
      <c r="J332" s="29" t="n"/>
      <c r="K332" s="31" t="inlineStr">
        <is>
          <t>Not Run</t>
        </is>
      </c>
      <c r="L332" s="32" t="n"/>
      <c r="M332" s="33" t="n"/>
      <c r="N332" s="32" t="n"/>
      <c r="O332" s="32" t="n"/>
      <c r="P332" s="32" t="n"/>
      <c r="Q332" s="32" t="n"/>
    </row>
    <row r="333" ht="30" customHeight="1">
      <c r="A333" s="27" t="inlineStr">
        <is>
          <t>SEC-008</t>
        </is>
      </c>
      <c r="B333" s="28" t="inlineStr">
        <is>
          <t>20 Security &amp; privacy</t>
        </is>
      </c>
      <c r="C333" s="28" t="inlineStr">
        <is>
          <t>Access</t>
        </is>
      </c>
      <c r="D333" s="28" t="inlineStr">
        <is>
          <t>Cannot read another user's data</t>
        </is>
      </c>
      <c r="E333" s="28" t="inlineStr">
        <is>
          <t>Using user A's session, request user B's appointment, document, receipt and queue ids</t>
        </is>
      </c>
      <c r="F333" s="28" t="inlineStr">
        <is>
          <t>All return not-found; nothing is displayed.</t>
        </is>
      </c>
      <c r="G333" s="29" t="inlineStr">
        <is>
          <t>P0</t>
        </is>
      </c>
      <c r="H333" s="29" t="inlineStr">
        <is>
          <t>Security</t>
        </is>
      </c>
      <c r="I333" s="29" t="inlineStr">
        <is>
          <t>Both</t>
        </is>
      </c>
      <c r="J333" s="29" t="n"/>
      <c r="K333" s="31" t="inlineStr">
        <is>
          <t>Not Run</t>
        </is>
      </c>
      <c r="L333" s="32" t="n"/>
      <c r="M333" s="33" t="n"/>
      <c r="N333" s="32" t="n"/>
      <c r="O333" s="32" t="n"/>
      <c r="P333" s="32" t="n"/>
      <c r="Q333" s="32" t="n"/>
    </row>
    <row r="334" ht="17" customHeight="1">
      <c r="A334" s="27" t="inlineStr">
        <is>
          <t>SEC-009</t>
        </is>
      </c>
      <c r="B334" s="28" t="inlineStr">
        <is>
          <t>20 Security &amp; privacy</t>
        </is>
      </c>
      <c r="C334" s="28" t="inlineStr">
        <is>
          <t>WebSocket</t>
        </is>
      </c>
      <c r="D334" s="28" t="inlineStr">
        <is>
          <t>Socket token is not in the URL</t>
        </is>
      </c>
      <c r="E334" s="28" t="inlineStr">
        <is>
          <t>Inspect the WebSocket handshake</t>
        </is>
      </c>
      <c r="F334" s="28" t="inlineStr">
        <is>
          <t>Token is sent as a subprotocol, not in the URL or query.</t>
        </is>
      </c>
      <c r="G334" s="29" t="inlineStr">
        <is>
          <t>P1</t>
        </is>
      </c>
      <c r="H334" s="29" t="inlineStr">
        <is>
          <t>Security</t>
        </is>
      </c>
      <c r="I334" s="29" t="inlineStr">
        <is>
          <t>Both</t>
        </is>
      </c>
      <c r="J334" s="29" t="n"/>
      <c r="K334" s="31" t="inlineStr">
        <is>
          <t>Not Run</t>
        </is>
      </c>
      <c r="L334" s="32" t="n"/>
      <c r="M334" s="33" t="n"/>
      <c r="N334" s="32" t="n"/>
      <c r="O334" s="32" t="n"/>
      <c r="P334" s="32" t="n"/>
      <c r="Q334" s="32" t="n"/>
    </row>
    <row r="335" ht="30" customHeight="1">
      <c r="A335" s="27" t="inlineStr">
        <is>
          <t>SEC-010</t>
        </is>
      </c>
      <c r="B335" s="28" t="inlineStr">
        <is>
          <t>20 Security &amp; privacy</t>
        </is>
      </c>
      <c r="C335" s="28" t="inlineStr">
        <is>
          <t>Upload</t>
        </is>
      </c>
      <c r="D335" s="28" t="inlineStr">
        <is>
          <t>API token is not sent to the storage host</t>
        </is>
      </c>
      <c r="E335" s="28" t="inlineStr">
        <is>
          <t>Inspect the PUT to the presigned URL</t>
        </is>
      </c>
      <c r="F335" s="28" t="inlineStr">
        <is>
          <t>No Authorization header on that request.</t>
        </is>
      </c>
      <c r="G335" s="29" t="inlineStr">
        <is>
          <t>P1</t>
        </is>
      </c>
      <c r="H335" s="29" t="inlineStr">
        <is>
          <t>Security</t>
        </is>
      </c>
      <c r="I335" s="29" t="inlineStr">
        <is>
          <t>Both</t>
        </is>
      </c>
      <c r="J335" s="29" t="inlineStr">
        <is>
          <t>KB-01</t>
        </is>
      </c>
      <c r="K335" s="31" t="inlineStr">
        <is>
          <t>Not Run</t>
        </is>
      </c>
      <c r="L335" s="32" t="n"/>
      <c r="M335" s="33" t="n"/>
      <c r="N335" s="32" t="n"/>
      <c r="O335" s="32" t="n"/>
      <c r="P335" s="32" t="n"/>
      <c r="Q335" s="32" t="n"/>
    </row>
    <row r="336" ht="43" customHeight="1">
      <c r="A336" s="27" t="inlineStr">
        <is>
          <t>SEC-011</t>
        </is>
      </c>
      <c r="B336" s="28" t="inlineStr">
        <is>
          <t>20 Security &amp; privacy</t>
        </is>
      </c>
      <c r="C336" s="28" t="inlineStr">
        <is>
          <t>Binary</t>
        </is>
      </c>
      <c r="D336" s="28" t="inlineStr">
        <is>
          <t>No secrets or demo credentials in the app binary</t>
        </is>
      </c>
      <c r="E336" s="28" t="inlineStr">
        <is>
          <t>1. Run strings/apktool on the APK and IPA
2. Search for keys, passwords, the demo password, the integration-server IP</t>
        </is>
      </c>
      <c r="F336" s="28" t="inlineStr">
        <is>
          <t>Nothing sensitive is found.</t>
        </is>
      </c>
      <c r="G336" s="29" t="inlineStr">
        <is>
          <t>P0</t>
        </is>
      </c>
      <c r="H336" s="29" t="inlineStr">
        <is>
          <t>Security</t>
        </is>
      </c>
      <c r="I336" s="29" t="inlineStr">
        <is>
          <t>Both</t>
        </is>
      </c>
      <c r="J336" s="29" t="inlineStr">
        <is>
          <t>KB-07</t>
        </is>
      </c>
      <c r="K336" s="31" t="inlineStr">
        <is>
          <t>Not Run</t>
        </is>
      </c>
      <c r="L336" s="32" t="n"/>
      <c r="M336" s="33" t="n"/>
      <c r="N336" s="32" t="n"/>
      <c r="O336" s="32" t="n"/>
      <c r="P336" s="32" t="n"/>
      <c r="Q336" s="32" t="n"/>
    </row>
    <row r="337" ht="30" customHeight="1">
      <c r="A337" s="27" t="inlineStr">
        <is>
          <t>SEC-012</t>
        </is>
      </c>
      <c r="B337" s="28" t="inlineStr">
        <is>
          <t>20 Security &amp; privacy</t>
        </is>
      </c>
      <c r="C337" s="28" t="inlineStr">
        <is>
          <t>Binary</t>
        </is>
      </c>
      <c r="D337" s="28" t="inlineStr">
        <is>
          <t>Release is obfuscated and minified</t>
        </is>
      </c>
      <c r="E337" s="28" t="inlineStr">
        <is>
          <t>Check the build command and inspect the binary</t>
        </is>
      </c>
      <c r="F337" s="28" t="inlineStr">
        <is>
          <t>Built with --obfuscate and --split-debug-info; R8/minify on; symbols archived privately.</t>
        </is>
      </c>
      <c r="G337" s="29" t="inlineStr">
        <is>
          <t>P1</t>
        </is>
      </c>
      <c r="H337" s="29" t="inlineStr">
        <is>
          <t>Security</t>
        </is>
      </c>
      <c r="I337" s="29" t="inlineStr">
        <is>
          <t>Both</t>
        </is>
      </c>
      <c r="J337" s="29" t="n"/>
      <c r="K337" s="31" t="inlineStr">
        <is>
          <t>Not Run</t>
        </is>
      </c>
      <c r="L337" s="32" t="n"/>
      <c r="M337" s="33" t="n"/>
      <c r="N337" s="32" t="n"/>
      <c r="O337" s="32" t="n"/>
      <c r="P337" s="32" t="n"/>
      <c r="Q337" s="32" t="n"/>
    </row>
    <row r="338" ht="30" customHeight="1">
      <c r="A338" s="27" t="inlineStr">
        <is>
          <t>SEC-013</t>
        </is>
      </c>
      <c r="B338" s="28" t="inlineStr">
        <is>
          <t>20 Security &amp; privacy</t>
        </is>
      </c>
      <c r="C338" s="28" t="inlineStr">
        <is>
          <t>Payments</t>
        </is>
      </c>
      <c r="D338" s="28" t="inlineStr">
        <is>
          <t>No card data handled or stored by the app</t>
        </is>
      </c>
      <c r="E338" s="28" t="inlineStr">
        <is>
          <t>Inspect storage and logs after a card payment</t>
        </is>
      </c>
      <c r="F338" s="28" t="inlineStr">
        <is>
          <t>Only Razorpay ids are present; only the public key id is in the app.</t>
        </is>
      </c>
      <c r="G338" s="29" t="inlineStr">
        <is>
          <t>P0</t>
        </is>
      </c>
      <c r="H338" s="29" t="inlineStr">
        <is>
          <t>Security</t>
        </is>
      </c>
      <c r="I338" s="29" t="inlineStr">
        <is>
          <t>Both</t>
        </is>
      </c>
      <c r="J338" s="29" t="inlineStr">
        <is>
          <t>KB-02</t>
        </is>
      </c>
      <c r="K338" s="31" t="inlineStr">
        <is>
          <t>Not Run</t>
        </is>
      </c>
      <c r="L338" s="32" t="n"/>
      <c r="M338" s="33" t="n"/>
      <c r="N338" s="32" t="n"/>
      <c r="O338" s="32" t="n"/>
      <c r="P338" s="32" t="n"/>
      <c r="Q338" s="32" t="n"/>
    </row>
    <row r="339" ht="43" customHeight="1">
      <c r="A339" s="27" t="inlineStr">
        <is>
          <t>SEC-014</t>
        </is>
      </c>
      <c r="B339" s="28" t="inlineStr">
        <is>
          <t>20 Security &amp; privacy</t>
        </is>
      </c>
      <c r="C339" s="28" t="inlineStr">
        <is>
          <t>Screen</t>
        </is>
      </c>
      <c r="D339" s="28" t="inlineStr">
        <is>
          <t>Sensitive screens in the app switcher / screenshots</t>
        </is>
      </c>
      <c r="E339" s="28" t="inlineStr">
        <is>
          <t>1. Open a record and a receipt
2. Open the app switcher
3. Take a screenshot</t>
        </is>
      </c>
      <c r="F339" s="28" t="inlineStr">
        <is>
          <t>Behaviour matches the agreed policy (e.g. blurred snapshot / FLAG_SECURE on sensitive screens).</t>
        </is>
      </c>
      <c r="G339" s="29" t="inlineStr">
        <is>
          <t>P2</t>
        </is>
      </c>
      <c r="H339" s="29" t="inlineStr">
        <is>
          <t>Security</t>
        </is>
      </c>
      <c r="I339" s="29" t="inlineStr">
        <is>
          <t>Both</t>
        </is>
      </c>
      <c r="J339" s="29" t="n"/>
      <c r="K339" s="31" t="inlineStr">
        <is>
          <t>Not Run</t>
        </is>
      </c>
      <c r="L339" s="32" t="n"/>
      <c r="M339" s="33" t="n"/>
      <c r="N339" s="32" t="n"/>
      <c r="O339" s="32" t="n"/>
      <c r="P339" s="32" t="n"/>
      <c r="Q339" s="32" t="n"/>
    </row>
    <row r="340" ht="30" customHeight="1">
      <c r="A340" s="27" t="inlineStr">
        <is>
          <t>SEC-015</t>
        </is>
      </c>
      <c r="B340" s="28" t="inlineStr">
        <is>
          <t>20 Security &amp; privacy</t>
        </is>
      </c>
      <c r="C340" s="28" t="inlineStr">
        <is>
          <t>Input</t>
        </is>
      </c>
      <c r="D340" s="28" t="inlineStr">
        <is>
          <t>Injection strings are handled as text</t>
        </is>
      </c>
      <c r="E340" s="28" t="inlineStr">
        <is>
          <t>Enter &lt;script&gt;, SQL fragments and very long strings in names, notes, search and tickets</t>
        </is>
      </c>
      <c r="F340" s="28" t="inlineStr">
        <is>
          <t>Stored and displayed as plain text; no crash or layout break.</t>
        </is>
      </c>
      <c r="G340" s="29" t="inlineStr">
        <is>
          <t>P1</t>
        </is>
      </c>
      <c r="H340" s="29" t="inlineStr">
        <is>
          <t>Security</t>
        </is>
      </c>
      <c r="I340" s="29" t="inlineStr">
        <is>
          <t>Both</t>
        </is>
      </c>
      <c r="J340" s="29" t="n"/>
      <c r="K340" s="31" t="inlineStr">
        <is>
          <t>Not Run</t>
        </is>
      </c>
      <c r="L340" s="32" t="n"/>
      <c r="M340" s="33" t="n"/>
      <c r="N340" s="32" t="n"/>
      <c r="O340" s="32" t="n"/>
      <c r="P340" s="32" t="n"/>
      <c r="Q340" s="32" t="n"/>
    </row>
    <row r="341" ht="30" customHeight="1">
      <c r="A341" s="27" t="inlineStr">
        <is>
          <t>SEC-016</t>
        </is>
      </c>
      <c r="B341" s="28" t="inlineStr">
        <is>
          <t>20 Security &amp; privacy</t>
        </is>
      </c>
      <c r="C341" s="28" t="inlineStr">
        <is>
          <t>Device id</t>
        </is>
      </c>
      <c r="D341" s="28" t="inlineStr">
        <is>
          <t>Device fingerprint is stable and non-personal</t>
        </is>
      </c>
      <c r="E341" s="28" t="inlineStr">
        <is>
          <t>Inspect X-Device-Fingerprint on OTP calls across restarts and after reinstall</t>
        </is>
      </c>
      <c r="F341" s="28" t="inlineStr">
        <is>
          <t>Same value across restarts, new value after reinstall; it is not an IMEI/phone number/advertising id.</t>
        </is>
      </c>
      <c r="G341" s="29" t="inlineStr">
        <is>
          <t>P2</t>
        </is>
      </c>
      <c r="H341" s="29" t="inlineStr">
        <is>
          <t>Security</t>
        </is>
      </c>
      <c r="I341" s="29" t="inlineStr">
        <is>
          <t>Both</t>
        </is>
      </c>
      <c r="J341" s="29" t="n"/>
      <c r="K341" s="31" t="inlineStr">
        <is>
          <t>Not Run</t>
        </is>
      </c>
      <c r="L341" s="32" t="n"/>
      <c r="M341" s="33" t="n"/>
      <c r="N341" s="32" t="n"/>
      <c r="O341" s="32" t="n"/>
      <c r="P341" s="32" t="n"/>
      <c r="Q341" s="32" t="n"/>
    </row>
    <row r="342" ht="30" customHeight="1">
      <c r="A342" s="27" t="inlineStr">
        <is>
          <t>SEC-017</t>
        </is>
      </c>
      <c r="B342" s="28" t="inlineStr">
        <is>
          <t>20 Security &amp; privacy</t>
        </is>
      </c>
      <c r="C342" s="28" t="inlineStr">
        <is>
          <t>Permissions</t>
        </is>
      </c>
      <c r="D342" s="28" t="inlineStr">
        <is>
          <t>Only necessary permissions are requested</t>
        </is>
      </c>
      <c r="E342" s="28" t="inlineStr">
        <is>
          <t>Review the merged Android manifest and iOS Info.plist</t>
        </is>
      </c>
      <c r="F342" s="28" t="inlineStr">
        <is>
          <t>Android: INTERNET, ACCESS_NETWORK_STATE and only what features need. iOS: camera and photo usage strings are accurate.</t>
        </is>
      </c>
      <c r="G342" s="29" t="inlineStr">
        <is>
          <t>P1</t>
        </is>
      </c>
      <c r="H342" s="29" t="inlineStr">
        <is>
          <t>Security</t>
        </is>
      </c>
      <c r="I342" s="29" t="inlineStr">
        <is>
          <t>Both</t>
        </is>
      </c>
      <c r="J342" s="29" t="n"/>
      <c r="K342" s="31" t="inlineStr">
        <is>
          <t>Not Run</t>
        </is>
      </c>
      <c r="L342" s="32" t="n"/>
      <c r="M342" s="33" t="n"/>
      <c r="N342" s="32" t="n"/>
      <c r="O342" s="32" t="n"/>
      <c r="P342" s="32" t="n"/>
      <c r="Q342" s="32" t="n"/>
    </row>
    <row r="343" ht="30" customHeight="1">
      <c r="A343" s="27" t="inlineStr">
        <is>
          <t>SEC-018</t>
        </is>
      </c>
      <c r="B343" s="28" t="inlineStr">
        <is>
          <t>20 Security &amp; privacy</t>
        </is>
      </c>
      <c r="C343" s="28" t="inlineStr">
        <is>
          <t>Clock</t>
        </is>
      </c>
      <c r="D343" s="28" t="inlineStr">
        <is>
          <t>Device clock tampering</t>
        </is>
      </c>
      <c r="E343" s="28" t="inlineStr">
        <is>
          <t>Change the device time during lockout and during the payment countdown</t>
        </is>
      </c>
      <c r="F343" s="28" t="inlineStr">
        <is>
          <t>Lockout and deadlines are still enforced by the server.</t>
        </is>
      </c>
      <c r="G343" s="29" t="inlineStr">
        <is>
          <t>P2</t>
        </is>
      </c>
      <c r="H343" s="29" t="inlineStr">
        <is>
          <t>Security</t>
        </is>
      </c>
      <c r="I343" s="29" t="inlineStr">
        <is>
          <t>Both</t>
        </is>
      </c>
      <c r="J343" s="29" t="n"/>
      <c r="K343" s="31" t="inlineStr">
        <is>
          <t>Not Run</t>
        </is>
      </c>
      <c r="L343" s="32" t="n"/>
      <c r="M343" s="33" t="n"/>
      <c r="N343" s="32" t="n"/>
      <c r="O343" s="32" t="n"/>
      <c r="P343" s="32" t="n"/>
      <c r="Q343" s="32" t="n"/>
    </row>
    <row r="344" ht="30" customHeight="1">
      <c r="A344" s="27" t="inlineStr">
        <is>
          <t>SEC-019</t>
        </is>
      </c>
      <c r="B344" s="28" t="inlineStr">
        <is>
          <t>20 Security &amp; privacy</t>
        </is>
      </c>
      <c r="C344" s="28" t="inlineStr">
        <is>
          <t>Device</t>
        </is>
      </c>
      <c r="D344" s="28" t="inlineStr">
        <is>
          <t>Rooted / jailbroken device behaviour</t>
        </is>
      </c>
      <c r="E344" s="28" t="inlineStr">
        <is>
          <t>Run on a rooted Android and a jailbroken iOS device (if policy requires)</t>
        </is>
      </c>
      <c r="F344" s="28" t="inlineStr">
        <is>
          <t>Behaviour matches the agreed policy (warn, restrict or allow).</t>
        </is>
      </c>
      <c r="G344" s="29" t="inlineStr">
        <is>
          <t>P3</t>
        </is>
      </c>
      <c r="H344" s="29" t="inlineStr">
        <is>
          <t>Security</t>
        </is>
      </c>
      <c r="I344" s="29" t="inlineStr">
        <is>
          <t>Both</t>
        </is>
      </c>
      <c r="J344" s="29" t="n"/>
      <c r="K344" s="31" t="inlineStr">
        <is>
          <t>Not Run</t>
        </is>
      </c>
      <c r="L344" s="32" t="n"/>
      <c r="M344" s="33" t="n"/>
      <c r="N344" s="32" t="n"/>
      <c r="O344" s="32" t="n"/>
      <c r="P344" s="32" t="n"/>
      <c r="Q344" s="32" t="n"/>
    </row>
    <row r="345" ht="17" customHeight="1">
      <c r="A345" s="27" t="inlineStr">
        <is>
          <t>SEC-020</t>
        </is>
      </c>
      <c r="B345" s="28" t="inlineStr">
        <is>
          <t>20 Security &amp; privacy</t>
        </is>
      </c>
      <c r="C345" s="28" t="inlineStr">
        <is>
          <t>Clipboard</t>
        </is>
      </c>
      <c r="D345" s="28" t="inlineStr">
        <is>
          <t>Passwords cannot be copied</t>
        </is>
      </c>
      <c r="E345" s="28" t="inlineStr">
        <is>
          <t>Long-press the password and OTP fields</t>
        </is>
      </c>
      <c r="F345" s="28" t="inlineStr">
        <is>
          <t>Copy/cut is unavailable on password fields.</t>
        </is>
      </c>
      <c r="G345" s="29" t="inlineStr">
        <is>
          <t>P3</t>
        </is>
      </c>
      <c r="H345" s="29" t="inlineStr">
        <is>
          <t>Security</t>
        </is>
      </c>
      <c r="I345" s="29" t="inlineStr">
        <is>
          <t>Both</t>
        </is>
      </c>
      <c r="J345" s="29" t="n"/>
      <c r="K345" s="31" t="inlineStr">
        <is>
          <t>Not Run</t>
        </is>
      </c>
      <c r="L345" s="32" t="n"/>
      <c r="M345" s="33" t="n"/>
      <c r="N345" s="32" t="n"/>
      <c r="O345" s="32" t="n"/>
      <c r="P345" s="32" t="n"/>
      <c r="Q345" s="32" t="n"/>
    </row>
    <row r="346" ht="30" customHeight="1">
      <c r="A346" s="27" t="inlineStr">
        <is>
          <t>SEC-021</t>
        </is>
      </c>
      <c r="B346" s="28" t="inlineStr">
        <is>
          <t>20 Security &amp; privacy</t>
        </is>
      </c>
      <c r="C346" s="28" t="inlineStr">
        <is>
          <t>Monitoring</t>
        </is>
      </c>
      <c r="D346" s="28" t="inlineStr">
        <is>
          <t>Crash and analytics payloads carry no health data</t>
        </is>
      </c>
      <c r="E346" s="28" t="inlineStr">
        <is>
          <t>1. Trigger a test crash and key events
2. Inspect the payloads</t>
        </is>
      </c>
      <c r="F346" s="28" t="inlineStr">
        <is>
          <t>No names, phone numbers, tokens or medical details.</t>
        </is>
      </c>
      <c r="G346" s="29" t="inlineStr">
        <is>
          <t>P1</t>
        </is>
      </c>
      <c r="H346" s="29" t="inlineStr">
        <is>
          <t>Security</t>
        </is>
      </c>
      <c r="I346" s="29" t="inlineStr">
        <is>
          <t>Both</t>
        </is>
      </c>
      <c r="J346" s="29" t="n"/>
      <c r="K346" s="31" t="inlineStr">
        <is>
          <t>Not Run</t>
        </is>
      </c>
      <c r="L346" s="32" t="n"/>
      <c r="M346" s="33" t="n"/>
      <c r="N346" s="32" t="n"/>
      <c r="O346" s="32" t="n"/>
      <c r="P346" s="32" t="n"/>
      <c r="Q346" s="32" t="n"/>
    </row>
    <row r="347" ht="30" customHeight="1">
      <c r="A347" s="27" t="inlineStr">
        <is>
          <t>SEC-022</t>
        </is>
      </c>
      <c r="B347" s="28" t="inlineStr">
        <is>
          <t>20 Security &amp; privacy</t>
        </is>
      </c>
      <c r="C347" s="28" t="inlineStr">
        <is>
          <t>Privacy</t>
        </is>
      </c>
      <c r="D347" s="28" t="inlineStr">
        <is>
          <t>In-app account deletion and data export exist</t>
        </is>
      </c>
      <c r="E347" s="28" t="inlineStr">
        <is>
          <t>Locate both in Profile</t>
        </is>
      </c>
      <c r="F347" s="28" t="inlineStr">
        <is>
          <t>Both are reachable without contacting support (store policy requirement).</t>
        </is>
      </c>
      <c r="G347" s="29" t="inlineStr">
        <is>
          <t>P0</t>
        </is>
      </c>
      <c r="H347" s="29" t="inlineStr">
        <is>
          <t>Release</t>
        </is>
      </c>
      <c r="I347" s="29" t="inlineStr">
        <is>
          <t>Both</t>
        </is>
      </c>
      <c r="J347" s="29" t="n"/>
      <c r="K347" s="31" t="inlineStr">
        <is>
          <t>Not Run</t>
        </is>
      </c>
      <c r="L347" s="32" t="n"/>
      <c r="M347" s="33" t="n"/>
      <c r="N347" s="32" t="n"/>
      <c r="O347" s="32" t="n"/>
      <c r="P347" s="32" t="n"/>
      <c r="Q347" s="32" t="n"/>
    </row>
    <row r="348" ht="30" customHeight="1">
      <c r="A348" s="27" t="inlineStr">
        <is>
          <t>SEC-023</t>
        </is>
      </c>
      <c r="B348" s="28" t="inlineStr">
        <is>
          <t>20 Security &amp; privacy</t>
        </is>
      </c>
      <c r="C348" s="28" t="inlineStr">
        <is>
          <t>Dependencies</t>
        </is>
      </c>
      <c r="D348" s="28" t="inlineStr">
        <is>
          <t>No known-vulnerable dependencies</t>
        </is>
      </c>
      <c r="E348" s="28" t="inlineStr">
        <is>
          <t>Run flutter pub outdated and review advisories for each package</t>
        </is>
      </c>
      <c r="F348" s="28" t="inlineStr">
        <is>
          <t>No unresolved high-severity advisories.</t>
        </is>
      </c>
      <c r="G348" s="29" t="inlineStr">
        <is>
          <t>P1</t>
        </is>
      </c>
      <c r="H348" s="29" t="inlineStr">
        <is>
          <t>Security</t>
        </is>
      </c>
      <c r="I348" s="29" t="inlineStr">
        <is>
          <t>Both</t>
        </is>
      </c>
      <c r="J348" s="29" t="n"/>
      <c r="K348" s="31" t="inlineStr">
        <is>
          <t>Not Run</t>
        </is>
      </c>
      <c r="L348" s="32" t="n"/>
      <c r="M348" s="33" t="n"/>
      <c r="N348" s="32" t="n"/>
      <c r="O348" s="32" t="n"/>
      <c r="P348" s="32" t="n"/>
      <c r="Q348" s="32" t="n"/>
    </row>
    <row r="349" ht="17" customHeight="1">
      <c r="A349" s="27" t="inlineStr">
        <is>
          <t>SEC-024</t>
        </is>
      </c>
      <c r="B349" s="28" t="inlineStr">
        <is>
          <t>20 Security &amp; privacy</t>
        </is>
      </c>
      <c r="C349" s="28" t="inlineStr">
        <is>
          <t>Session</t>
        </is>
      </c>
      <c r="D349" s="28" t="inlineStr">
        <is>
          <t>Idle session expiry is enforced</t>
        </is>
      </c>
      <c r="E349" s="28" t="inlineStr">
        <is>
          <t>Leave a device unused beyond the session idle limit</t>
        </is>
      </c>
      <c r="F349" s="28" t="inlineStr">
        <is>
          <t>User must sign in again.</t>
        </is>
      </c>
      <c r="G349" s="29" t="inlineStr">
        <is>
          <t>P1</t>
        </is>
      </c>
      <c r="H349" s="29" t="inlineStr">
        <is>
          <t>Security</t>
        </is>
      </c>
      <c r="I349" s="29" t="inlineStr">
        <is>
          <t>Both</t>
        </is>
      </c>
      <c r="J349" s="29" t="n"/>
      <c r="K349" s="31" t="inlineStr">
        <is>
          <t>Not Run</t>
        </is>
      </c>
      <c r="L349" s="32" t="n"/>
      <c r="M349" s="33" t="n"/>
      <c r="N349" s="32" t="n"/>
      <c r="O349" s="32" t="n"/>
      <c r="P349" s="32" t="n"/>
      <c r="Q349" s="32" t="n"/>
    </row>
    <row r="350" ht="30" customHeight="1">
      <c r="A350" s="27" t="inlineStr">
        <is>
          <t>PERF-001</t>
        </is>
      </c>
      <c r="B350" s="28" t="inlineStr">
        <is>
          <t>21 Performance &amp; stability</t>
        </is>
      </c>
      <c r="C350" s="28" t="inlineStr">
        <is>
          <t>Startup</t>
        </is>
      </c>
      <c r="D350" s="28" t="inlineStr">
        <is>
          <t>Cold start time</t>
        </is>
      </c>
      <c r="E350" s="28" t="inlineStr">
        <is>
          <t>Measure cold start on a mid-range Android and an older iPhone (release build)</t>
        </is>
      </c>
      <c r="F350" s="28" t="inlineStr">
        <is>
          <t>First usable screen within about 3 s.</t>
        </is>
      </c>
      <c r="G350" s="29" t="inlineStr">
        <is>
          <t>P1</t>
        </is>
      </c>
      <c r="H350" s="29" t="inlineStr">
        <is>
          <t>Performance</t>
        </is>
      </c>
      <c r="I350" s="29" t="inlineStr">
        <is>
          <t>Both</t>
        </is>
      </c>
      <c r="J350" s="29" t="n"/>
      <c r="K350" s="31" t="inlineStr">
        <is>
          <t>Not Run</t>
        </is>
      </c>
      <c r="L350" s="32" t="n"/>
      <c r="M350" s="33" t="n"/>
      <c r="N350" s="32" t="n"/>
      <c r="O350" s="32" t="n"/>
      <c r="P350" s="32" t="n"/>
      <c r="Q350" s="32" t="n"/>
    </row>
    <row r="351" ht="17" customHeight="1">
      <c r="A351" s="27" t="inlineStr">
        <is>
          <t>PERF-002</t>
        </is>
      </c>
      <c r="B351" s="28" t="inlineStr">
        <is>
          <t>21 Performance &amp; stability</t>
        </is>
      </c>
      <c r="C351" s="28" t="inlineStr">
        <is>
          <t>Startup</t>
        </is>
      </c>
      <c r="D351" s="28" t="inlineStr">
        <is>
          <t>Warm start time</t>
        </is>
      </c>
      <c r="E351" s="28" t="inlineStr">
        <is>
          <t>Background and reopen</t>
        </is>
      </c>
      <c r="F351" s="28" t="inlineStr">
        <is>
          <t>Resumes in under about 1.5 s on the same screen.</t>
        </is>
      </c>
      <c r="G351" s="29" t="inlineStr">
        <is>
          <t>P2</t>
        </is>
      </c>
      <c r="H351" s="29" t="inlineStr">
        <is>
          <t>Performance</t>
        </is>
      </c>
      <c r="I351" s="29" t="inlineStr">
        <is>
          <t>Both</t>
        </is>
      </c>
      <c r="J351" s="29" t="n"/>
      <c r="K351" s="31" t="inlineStr">
        <is>
          <t>Not Run</t>
        </is>
      </c>
      <c r="L351" s="32" t="n"/>
      <c r="M351" s="33" t="n"/>
      <c r="N351" s="32" t="n"/>
      <c r="O351" s="32" t="n"/>
      <c r="P351" s="32" t="n"/>
      <c r="Q351" s="32" t="n"/>
    </row>
    <row r="352" ht="30" customHeight="1">
      <c r="A352" s="27" t="inlineStr">
        <is>
          <t>PERF-003</t>
        </is>
      </c>
      <c r="B352" s="28" t="inlineStr">
        <is>
          <t>21 Performance &amp; stability</t>
        </is>
      </c>
      <c r="C352" s="28" t="inlineStr">
        <is>
          <t>Scrolling</t>
        </is>
      </c>
      <c r="D352" s="28" t="inlineStr">
        <is>
          <t>Lists scroll smoothly</t>
        </is>
      </c>
      <c r="E352" s="28" t="inlineStr">
        <is>
          <t>In profile mode scroll Appointments, Hospitals, Records and Notifications with the performance overlay</t>
        </is>
      </c>
      <c r="F352" s="28" t="inlineStr">
        <is>
          <t>No sustained jank; frames mostly under 16 ms.</t>
        </is>
      </c>
      <c r="G352" s="29" t="inlineStr">
        <is>
          <t>P1</t>
        </is>
      </c>
      <c r="H352" s="29" t="inlineStr">
        <is>
          <t>Performance</t>
        </is>
      </c>
      <c r="I352" s="29" t="inlineStr">
        <is>
          <t>Both</t>
        </is>
      </c>
      <c r="J352" s="29" t="n"/>
      <c r="K352" s="31" t="inlineStr">
        <is>
          <t>Not Run</t>
        </is>
      </c>
      <c r="L352" s="32" t="n"/>
      <c r="M352" s="33" t="n"/>
      <c r="N352" s="32" t="n"/>
      <c r="O352" s="32" t="n"/>
      <c r="P352" s="32" t="n"/>
      <c r="Q352" s="32" t="n"/>
    </row>
    <row r="353" ht="30" customHeight="1">
      <c r="A353" s="27" t="inlineStr">
        <is>
          <t>PERF-004</t>
        </is>
      </c>
      <c r="B353" s="28" t="inlineStr">
        <is>
          <t>21 Performance &amp; stability</t>
        </is>
      </c>
      <c r="C353" s="28" t="inlineStr">
        <is>
          <t>Memory</t>
        </is>
      </c>
      <c r="D353" s="28" t="inlineStr">
        <is>
          <t>No memory growth over a long session</t>
        </is>
      </c>
      <c r="E353" s="28" t="inlineStr">
        <is>
          <t>Use the app for 30 minutes across all tabs while watching memory</t>
        </is>
      </c>
      <c r="F353" s="28" t="inlineStr">
        <is>
          <t>Memory plateaus; no steady climb; no out-of-memory kill.</t>
        </is>
      </c>
      <c r="G353" s="29" t="inlineStr">
        <is>
          <t>P1</t>
        </is>
      </c>
      <c r="H353" s="29" t="inlineStr">
        <is>
          <t>Performance</t>
        </is>
      </c>
      <c r="I353" s="29" t="inlineStr">
        <is>
          <t>Both</t>
        </is>
      </c>
      <c r="J353" s="29" t="n"/>
      <c r="K353" s="31" t="inlineStr">
        <is>
          <t>Not Run</t>
        </is>
      </c>
      <c r="L353" s="32" t="n"/>
      <c r="M353" s="33" t="n"/>
      <c r="N353" s="32" t="n"/>
      <c r="O353" s="32" t="n"/>
      <c r="P353" s="32" t="n"/>
      <c r="Q353" s="32" t="n"/>
    </row>
    <row r="354" ht="30" customHeight="1">
      <c r="A354" s="27" t="inlineStr">
        <is>
          <t>PERF-005</t>
        </is>
      </c>
      <c r="B354" s="28" t="inlineStr">
        <is>
          <t>21 Performance &amp; stability</t>
        </is>
      </c>
      <c r="C354" s="28" t="inlineStr">
        <is>
          <t>Stability</t>
        </is>
      </c>
      <c r="D354" s="28" t="inlineStr">
        <is>
          <t>Monkey / soak test</t>
        </is>
      </c>
      <c r="E354" s="28" t="inlineStr">
        <is>
          <t>Run adb monkey (or an hour of random use) on the release build</t>
        </is>
      </c>
      <c r="F354" s="28" t="inlineStr">
        <is>
          <t>No crash or ANR.</t>
        </is>
      </c>
      <c r="G354" s="29" t="inlineStr">
        <is>
          <t>P1</t>
        </is>
      </c>
      <c r="H354" s="29" t="inlineStr">
        <is>
          <t>Performance</t>
        </is>
      </c>
      <c r="I354" s="29" t="inlineStr">
        <is>
          <t>Android</t>
        </is>
      </c>
      <c r="J354" s="29" t="n"/>
      <c r="K354" s="31" t="inlineStr">
        <is>
          <t>Not Run</t>
        </is>
      </c>
      <c r="L354" s="32" t="n"/>
      <c r="M354" s="33" t="n"/>
      <c r="N354" s="32" t="n"/>
      <c r="O354" s="32" t="n"/>
      <c r="P354" s="32" t="n"/>
      <c r="Q354" s="32" t="n"/>
    </row>
    <row r="355" ht="17" customHeight="1">
      <c r="A355" s="27" t="inlineStr">
        <is>
          <t>PERF-006</t>
        </is>
      </c>
      <c r="B355" s="28" t="inlineStr">
        <is>
          <t>21 Performance &amp; stability</t>
        </is>
      </c>
      <c r="C355" s="28" t="inlineStr">
        <is>
          <t>Size</t>
        </is>
      </c>
      <c r="D355" s="28" t="inlineStr">
        <is>
          <t>App download size</t>
        </is>
      </c>
      <c r="E355" s="28" t="inlineStr">
        <is>
          <t>Check the AAB/IPA size reports</t>
        </is>
      </c>
      <c r="F355" s="28" t="inlineStr">
        <is>
          <t>Within the agreed budget; split per ABI on Android.</t>
        </is>
      </c>
      <c r="G355" s="29" t="inlineStr">
        <is>
          <t>P2</t>
        </is>
      </c>
      <c r="H355" s="29" t="inlineStr">
        <is>
          <t>Performance</t>
        </is>
      </c>
      <c r="I355" s="29" t="inlineStr">
        <is>
          <t>Both</t>
        </is>
      </c>
      <c r="J355" s="29" t="n"/>
      <c r="K355" s="31" t="inlineStr">
        <is>
          <t>Not Run</t>
        </is>
      </c>
      <c r="L355" s="32" t="n"/>
      <c r="M355" s="33" t="n"/>
      <c r="N355" s="32" t="n"/>
      <c r="O355" s="32" t="n"/>
      <c r="P355" s="32" t="n"/>
      <c r="Q355" s="32" t="n"/>
    </row>
    <row r="356" ht="30" customHeight="1">
      <c r="A356" s="27" t="inlineStr">
        <is>
          <t>PERF-007</t>
        </is>
      </c>
      <c r="B356" s="28" t="inlineStr">
        <is>
          <t>21 Performance &amp; stability</t>
        </is>
      </c>
      <c r="C356" s="28" t="inlineStr">
        <is>
          <t>Network use</t>
        </is>
      </c>
      <c r="D356" s="28" t="inlineStr">
        <is>
          <t>No duplicate or wasteful requests</t>
        </is>
      </c>
      <c r="E356" s="28" t="inlineStr">
        <is>
          <t>With a proxy, open each main screen once</t>
        </is>
      </c>
      <c r="F356" s="28" t="inlineStr">
        <is>
          <t>Each resource is fetched once per visit; no polling while backgrounded.</t>
        </is>
      </c>
      <c r="G356" s="29" t="inlineStr">
        <is>
          <t>P2</t>
        </is>
      </c>
      <c r="H356" s="29" t="inlineStr">
        <is>
          <t>Performance</t>
        </is>
      </c>
      <c r="I356" s="29" t="inlineStr">
        <is>
          <t>Both</t>
        </is>
      </c>
      <c r="J356" s="29" t="n"/>
      <c r="K356" s="31" t="inlineStr">
        <is>
          <t>Not Run</t>
        </is>
      </c>
      <c r="L356" s="32" t="n"/>
      <c r="M356" s="33" t="n"/>
      <c r="N356" s="32" t="n"/>
      <c r="O356" s="32" t="n"/>
      <c r="P356" s="32" t="n"/>
      <c r="Q356" s="32" t="n"/>
    </row>
    <row r="357" ht="30" customHeight="1">
      <c r="A357" s="27" t="inlineStr">
        <is>
          <t>PERF-008</t>
        </is>
      </c>
      <c r="B357" s="28" t="inlineStr">
        <is>
          <t>21 Performance &amp; stability</t>
        </is>
      </c>
      <c r="C357" s="28" t="inlineStr">
        <is>
          <t>Battery</t>
        </is>
      </c>
      <c r="D357" s="28" t="inlineStr">
        <is>
          <t>Background behaviour</t>
        </is>
      </c>
      <c r="E357" s="28" t="inlineStr">
        <is>
          <t>1. Leave the app in the background for 30 minutes
2. Check battery and network use</t>
        </is>
      </c>
      <c r="F357" s="28" t="inlineStr">
        <is>
          <t>No timers, sockets or polling keep running.</t>
        </is>
      </c>
      <c r="G357" s="29" t="inlineStr">
        <is>
          <t>P2</t>
        </is>
      </c>
      <c r="H357" s="29" t="inlineStr">
        <is>
          <t>Performance</t>
        </is>
      </c>
      <c r="I357" s="29" t="inlineStr">
        <is>
          <t>Both</t>
        </is>
      </c>
      <c r="J357" s="29" t="n"/>
      <c r="K357" s="31" t="inlineStr">
        <is>
          <t>Not Run</t>
        </is>
      </c>
      <c r="L357" s="32" t="n"/>
      <c r="M357" s="33" t="n"/>
      <c r="N357" s="32" t="n"/>
      <c r="O357" s="32" t="n"/>
      <c r="P357" s="32" t="n"/>
      <c r="Q357" s="32" t="n"/>
    </row>
    <row r="358" ht="30" customHeight="1">
      <c r="A358" s="27" t="inlineStr">
        <is>
          <t>PERF-009</t>
        </is>
      </c>
      <c r="B358" s="28" t="inlineStr">
        <is>
          <t>21 Performance &amp; stability</t>
        </is>
      </c>
      <c r="C358" s="28" t="inlineStr">
        <is>
          <t>Large data</t>
        </is>
      </c>
      <c r="D358" s="28" t="inlineStr">
        <is>
          <t>Accounts with a lot of data</t>
        </is>
      </c>
      <c r="E358" s="28" t="inlineStr">
        <is>
          <t>Use an account with 200+ appointments, notifications and records</t>
        </is>
      </c>
      <c r="F358" s="28" t="inlineStr">
        <is>
          <t>Lists paginate and stay responsive.</t>
        </is>
      </c>
      <c r="G358" s="29" t="inlineStr">
        <is>
          <t>P2</t>
        </is>
      </c>
      <c r="H358" s="29" t="inlineStr">
        <is>
          <t>Performance</t>
        </is>
      </c>
      <c r="I358" s="29" t="inlineStr">
        <is>
          <t>Both</t>
        </is>
      </c>
      <c r="J358" s="29" t="n"/>
      <c r="K358" s="31" t="inlineStr">
        <is>
          <t>Not Run</t>
        </is>
      </c>
      <c r="L358" s="32" t="n"/>
      <c r="M358" s="33" t="n"/>
      <c r="N358" s="32" t="n"/>
      <c r="O358" s="32" t="n"/>
      <c r="P358" s="32" t="n"/>
      <c r="Q358" s="32" t="n"/>
    </row>
    <row r="359" ht="17" customHeight="1">
      <c r="A359" s="27" t="inlineStr">
        <is>
          <t>PERF-010</t>
        </is>
      </c>
      <c r="B359" s="28" t="inlineStr">
        <is>
          <t>21 Performance &amp; stability</t>
        </is>
      </c>
      <c r="C359" s="28" t="inlineStr">
        <is>
          <t>Low-end</t>
        </is>
      </c>
      <c r="D359" s="28" t="inlineStr">
        <is>
          <t>Low-end device</t>
        </is>
      </c>
      <c r="E359" s="28" t="inlineStr">
        <is>
          <t>Run the core journeys on a 2–3 GB RAM Android device</t>
        </is>
      </c>
      <c r="F359" s="28" t="inlineStr">
        <is>
          <t>Usable; no crashes; animations acceptable.</t>
        </is>
      </c>
      <c r="G359" s="29" t="inlineStr">
        <is>
          <t>P1</t>
        </is>
      </c>
      <c r="H359" s="29" t="inlineStr">
        <is>
          <t>Performance</t>
        </is>
      </c>
      <c r="I359" s="29" t="inlineStr">
        <is>
          <t>Android</t>
        </is>
      </c>
      <c r="J359" s="29" t="n"/>
      <c r="K359" s="31" t="inlineStr">
        <is>
          <t>Not Run</t>
        </is>
      </c>
      <c r="L359" s="32" t="n"/>
      <c r="M359" s="33" t="n"/>
      <c r="N359" s="32" t="n"/>
      <c r="O359" s="32" t="n"/>
      <c r="P359" s="32" t="n"/>
      <c r="Q359" s="32" t="n"/>
    </row>
    <row r="360" ht="30" customHeight="1">
      <c r="A360" s="27" t="inlineStr">
        <is>
          <t>PERF-011</t>
        </is>
      </c>
      <c r="B360" s="28" t="inlineStr">
        <is>
          <t>21 Performance &amp; stability</t>
        </is>
      </c>
      <c r="C360" s="28" t="inlineStr">
        <is>
          <t>Storage</t>
        </is>
      </c>
      <c r="D360" s="28" t="inlineStr">
        <is>
          <t>Device storage almost full</t>
        </is>
      </c>
      <c r="E360" s="28" t="inlineStr">
        <is>
          <t>1. Fill device storage
2. Use the app and try an upload</t>
        </is>
      </c>
      <c r="F360" s="28" t="inlineStr">
        <is>
          <t>Graceful errors; no crash or corrupted cache.</t>
        </is>
      </c>
      <c r="G360" s="29" t="inlineStr">
        <is>
          <t>P3</t>
        </is>
      </c>
      <c r="H360" s="29" t="inlineStr">
        <is>
          <t>Negative</t>
        </is>
      </c>
      <c r="I360" s="29" t="inlineStr">
        <is>
          <t>Both</t>
        </is>
      </c>
      <c r="J360" s="29" t="n"/>
      <c r="K360" s="31" t="inlineStr">
        <is>
          <t>Not Run</t>
        </is>
      </c>
      <c r="L360" s="32" t="n"/>
      <c r="M360" s="33" t="n"/>
      <c r="N360" s="32" t="n"/>
      <c r="O360" s="32" t="n"/>
      <c r="P360" s="32" t="n"/>
      <c r="Q360" s="32" t="n"/>
    </row>
    <row r="361" ht="30" customHeight="1">
      <c r="A361" s="27" t="inlineStr">
        <is>
          <t>PERF-012</t>
        </is>
      </c>
      <c r="B361" s="28" t="inlineStr">
        <is>
          <t>21 Performance &amp; stability</t>
        </is>
      </c>
      <c r="C361" s="28" t="inlineStr">
        <is>
          <t>Images</t>
        </is>
      </c>
      <c r="D361" s="28" t="inlineStr">
        <is>
          <t>Image memory and caching</t>
        </is>
      </c>
      <c r="E361" s="28" t="inlineStr">
        <is>
          <t>Scroll long lists of doctors/hospitals with photos</t>
        </is>
      </c>
      <c r="F361" s="28" t="inlineStr">
        <is>
          <t>Images are cached and sized appropriately; no flicker on revisit.</t>
        </is>
      </c>
      <c r="G361" s="29" t="inlineStr">
        <is>
          <t>P2</t>
        </is>
      </c>
      <c r="H361" s="29" t="inlineStr">
        <is>
          <t>Performance</t>
        </is>
      </c>
      <c r="I361" s="29" t="inlineStr">
        <is>
          <t>Both</t>
        </is>
      </c>
      <c r="J361" s="29" t="n"/>
      <c r="K361" s="31" t="inlineStr">
        <is>
          <t>Not Run</t>
        </is>
      </c>
      <c r="L361" s="32" t="n"/>
      <c r="M361" s="33" t="n"/>
      <c r="N361" s="32" t="n"/>
      <c r="O361" s="32" t="n"/>
      <c r="P361" s="32" t="n"/>
      <c r="Q361" s="32" t="n"/>
    </row>
    <row r="362" ht="30" customHeight="1">
      <c r="A362" s="27" t="inlineStr">
        <is>
          <t>UI-001</t>
        </is>
      </c>
      <c r="B362" s="28" t="inlineStr">
        <is>
          <t>22 UI, responsiveness &amp; accessibility</t>
        </is>
      </c>
      <c r="C362" s="28" t="inlineStr">
        <is>
          <t>Small screen</t>
        </is>
      </c>
      <c r="D362" s="28" t="inlineStr">
        <is>
          <t>Small phone layout</t>
        </is>
      </c>
      <c r="E362" s="28" t="inlineStr">
        <is>
          <t>Run every screen on a 360 x 640 dp Android and an iPhone SE</t>
        </is>
      </c>
      <c r="F362" s="28" t="inlineStr">
        <is>
          <t>No overflow stripes, clipped text or unreachable buttons.</t>
        </is>
      </c>
      <c r="G362" s="29" t="inlineStr">
        <is>
          <t>P0</t>
        </is>
      </c>
      <c r="H362" s="29" t="inlineStr">
        <is>
          <t>UI</t>
        </is>
      </c>
      <c r="I362" s="29" t="inlineStr">
        <is>
          <t>Both</t>
        </is>
      </c>
      <c r="J362" s="29" t="n"/>
      <c r="K362" s="31" t="inlineStr">
        <is>
          <t>Not Run</t>
        </is>
      </c>
      <c r="L362" s="32" t="n"/>
      <c r="M362" s="33" t="n"/>
      <c r="N362" s="32" t="n"/>
      <c r="O362" s="32" t="n"/>
      <c r="P362" s="32" t="n"/>
      <c r="Q362" s="32" t="n"/>
    </row>
    <row r="363" ht="30" customHeight="1">
      <c r="A363" s="27" t="inlineStr">
        <is>
          <t>UI-002</t>
        </is>
      </c>
      <c r="B363" s="28" t="inlineStr">
        <is>
          <t>22 UI, responsiveness &amp; accessibility</t>
        </is>
      </c>
      <c r="C363" s="28" t="inlineStr">
        <is>
          <t>Large screen</t>
        </is>
      </c>
      <c r="D363" s="28" t="inlineStr">
        <is>
          <t>Large phone layout</t>
        </is>
      </c>
      <c r="E363" s="28" t="inlineStr">
        <is>
          <t>Run every screen on a 6.7" phone</t>
        </is>
      </c>
      <c r="F363" s="28" t="inlineStr">
        <is>
          <t>Proportions hold; nothing stretched or tiny.</t>
        </is>
      </c>
      <c r="G363" s="29" t="inlineStr">
        <is>
          <t>P1</t>
        </is>
      </c>
      <c r="H363" s="29" t="inlineStr">
        <is>
          <t>UI</t>
        </is>
      </c>
      <c r="I363" s="29" t="inlineStr">
        <is>
          <t>Both</t>
        </is>
      </c>
      <c r="J363" s="29" t="n"/>
      <c r="K363" s="31" t="inlineStr">
        <is>
          <t>Not Run</t>
        </is>
      </c>
      <c r="L363" s="32" t="n"/>
      <c r="M363" s="33" t="n"/>
      <c r="N363" s="32" t="n"/>
      <c r="O363" s="32" t="n"/>
      <c r="P363" s="32" t="n"/>
      <c r="Q363" s="32" t="n"/>
    </row>
    <row r="364" ht="30" customHeight="1">
      <c r="A364" s="27" t="inlineStr">
        <is>
          <t>UI-003</t>
        </is>
      </c>
      <c r="B364" s="28" t="inlineStr">
        <is>
          <t>22 UI, responsiveness &amp; accessibility</t>
        </is>
      </c>
      <c r="C364" s="28" t="inlineStr">
        <is>
          <t>Tablet</t>
        </is>
      </c>
      <c r="D364" s="28" t="inlineStr">
        <is>
          <t>Tablet layout (if distributed to tablets)</t>
        </is>
      </c>
      <c r="E364" s="28" t="inlineStr">
        <is>
          <t>Run on an iPad and an Android tablet</t>
        </is>
      </c>
      <c r="F364" s="28" t="inlineStr">
        <is>
          <t>Usable layout, or tablets are excluded in the store listing.</t>
        </is>
      </c>
      <c r="G364" s="29" t="inlineStr">
        <is>
          <t>P2</t>
        </is>
      </c>
      <c r="H364" s="29" t="inlineStr">
        <is>
          <t>UI</t>
        </is>
      </c>
      <c r="I364" s="29" t="inlineStr">
        <is>
          <t>Both</t>
        </is>
      </c>
      <c r="J364" s="29" t="n"/>
      <c r="K364" s="31" t="inlineStr">
        <is>
          <t>Not Run</t>
        </is>
      </c>
      <c r="L364" s="32" t="n"/>
      <c r="M364" s="33" t="n"/>
      <c r="N364" s="32" t="n"/>
      <c r="O364" s="32" t="n"/>
      <c r="P364" s="32" t="n"/>
      <c r="Q364" s="32" t="n"/>
    </row>
    <row r="365" ht="30" customHeight="1">
      <c r="A365" s="27" t="inlineStr">
        <is>
          <t>UI-004</t>
        </is>
      </c>
      <c r="B365" s="28" t="inlineStr">
        <is>
          <t>22 UI, responsiveness &amp; accessibility</t>
        </is>
      </c>
      <c r="C365" s="28" t="inlineStr">
        <is>
          <t>Design</t>
        </is>
      </c>
      <c r="D365" s="28" t="inlineStr">
        <is>
          <t>Screens match the design spec</t>
        </is>
      </c>
      <c r="E365" s="28" t="inlineStr">
        <is>
          <t>Compare key screens with docs/DESIGN-SPEC.md / Figma (login, home, booking, payment, appointments, records, profile)</t>
        </is>
      </c>
      <c r="F365" s="28" t="inlineStr">
        <is>
          <t>Spacing, type, colour and components match within tolerance.</t>
        </is>
      </c>
      <c r="G365" s="29" t="inlineStr">
        <is>
          <t>P1</t>
        </is>
      </c>
      <c r="H365" s="29" t="inlineStr">
        <is>
          <t>UI</t>
        </is>
      </c>
      <c r="I365" s="29" t="inlineStr">
        <is>
          <t>Both</t>
        </is>
      </c>
      <c r="J365" s="29" t="n"/>
      <c r="K365" s="31" t="inlineStr">
        <is>
          <t>Not Run</t>
        </is>
      </c>
      <c r="L365" s="32" t="n"/>
      <c r="M365" s="33" t="n"/>
      <c r="N365" s="32" t="n"/>
      <c r="O365" s="32" t="n"/>
      <c r="P365" s="32" t="n"/>
      <c r="Q365" s="32" t="n"/>
    </row>
    <row r="366" ht="30" customHeight="1">
      <c r="A366" s="27" t="inlineStr">
        <is>
          <t>UI-005</t>
        </is>
      </c>
      <c r="B366" s="28" t="inlineStr">
        <is>
          <t>22 UI, responsiveness &amp; accessibility</t>
        </is>
      </c>
      <c r="C366" s="28" t="inlineStr">
        <is>
          <t>Text scale</t>
        </is>
      </c>
      <c r="D366" s="28" t="inlineStr">
        <is>
          <t>Large system font</t>
        </is>
      </c>
      <c r="E366" s="28" t="inlineStr">
        <is>
          <t>Set the system font to the largest size</t>
        </is>
      </c>
      <c r="F366" s="28" t="inlineStr">
        <is>
          <t>Text is clamped sensibly; nothing essential is truncated or overlapped.</t>
        </is>
      </c>
      <c r="G366" s="29" t="inlineStr">
        <is>
          <t>P1</t>
        </is>
      </c>
      <c r="H366" s="29" t="inlineStr">
        <is>
          <t>Accessibility</t>
        </is>
      </c>
      <c r="I366" s="29" t="inlineStr">
        <is>
          <t>Both</t>
        </is>
      </c>
      <c r="J366" s="29" t="n"/>
      <c r="K366" s="31" t="inlineStr">
        <is>
          <t>Not Run</t>
        </is>
      </c>
      <c r="L366" s="32" t="n"/>
      <c r="M366" s="33" t="n"/>
      <c r="N366" s="32" t="n"/>
      <c r="O366" s="32" t="n"/>
      <c r="P366" s="32" t="n"/>
      <c r="Q366" s="32" t="n"/>
    </row>
    <row r="367" ht="30" customHeight="1">
      <c r="A367" s="27" t="inlineStr">
        <is>
          <t>UI-006</t>
        </is>
      </c>
      <c r="B367" s="28" t="inlineStr">
        <is>
          <t>22 UI, responsiveness &amp; accessibility</t>
        </is>
      </c>
      <c r="C367" s="28" t="inlineStr">
        <is>
          <t>Display size</t>
        </is>
      </c>
      <c r="D367" s="28" t="inlineStr">
        <is>
          <t>Largest display size / zoom</t>
        </is>
      </c>
      <c r="E367" s="28" t="inlineStr">
        <is>
          <t>Android: largest display size. iOS: Display Zoom</t>
        </is>
      </c>
      <c r="F367" s="28" t="inlineStr">
        <is>
          <t>Layouts still fit.</t>
        </is>
      </c>
      <c r="G367" s="29" t="inlineStr">
        <is>
          <t>P2</t>
        </is>
      </c>
      <c r="H367" s="29" t="inlineStr">
        <is>
          <t>Accessibility</t>
        </is>
      </c>
      <c r="I367" s="29" t="inlineStr">
        <is>
          <t>Both</t>
        </is>
      </c>
      <c r="J367" s="29" t="n"/>
      <c r="K367" s="31" t="inlineStr">
        <is>
          <t>Not Run</t>
        </is>
      </c>
      <c r="L367" s="32" t="n"/>
      <c r="M367" s="33" t="n"/>
      <c r="N367" s="32" t="n"/>
      <c r="O367" s="32" t="n"/>
      <c r="P367" s="32" t="n"/>
      <c r="Q367" s="32" t="n"/>
    </row>
    <row r="368" ht="30" customHeight="1">
      <c r="A368" s="27" t="inlineStr">
        <is>
          <t>UI-007</t>
        </is>
      </c>
      <c r="B368" s="28" t="inlineStr">
        <is>
          <t>22 UI, responsiveness &amp; accessibility</t>
        </is>
      </c>
      <c r="C368" s="28" t="inlineStr">
        <is>
          <t>Keyboard</t>
        </is>
      </c>
      <c r="D368" s="28" t="inlineStr">
        <is>
          <t>Keyboard does not hide inputs</t>
        </is>
      </c>
      <c r="E368" s="28" t="inlineStr">
        <is>
          <t>Focus every field on every form, especially the lowest ones</t>
        </is>
      </c>
      <c r="F368" s="28" t="inlineStr">
        <is>
          <t>Field scrolls into view; submit stays reachable; keyboard type suits the field.</t>
        </is>
      </c>
      <c r="G368" s="29" t="inlineStr">
        <is>
          <t>P1</t>
        </is>
      </c>
      <c r="H368" s="29" t="inlineStr">
        <is>
          <t>UI</t>
        </is>
      </c>
      <c r="I368" s="29" t="inlineStr">
        <is>
          <t>Both</t>
        </is>
      </c>
      <c r="J368" s="29" t="n"/>
      <c r="K368" s="31" t="inlineStr">
        <is>
          <t>Not Run</t>
        </is>
      </c>
      <c r="L368" s="32" t="n"/>
      <c r="M368" s="33" t="n"/>
      <c r="N368" s="32" t="n"/>
      <c r="O368" s="32" t="n"/>
      <c r="P368" s="32" t="n"/>
      <c r="Q368" s="32" t="n"/>
    </row>
    <row r="369" ht="30" customHeight="1">
      <c r="A369" s="27" t="inlineStr">
        <is>
          <t>UI-008</t>
        </is>
      </c>
      <c r="B369" s="28" t="inlineStr">
        <is>
          <t>22 UI, responsiveness &amp; accessibility</t>
        </is>
      </c>
      <c r="C369" s="28" t="inlineStr">
        <is>
          <t>Safe areas</t>
        </is>
      </c>
      <c r="D369" s="28" t="inlineStr">
        <is>
          <t>Notch, Dynamic Island and gesture bar</t>
        </is>
      </c>
      <c r="E369" s="28" t="inlineStr">
        <is>
          <t>Check headers, bottom nav and sheets on notched devices and with gesture navigation</t>
        </is>
      </c>
      <c r="F369" s="28" t="inlineStr">
        <is>
          <t>Nothing is hidden under system areas.</t>
        </is>
      </c>
      <c r="G369" s="29" t="inlineStr">
        <is>
          <t>P1</t>
        </is>
      </c>
      <c r="H369" s="29" t="inlineStr">
        <is>
          <t>UI</t>
        </is>
      </c>
      <c r="I369" s="29" t="inlineStr">
        <is>
          <t>Both</t>
        </is>
      </c>
      <c r="J369" s="29" t="n"/>
      <c r="K369" s="31" t="inlineStr">
        <is>
          <t>Not Run</t>
        </is>
      </c>
      <c r="L369" s="32" t="n"/>
      <c r="M369" s="33" t="n"/>
      <c r="N369" s="32" t="n"/>
      <c r="O369" s="32" t="n"/>
      <c r="P369" s="32" t="n"/>
      <c r="Q369" s="32" t="n"/>
    </row>
    <row r="370" ht="30" customHeight="1">
      <c r="A370" s="27" t="inlineStr">
        <is>
          <t>UI-009</t>
        </is>
      </c>
      <c r="B370" s="28" t="inlineStr">
        <is>
          <t>22 UI, responsiveness &amp; accessibility</t>
        </is>
      </c>
      <c r="C370" s="28" t="inlineStr">
        <is>
          <t>Long content</t>
        </is>
      </c>
      <c r="D370" s="28" t="inlineStr">
        <is>
          <t>Long and non-Latin text</t>
        </is>
      </c>
      <c r="E370" s="28" t="inlineStr">
        <is>
          <t>Use 50+ character names, long hospital names, Malayalam/Hindi names, emoji</t>
        </is>
      </c>
      <c r="F370" s="28" t="inlineStr">
        <is>
          <t>Text wraps or ellipsises; no overflow.</t>
        </is>
      </c>
      <c r="G370" s="29" t="inlineStr">
        <is>
          <t>P1</t>
        </is>
      </c>
      <c r="H370" s="29" t="inlineStr">
        <is>
          <t>UI</t>
        </is>
      </c>
      <c r="I370" s="29" t="inlineStr">
        <is>
          <t>Both</t>
        </is>
      </c>
      <c r="J370" s="29" t="n"/>
      <c r="K370" s="31" t="inlineStr">
        <is>
          <t>Not Run</t>
        </is>
      </c>
      <c r="L370" s="32" t="n"/>
      <c r="M370" s="33" t="n"/>
      <c r="N370" s="32" t="n"/>
      <c r="O370" s="32" t="n"/>
      <c r="P370" s="32" t="n"/>
      <c r="Q370" s="32" t="n"/>
    </row>
    <row r="371" ht="30" customHeight="1">
      <c r="A371" s="27" t="inlineStr">
        <is>
          <t>UI-010</t>
        </is>
      </c>
      <c r="B371" s="28" t="inlineStr">
        <is>
          <t>22 UI, responsiveness &amp; accessibility</t>
        </is>
      </c>
      <c r="C371" s="28" t="inlineStr">
        <is>
          <t>Formats</t>
        </is>
      </c>
      <c r="D371" s="28" t="inlineStr">
        <is>
          <t>Currency and date formats</t>
        </is>
      </c>
      <c r="E371" s="28" t="inlineStr">
        <is>
          <t>Review all amounts and dates</t>
        </is>
      </c>
      <c r="F371" s="28" t="inlineStr">
        <is>
          <t>Rupee symbol with correct grouping and two decimals; dates and times are consistent throughout.</t>
        </is>
      </c>
      <c r="G371" s="29" t="inlineStr">
        <is>
          <t>P1</t>
        </is>
      </c>
      <c r="H371" s="29" t="inlineStr">
        <is>
          <t>UI</t>
        </is>
      </c>
      <c r="I371" s="29" t="inlineStr">
        <is>
          <t>Both</t>
        </is>
      </c>
      <c r="J371" s="29" t="n"/>
      <c r="K371" s="31" t="inlineStr">
        <is>
          <t>Not Run</t>
        </is>
      </c>
      <c r="L371" s="32" t="n"/>
      <c r="M371" s="33" t="n"/>
      <c r="N371" s="32" t="n"/>
      <c r="O371" s="32" t="n"/>
      <c r="P371" s="32" t="n"/>
      <c r="Q371" s="32" t="n"/>
    </row>
    <row r="372" ht="30" customHeight="1">
      <c r="A372" s="27" t="inlineStr">
        <is>
          <t>UI-011</t>
        </is>
      </c>
      <c r="B372" s="28" t="inlineStr">
        <is>
          <t>22 UI, responsiveness &amp; accessibility</t>
        </is>
      </c>
      <c r="C372" s="28" t="inlineStr">
        <is>
          <t>Locale</t>
        </is>
      </c>
      <c r="D372" s="28" t="inlineStr">
        <is>
          <t>Non-English device language</t>
        </is>
      </c>
      <c r="E372" s="28" t="inlineStr">
        <is>
          <t>Set the device to Hindi, Malayalam and Arabic (RTL)</t>
        </is>
      </c>
      <c r="F372" s="28" t="inlineStr">
        <is>
          <t>App stays fully usable; system pickers behave; no mirrored/broken layouts.</t>
        </is>
      </c>
      <c r="G372" s="29" t="inlineStr">
        <is>
          <t>P2</t>
        </is>
      </c>
      <c r="H372" s="29" t="inlineStr">
        <is>
          <t>Compatibility</t>
        </is>
      </c>
      <c r="I372" s="29" t="inlineStr">
        <is>
          <t>Both</t>
        </is>
      </c>
      <c r="J372" s="29" t="n"/>
      <c r="K372" s="31" t="inlineStr">
        <is>
          <t>Not Run</t>
        </is>
      </c>
      <c r="L372" s="32" t="n"/>
      <c r="M372" s="33" t="n"/>
      <c r="N372" s="32" t="n"/>
      <c r="O372" s="32" t="n"/>
      <c r="P372" s="32" t="n"/>
      <c r="Q372" s="32" t="n"/>
    </row>
    <row r="373" ht="30" customHeight="1">
      <c r="A373" s="27" t="inlineStr">
        <is>
          <t>UI-012</t>
        </is>
      </c>
      <c r="B373" s="28" t="inlineStr">
        <is>
          <t>22 UI, responsiveness &amp; accessibility</t>
        </is>
      </c>
      <c r="C373" s="28" t="inlineStr">
        <is>
          <t>Dark mode</t>
        </is>
      </c>
      <c r="D373" s="28" t="inlineStr">
        <is>
          <t>Device in dark mode</t>
        </is>
      </c>
      <c r="E373" s="28" t="inlineStr">
        <is>
          <t>1. Enable system dark mode
2. Review all screens</t>
        </is>
      </c>
      <c r="F373" s="28" t="inlineStr">
        <is>
          <t>App's light theme renders correctly; no unreadable text or dark system surfaces.</t>
        </is>
      </c>
      <c r="G373" s="29" t="inlineStr">
        <is>
          <t>P1</t>
        </is>
      </c>
      <c r="H373" s="29" t="inlineStr">
        <is>
          <t>UI</t>
        </is>
      </c>
      <c r="I373" s="29" t="inlineStr">
        <is>
          <t>Both</t>
        </is>
      </c>
      <c r="J373" s="29" t="n"/>
      <c r="K373" s="31" t="inlineStr">
        <is>
          <t>Not Run</t>
        </is>
      </c>
      <c r="L373" s="32" t="n"/>
      <c r="M373" s="33" t="n"/>
      <c r="N373" s="32" t="n"/>
      <c r="O373" s="32" t="n"/>
      <c r="P373" s="32" t="n"/>
      <c r="Q373" s="32" t="n"/>
    </row>
    <row r="374" ht="30" customHeight="1">
      <c r="A374" s="27" t="inlineStr">
        <is>
          <t>UI-013</t>
        </is>
      </c>
      <c r="B374" s="28" t="inlineStr">
        <is>
          <t>22 UI, responsiveness &amp; accessibility</t>
        </is>
      </c>
      <c r="C374" s="28" t="inlineStr">
        <is>
          <t>Screen reader</t>
        </is>
      </c>
      <c r="D374" s="28" t="inlineStr">
        <is>
          <t>TalkBack / VoiceOver on core journeys</t>
        </is>
      </c>
      <c r="E374" s="28" t="inlineStr">
        <is>
          <t>With a screen reader, sign in, book an appointment and open a record</t>
        </is>
      </c>
      <c r="F374" s="28" t="inlineStr">
        <is>
          <t>Every control has a meaningful label; focus order is logical; status changes and errors are announced.</t>
        </is>
      </c>
      <c r="G374" s="29" t="inlineStr">
        <is>
          <t>P1</t>
        </is>
      </c>
      <c r="H374" s="29" t="inlineStr">
        <is>
          <t>Accessibility</t>
        </is>
      </c>
      <c r="I374" s="29" t="inlineStr">
        <is>
          <t>Both</t>
        </is>
      </c>
      <c r="J374" s="29" t="n"/>
      <c r="K374" s="31" t="inlineStr">
        <is>
          <t>Not Run</t>
        </is>
      </c>
      <c r="L374" s="32" t="n"/>
      <c r="M374" s="33" t="n"/>
      <c r="N374" s="32" t="n"/>
      <c r="O374" s="32" t="n"/>
      <c r="P374" s="32" t="n"/>
      <c r="Q374" s="32" t="n"/>
    </row>
    <row r="375" ht="30" customHeight="1">
      <c r="A375" s="27" t="inlineStr">
        <is>
          <t>UI-014</t>
        </is>
      </c>
      <c r="B375" s="28" t="inlineStr">
        <is>
          <t>22 UI, responsiveness &amp; accessibility</t>
        </is>
      </c>
      <c r="C375" s="28" t="inlineStr">
        <is>
          <t>Touch targets</t>
        </is>
      </c>
      <c r="D375" s="28" t="inlineStr">
        <is>
          <t>Touch target size</t>
        </is>
      </c>
      <c r="E375" s="28" t="inlineStr">
        <is>
          <t>Check icons, chips, slots and close buttons</t>
        </is>
      </c>
      <c r="F375" s="28" t="inlineStr">
        <is>
          <t>At least 48 x 48 dp (Android) / 44 x 44 pt (iOS).</t>
        </is>
      </c>
      <c r="G375" s="29" t="inlineStr">
        <is>
          <t>P2</t>
        </is>
      </c>
      <c r="H375" s="29" t="inlineStr">
        <is>
          <t>Accessibility</t>
        </is>
      </c>
      <c r="I375" s="29" t="inlineStr">
        <is>
          <t>Both</t>
        </is>
      </c>
      <c r="J375" s="29" t="n"/>
      <c r="K375" s="31" t="inlineStr">
        <is>
          <t>Not Run</t>
        </is>
      </c>
      <c r="L375" s="32" t="n"/>
      <c r="M375" s="33" t="n"/>
      <c r="N375" s="32" t="n"/>
      <c r="O375" s="32" t="n"/>
      <c r="P375" s="32" t="n"/>
      <c r="Q375" s="32" t="n"/>
    </row>
    <row r="376" ht="30" customHeight="1">
      <c r="A376" s="27" t="inlineStr">
        <is>
          <t>UI-015</t>
        </is>
      </c>
      <c r="B376" s="28" t="inlineStr">
        <is>
          <t>22 UI, responsiveness &amp; accessibility</t>
        </is>
      </c>
      <c r="C376" s="28" t="inlineStr">
        <is>
          <t>Contrast</t>
        </is>
      </c>
      <c r="D376" s="28" t="inlineStr">
        <is>
          <t>Colour contrast and non-colour cues</t>
        </is>
      </c>
      <c r="E376" s="28" t="inlineStr">
        <is>
          <t>Check text on brand and status colours</t>
        </is>
      </c>
      <c r="F376" s="28" t="inlineStr">
        <is>
          <t>Text contrast at least 4.5:1; status is conveyed by text/icon as well as colour.</t>
        </is>
      </c>
      <c r="G376" s="29" t="inlineStr">
        <is>
          <t>P2</t>
        </is>
      </c>
      <c r="H376" s="29" t="inlineStr">
        <is>
          <t>Accessibility</t>
        </is>
      </c>
      <c r="I376" s="29" t="inlineStr">
        <is>
          <t>Both</t>
        </is>
      </c>
      <c r="J376" s="29" t="n"/>
      <c r="K376" s="31" t="inlineStr">
        <is>
          <t>Not Run</t>
        </is>
      </c>
      <c r="L376" s="32" t="n"/>
      <c r="M376" s="33" t="n"/>
      <c r="N376" s="32" t="n"/>
      <c r="O376" s="32" t="n"/>
      <c r="P376" s="32" t="n"/>
      <c r="Q376" s="32" t="n"/>
    </row>
    <row r="377" ht="30" customHeight="1">
      <c r="A377" s="27" t="inlineStr">
        <is>
          <t>UI-016</t>
        </is>
      </c>
      <c r="B377" s="28" t="inlineStr">
        <is>
          <t>22 UI, responsiveness &amp; accessibility</t>
        </is>
      </c>
      <c r="C377" s="28" t="inlineStr">
        <is>
          <t>Motion</t>
        </is>
      </c>
      <c r="D377" s="28" t="inlineStr">
        <is>
          <t>Reduce Motion is respected</t>
        </is>
      </c>
      <c r="E377" s="28" t="inlineStr">
        <is>
          <t>Enable Reduce Motion / Remove animations</t>
        </is>
      </c>
      <c r="F377" s="28" t="inlineStr">
        <is>
          <t>Banner auto-rotation and non-essential animation stop.</t>
        </is>
      </c>
      <c r="G377" s="29" t="inlineStr">
        <is>
          <t>P2</t>
        </is>
      </c>
      <c r="H377" s="29" t="inlineStr">
        <is>
          <t>Accessibility</t>
        </is>
      </c>
      <c r="I377" s="29" t="inlineStr">
        <is>
          <t>Both</t>
        </is>
      </c>
      <c r="J377" s="29" t="n"/>
      <c r="K377" s="31" t="inlineStr">
        <is>
          <t>Not Run</t>
        </is>
      </c>
      <c r="L377" s="32" t="n"/>
      <c r="M377" s="33" t="n"/>
      <c r="N377" s="32" t="n"/>
      <c r="O377" s="32" t="n"/>
      <c r="P377" s="32" t="n"/>
      <c r="Q377" s="32" t="n"/>
    </row>
    <row r="378" ht="30" customHeight="1">
      <c r="A378" s="27" t="inlineStr">
        <is>
          <t>UI-017</t>
        </is>
      </c>
      <c r="B378" s="28" t="inlineStr">
        <is>
          <t>22 UI, responsiveness &amp; accessibility</t>
        </is>
      </c>
      <c r="C378" s="28" t="inlineStr">
        <is>
          <t>Feedback</t>
        </is>
      </c>
      <c r="D378" s="28" t="inlineStr">
        <is>
          <t>Buttons show pressed, disabled and loading states</t>
        </is>
      </c>
      <c r="E378" s="28" t="inlineStr">
        <is>
          <t>Tap every primary action</t>
        </is>
      </c>
      <c r="F378" s="28" t="inlineStr">
        <is>
          <t>Visible feedback; no double submission.</t>
        </is>
      </c>
      <c r="G378" s="29" t="inlineStr">
        <is>
          <t>P1</t>
        </is>
      </c>
      <c r="H378" s="29" t="inlineStr">
        <is>
          <t>UI</t>
        </is>
      </c>
      <c r="I378" s="29" t="inlineStr">
        <is>
          <t>Both</t>
        </is>
      </c>
      <c r="J378" s="29" t="n"/>
      <c r="K378" s="31" t="inlineStr">
        <is>
          <t>Not Run</t>
        </is>
      </c>
      <c r="L378" s="32" t="n"/>
      <c r="M378" s="33" t="n"/>
      <c r="N378" s="32" t="n"/>
      <c r="O378" s="32" t="n"/>
      <c r="P378" s="32" t="n"/>
      <c r="Q378" s="32" t="n"/>
    </row>
    <row r="379" ht="30" customHeight="1">
      <c r="A379" s="27" t="inlineStr">
        <is>
          <t>UI-018</t>
        </is>
      </c>
      <c r="B379" s="28" t="inlineStr">
        <is>
          <t>22 UI, responsiveness &amp; accessibility</t>
        </is>
      </c>
      <c r="C379" s="28" t="inlineStr">
        <is>
          <t>Assets</t>
        </is>
      </c>
      <c r="D379" s="28" t="inlineStr">
        <is>
          <t>Fonts and icons</t>
        </is>
      </c>
      <c r="E379" s="28" t="inlineStr">
        <is>
          <t>Review typography and icons on both platforms</t>
        </is>
      </c>
      <c r="F379" s="28" t="inlineStr">
        <is>
          <t>Poppins/Inter render (no fallback font); icons are crisp at all densities.</t>
        </is>
      </c>
      <c r="G379" s="29" t="inlineStr">
        <is>
          <t>P2</t>
        </is>
      </c>
      <c r="H379" s="29" t="inlineStr">
        <is>
          <t>UI</t>
        </is>
      </c>
      <c r="I379" s="29" t="inlineStr">
        <is>
          <t>Both</t>
        </is>
      </c>
      <c r="J379" s="29" t="n"/>
      <c r="K379" s="31" t="inlineStr">
        <is>
          <t>Not Run</t>
        </is>
      </c>
      <c r="L379" s="32" t="n"/>
      <c r="M379" s="33" t="n"/>
      <c r="N379" s="32" t="n"/>
      <c r="O379" s="32" t="n"/>
      <c r="P379" s="32" t="n"/>
      <c r="Q379" s="32" t="n"/>
    </row>
    <row r="380" ht="30" customHeight="1">
      <c r="A380" s="27" t="inlineStr">
        <is>
          <t>UI-019</t>
        </is>
      </c>
      <c r="B380" s="28" t="inlineStr">
        <is>
          <t>22 UI, responsiveness &amp; accessibility</t>
        </is>
      </c>
      <c r="C380" s="28" t="inlineStr">
        <is>
          <t>Orientation</t>
        </is>
      </c>
      <c r="D380" s="28" t="inlineStr">
        <is>
          <t>Rotation</t>
        </is>
      </c>
      <c r="E380" s="28" t="inlineStr">
        <is>
          <t>Rotate the device on several screens</t>
        </is>
      </c>
      <c r="F380" s="28" t="inlineStr">
        <is>
          <t>Either locked to portrait or laid out correctly; no state loss.</t>
        </is>
      </c>
      <c r="G380" s="29" t="inlineStr">
        <is>
          <t>P2</t>
        </is>
      </c>
      <c r="H380" s="29" t="inlineStr">
        <is>
          <t>UI</t>
        </is>
      </c>
      <c r="I380" s="29" t="inlineStr">
        <is>
          <t>Both</t>
        </is>
      </c>
      <c r="J380" s="29" t="n"/>
      <c r="K380" s="31" t="inlineStr">
        <is>
          <t>Not Run</t>
        </is>
      </c>
      <c r="L380" s="32" t="n"/>
      <c r="M380" s="33" t="n"/>
      <c r="N380" s="32" t="n"/>
      <c r="O380" s="32" t="n"/>
      <c r="P380" s="32" t="n"/>
      <c r="Q380" s="32" t="n"/>
    </row>
    <row r="381" ht="30" customHeight="1">
      <c r="A381" s="27" t="inlineStr">
        <is>
          <t>UI-020</t>
        </is>
      </c>
      <c r="B381" s="28" t="inlineStr">
        <is>
          <t>22 UI, responsiveness &amp; accessibility</t>
        </is>
      </c>
      <c r="C381" s="28" t="inlineStr">
        <is>
          <t>Responsive code</t>
        </is>
      </c>
      <c r="D381" s="28" t="inlineStr">
        <is>
          <t>No hardcoded pixel sizes</t>
        </is>
      </c>
      <c r="E381" s="28" t="inlineStr">
        <is>
          <t>Run the ScreenUtil audit from QA.md</t>
        </is>
      </c>
      <c r="F381" s="28" t="inlineStr">
        <is>
          <t>Sizes use .w / .h / .sp / .r; design base size agrees with the spec.</t>
        </is>
      </c>
      <c r="G381" s="29" t="inlineStr">
        <is>
          <t>P2</t>
        </is>
      </c>
      <c r="H381" s="29" t="inlineStr">
        <is>
          <t>UI</t>
        </is>
      </c>
      <c r="I381" s="29" t="inlineStr">
        <is>
          <t>Both</t>
        </is>
      </c>
      <c r="J381" s="29" t="inlineStr">
        <is>
          <t>KB-12</t>
        </is>
      </c>
      <c r="K381" s="31" t="inlineStr">
        <is>
          <t>Not Run</t>
        </is>
      </c>
      <c r="L381" s="32" t="n"/>
      <c r="M381" s="33" t="n"/>
      <c r="N381" s="32" t="n"/>
      <c r="O381" s="32" t="n"/>
      <c r="P381" s="32" t="n"/>
      <c r="Q381" s="32" t="n"/>
    </row>
    <row r="382" ht="30" customHeight="1">
      <c r="A382" s="27" t="inlineStr">
        <is>
          <t>COMP-001</t>
        </is>
      </c>
      <c r="B382" s="28" t="inlineStr">
        <is>
          <t>23 Compatibility &amp; interruptions</t>
        </is>
      </c>
      <c r="C382" s="28" t="inlineStr">
        <is>
          <t>OS</t>
        </is>
      </c>
      <c r="D382" s="28" t="inlineStr">
        <is>
          <t>Minimum supported Android version</t>
        </is>
      </c>
      <c r="E382" s="28" t="inlineStr">
        <is>
          <t>Install and run core journeys on the lowest supported Android</t>
        </is>
      </c>
      <c r="F382" s="28" t="inlineStr">
        <is>
          <t>Works; or the minimum version is raised deliberately.</t>
        </is>
      </c>
      <c r="G382" s="29" t="inlineStr">
        <is>
          <t>P1</t>
        </is>
      </c>
      <c r="H382" s="29" t="inlineStr">
        <is>
          <t>Compatibility</t>
        </is>
      </c>
      <c r="I382" s="29" t="inlineStr">
        <is>
          <t>Android</t>
        </is>
      </c>
      <c r="J382" s="29" t="n"/>
      <c r="K382" s="31" t="inlineStr">
        <is>
          <t>Not Run</t>
        </is>
      </c>
      <c r="L382" s="32" t="n"/>
      <c r="M382" s="33" t="n"/>
      <c r="N382" s="32" t="n"/>
      <c r="O382" s="32" t="n"/>
      <c r="P382" s="32" t="n"/>
      <c r="Q382" s="32" t="n"/>
    </row>
    <row r="383" ht="30" customHeight="1">
      <c r="A383" s="27" t="inlineStr">
        <is>
          <t>COMP-002</t>
        </is>
      </c>
      <c r="B383" s="28" t="inlineStr">
        <is>
          <t>23 Compatibility &amp; interruptions</t>
        </is>
      </c>
      <c r="C383" s="28" t="inlineStr">
        <is>
          <t>OS</t>
        </is>
      </c>
      <c r="D383" s="28" t="inlineStr">
        <is>
          <t>Latest Android version</t>
        </is>
      </c>
      <c r="E383" s="28" t="inlineStr">
        <is>
          <t>Run core journeys on the latest Android (edge-to-edge, predictive back, 16 KB page size)</t>
        </is>
      </c>
      <c r="F383" s="28" t="inlineStr">
        <is>
          <t>No layout or runtime problems.</t>
        </is>
      </c>
      <c r="G383" s="29" t="inlineStr">
        <is>
          <t>P0</t>
        </is>
      </c>
      <c r="H383" s="29" t="inlineStr">
        <is>
          <t>Compatibility</t>
        </is>
      </c>
      <c r="I383" s="29" t="inlineStr">
        <is>
          <t>Android</t>
        </is>
      </c>
      <c r="J383" s="29" t="n"/>
      <c r="K383" s="31" t="inlineStr">
        <is>
          <t>Not Run</t>
        </is>
      </c>
      <c r="L383" s="32" t="n"/>
      <c r="M383" s="33" t="n"/>
      <c r="N383" s="32" t="n"/>
      <c r="O383" s="32" t="n"/>
      <c r="P383" s="32" t="n"/>
      <c r="Q383" s="32" t="n"/>
    </row>
    <row r="384" ht="30" customHeight="1">
      <c r="A384" s="27" t="inlineStr">
        <is>
          <t>COMP-003</t>
        </is>
      </c>
      <c r="B384" s="28" t="inlineStr">
        <is>
          <t>23 Compatibility &amp; interruptions</t>
        </is>
      </c>
      <c r="C384" s="28" t="inlineStr">
        <is>
          <t>OS</t>
        </is>
      </c>
      <c r="D384" s="28" t="inlineStr">
        <is>
          <t>Minimum supported iOS version</t>
        </is>
      </c>
      <c r="E384" s="28" t="inlineStr">
        <is>
          <t>Run core journeys on the lowest supported iOS</t>
        </is>
      </c>
      <c r="F384" s="28" t="inlineStr">
        <is>
          <t>Works.</t>
        </is>
      </c>
      <c r="G384" s="29" t="inlineStr">
        <is>
          <t>P1</t>
        </is>
      </c>
      <c r="H384" s="29" t="inlineStr">
        <is>
          <t>Compatibility</t>
        </is>
      </c>
      <c r="I384" s="29" t="inlineStr">
        <is>
          <t>iOS</t>
        </is>
      </c>
      <c r="J384" s="29" t="n"/>
      <c r="K384" s="31" t="inlineStr">
        <is>
          <t>Not Run</t>
        </is>
      </c>
      <c r="L384" s="32" t="n"/>
      <c r="M384" s="33" t="n"/>
      <c r="N384" s="32" t="n"/>
      <c r="O384" s="32" t="n"/>
      <c r="P384" s="32" t="n"/>
      <c r="Q384" s="32" t="n"/>
    </row>
    <row r="385" ht="30" customHeight="1">
      <c r="A385" s="27" t="inlineStr">
        <is>
          <t>COMP-004</t>
        </is>
      </c>
      <c r="B385" s="28" t="inlineStr">
        <is>
          <t>23 Compatibility &amp; interruptions</t>
        </is>
      </c>
      <c r="C385" s="28" t="inlineStr">
        <is>
          <t>OS</t>
        </is>
      </c>
      <c r="D385" s="28" t="inlineStr">
        <is>
          <t>Latest iOS version</t>
        </is>
      </c>
      <c r="E385" s="28" t="inlineStr">
        <is>
          <t>Run core journeys on the latest iOS</t>
        </is>
      </c>
      <c r="F385" s="28" t="inlineStr">
        <is>
          <t>Works.</t>
        </is>
      </c>
      <c r="G385" s="29" t="inlineStr">
        <is>
          <t>P0</t>
        </is>
      </c>
      <c r="H385" s="29" t="inlineStr">
        <is>
          <t>Compatibility</t>
        </is>
      </c>
      <c r="I385" s="29" t="inlineStr">
        <is>
          <t>iOS</t>
        </is>
      </c>
      <c r="J385" s="29" t="n"/>
      <c r="K385" s="31" t="inlineStr">
        <is>
          <t>Not Run</t>
        </is>
      </c>
      <c r="L385" s="32" t="n"/>
      <c r="M385" s="33" t="n"/>
      <c r="N385" s="32" t="n"/>
      <c r="O385" s="32" t="n"/>
      <c r="P385" s="32" t="n"/>
      <c r="Q385" s="32" t="n"/>
    </row>
    <row r="386" ht="30" customHeight="1">
      <c r="A386" s="27" t="inlineStr">
        <is>
          <t>COMP-005</t>
        </is>
      </c>
      <c r="B386" s="28" t="inlineStr">
        <is>
          <t>23 Compatibility &amp; interruptions</t>
        </is>
      </c>
      <c r="C386" s="28" t="inlineStr">
        <is>
          <t>Vendors</t>
        </is>
      </c>
      <c r="D386" s="28" t="inlineStr">
        <is>
          <t>Android vendor skins</t>
        </is>
      </c>
      <c r="E386" s="28" t="inlineStr">
        <is>
          <t>Run on Samsung One UI, Xiaomi HyperOS/MIUI, and one of Oppo/Vivo/Realme</t>
        </is>
      </c>
      <c r="F386" s="28" t="inlineStr">
        <is>
          <t>Payments, file picker, camera and notifications work on each (battery optimisers do not break push).</t>
        </is>
      </c>
      <c r="G386" s="29" t="inlineStr">
        <is>
          <t>P1</t>
        </is>
      </c>
      <c r="H386" s="29" t="inlineStr">
        <is>
          <t>Compatibility</t>
        </is>
      </c>
      <c r="I386" s="29" t="inlineStr">
        <is>
          <t>Android</t>
        </is>
      </c>
      <c r="J386" s="29" t="n"/>
      <c r="K386" s="31" t="inlineStr">
        <is>
          <t>Not Run</t>
        </is>
      </c>
      <c r="L386" s="32" t="n"/>
      <c r="M386" s="33" t="n"/>
      <c r="N386" s="32" t="n"/>
      <c r="O386" s="32" t="n"/>
      <c r="P386" s="32" t="n"/>
      <c r="Q386" s="32" t="n"/>
    </row>
    <row r="387" ht="30" customHeight="1">
      <c r="A387" s="27" t="inlineStr">
        <is>
          <t>COMP-006</t>
        </is>
      </c>
      <c r="B387" s="28" t="inlineStr">
        <is>
          <t>23 Compatibility &amp; interruptions</t>
        </is>
      </c>
      <c r="C387" s="28" t="inlineStr">
        <is>
          <t>Interrupt</t>
        </is>
      </c>
      <c r="D387" s="28" t="inlineStr">
        <is>
          <t>Incoming call during booking and payment</t>
        </is>
      </c>
      <c r="E387" s="28" t="inlineStr">
        <is>
          <t>1. Receive a call mid-flow
2. Return</t>
        </is>
      </c>
      <c r="F387" s="28" t="inlineStr">
        <is>
          <t>Flow resumes where it was.</t>
        </is>
      </c>
      <c r="G387" s="29" t="inlineStr">
        <is>
          <t>P1</t>
        </is>
      </c>
      <c r="H387" s="29" t="inlineStr">
        <is>
          <t>Compatibility</t>
        </is>
      </c>
      <c r="I387" s="29" t="inlineStr">
        <is>
          <t>Both</t>
        </is>
      </c>
      <c r="J387" s="29" t="n"/>
      <c r="K387" s="31" t="inlineStr">
        <is>
          <t>Not Run</t>
        </is>
      </c>
      <c r="L387" s="32" t="n"/>
      <c r="M387" s="33" t="n"/>
      <c r="N387" s="32" t="n"/>
      <c r="O387" s="32" t="n"/>
      <c r="P387" s="32" t="n"/>
      <c r="Q387" s="32" t="n"/>
    </row>
    <row r="388" ht="30" customHeight="1">
      <c r="A388" s="27" t="inlineStr">
        <is>
          <t>COMP-007</t>
        </is>
      </c>
      <c r="B388" s="28" t="inlineStr">
        <is>
          <t>23 Compatibility &amp; interruptions</t>
        </is>
      </c>
      <c r="C388" s="28" t="inlineStr">
        <is>
          <t>Interrupt</t>
        </is>
      </c>
      <c r="D388" s="28" t="inlineStr">
        <is>
          <t>Background for 5 min, 30 min and overnight</t>
        </is>
      </c>
      <c r="E388" s="28" t="inlineStr">
        <is>
          <t>Return to the app after each interval</t>
        </is>
      </c>
      <c r="F388" s="28" t="inlineStr">
        <is>
          <t>Session refreshes silently; data updates; no crash.</t>
        </is>
      </c>
      <c r="G388" s="29" t="inlineStr">
        <is>
          <t>P0</t>
        </is>
      </c>
      <c r="H388" s="29" t="inlineStr">
        <is>
          <t>Compatibility</t>
        </is>
      </c>
      <c r="I388" s="29" t="inlineStr">
        <is>
          <t>Both</t>
        </is>
      </c>
      <c r="J388" s="29" t="n"/>
      <c r="K388" s="31" t="inlineStr">
        <is>
          <t>Not Run</t>
        </is>
      </c>
      <c r="L388" s="32" t="n"/>
      <c r="M388" s="33" t="n"/>
      <c r="N388" s="32" t="n"/>
      <c r="O388" s="32" t="n"/>
      <c r="P388" s="32" t="n"/>
      <c r="Q388" s="32" t="n"/>
    </row>
    <row r="389" ht="43" customHeight="1">
      <c r="A389" s="27" t="inlineStr">
        <is>
          <t>COMP-008</t>
        </is>
      </c>
      <c r="B389" s="28" t="inlineStr">
        <is>
          <t>23 Compatibility &amp; interruptions</t>
        </is>
      </c>
      <c r="C389" s="28" t="inlineStr">
        <is>
          <t>Interrupt</t>
        </is>
      </c>
      <c r="D389" s="28" t="inlineStr">
        <is>
          <t>Process death restores sensibly</t>
        </is>
      </c>
      <c r="E389" s="28" t="inlineStr">
        <is>
          <t>1. Android: enable 'Don't keep activities'
2. Fill a form
3. Switch away and back</t>
        </is>
      </c>
      <c r="F389" s="28" t="inlineStr">
        <is>
          <t>App restores without crashing; user is not left on a broken screen.</t>
        </is>
      </c>
      <c r="G389" s="29" t="inlineStr">
        <is>
          <t>P1</t>
        </is>
      </c>
      <c r="H389" s="29" t="inlineStr">
        <is>
          <t>Compatibility</t>
        </is>
      </c>
      <c r="I389" s="29" t="inlineStr">
        <is>
          <t>Android</t>
        </is>
      </c>
      <c r="J389" s="29" t="n"/>
      <c r="K389" s="31" t="inlineStr">
        <is>
          <t>Not Run</t>
        </is>
      </c>
      <c r="L389" s="32" t="n"/>
      <c r="M389" s="33" t="n"/>
      <c r="N389" s="32" t="n"/>
      <c r="O389" s="32" t="n"/>
      <c r="P389" s="32" t="n"/>
      <c r="Q389" s="32" t="n"/>
    </row>
    <row r="390" ht="30" customHeight="1">
      <c r="A390" s="27" t="inlineStr">
        <is>
          <t>COMP-009</t>
        </is>
      </c>
      <c r="B390" s="28" t="inlineStr">
        <is>
          <t>23 Compatibility &amp; interruptions</t>
        </is>
      </c>
      <c r="C390" s="28" t="inlineStr">
        <is>
          <t>Interrupt</t>
        </is>
      </c>
      <c r="D390" s="28" t="inlineStr">
        <is>
          <t>Permission revoked while running</t>
        </is>
      </c>
      <c r="E390" s="28" t="inlineStr">
        <is>
          <t>1. Revoke camera/photos in Settings while the app is open
2. Return and upload</t>
        </is>
      </c>
      <c r="F390" s="28" t="inlineStr">
        <is>
          <t>Permission is requested again or explained.</t>
        </is>
      </c>
      <c r="G390" s="29" t="inlineStr">
        <is>
          <t>P2</t>
        </is>
      </c>
      <c r="H390" s="29" t="inlineStr">
        <is>
          <t>Compatibility</t>
        </is>
      </c>
      <c r="I390" s="29" t="inlineStr">
        <is>
          <t>Both</t>
        </is>
      </c>
      <c r="J390" s="29" t="n"/>
      <c r="K390" s="31" t="inlineStr">
        <is>
          <t>Not Run</t>
        </is>
      </c>
      <c r="L390" s="32" t="n"/>
      <c r="M390" s="33" t="n"/>
      <c r="N390" s="32" t="n"/>
      <c r="O390" s="32" t="n"/>
      <c r="P390" s="32" t="n"/>
      <c r="Q390" s="32" t="n"/>
    </row>
    <row r="391" ht="30" customHeight="1">
      <c r="A391" s="27" t="inlineStr">
        <is>
          <t>COMP-010</t>
        </is>
      </c>
      <c r="B391" s="28" t="inlineStr">
        <is>
          <t>23 Compatibility &amp; interruptions</t>
        </is>
      </c>
      <c r="C391" s="28" t="inlineStr">
        <is>
          <t>Multi-window</t>
        </is>
      </c>
      <c r="D391" s="28" t="inlineStr">
        <is>
          <t>Split screen and foldables</t>
        </is>
      </c>
      <c r="E391" s="28" t="inlineStr">
        <is>
          <t>Use split-screen and fold/unfold</t>
        </is>
      </c>
      <c r="F391" s="28" t="inlineStr">
        <is>
          <t>Layout adapts or is restricted; no crash.</t>
        </is>
      </c>
      <c r="G391" s="29" t="inlineStr">
        <is>
          <t>P3</t>
        </is>
      </c>
      <c r="H391" s="29" t="inlineStr">
        <is>
          <t>Compatibility</t>
        </is>
      </c>
      <c r="I391" s="29" t="inlineStr">
        <is>
          <t>Android</t>
        </is>
      </c>
      <c r="J391" s="29" t="n"/>
      <c r="K391" s="31" t="inlineStr">
        <is>
          <t>Not Run</t>
        </is>
      </c>
      <c r="L391" s="32" t="n"/>
      <c r="M391" s="33" t="n"/>
      <c r="N391" s="32" t="n"/>
      <c r="O391" s="32" t="n"/>
      <c r="P391" s="32" t="n"/>
      <c r="Q391" s="32" t="n"/>
    </row>
    <row r="392" ht="30" customHeight="1">
      <c r="A392" s="27" t="inlineStr">
        <is>
          <t>COMP-011</t>
        </is>
      </c>
      <c r="B392" s="28" t="inlineStr">
        <is>
          <t>23 Compatibility &amp; interruptions</t>
        </is>
      </c>
      <c r="C392" s="28" t="inlineStr">
        <is>
          <t>Power</t>
        </is>
      </c>
      <c r="D392" s="28" t="inlineStr">
        <is>
          <t>Battery saver and data saver</t>
        </is>
      </c>
      <c r="E392" s="28" t="inlineStr">
        <is>
          <t>1. Enable both
2. Use the app</t>
        </is>
      </c>
      <c r="F392" s="28" t="inlineStr">
        <is>
          <t>Core flows still work.</t>
        </is>
      </c>
      <c r="G392" s="29" t="inlineStr">
        <is>
          <t>P3</t>
        </is>
      </c>
      <c r="H392" s="29" t="inlineStr">
        <is>
          <t>Compatibility</t>
        </is>
      </c>
      <c r="I392" s="29" t="inlineStr">
        <is>
          <t>Both</t>
        </is>
      </c>
      <c r="J392" s="29" t="n"/>
      <c r="K392" s="31" t="inlineStr">
        <is>
          <t>Not Run</t>
        </is>
      </c>
      <c r="L392" s="32" t="n"/>
      <c r="M392" s="33" t="n"/>
      <c r="N392" s="32" t="n"/>
      <c r="O392" s="32" t="n"/>
      <c r="P392" s="32" t="n"/>
      <c r="Q392" s="32" t="n"/>
    </row>
    <row r="393" ht="30" customHeight="1">
      <c r="A393" s="27" t="inlineStr">
        <is>
          <t>COMP-012</t>
        </is>
      </c>
      <c r="B393" s="28" t="inlineStr">
        <is>
          <t>23 Compatibility &amp; interruptions</t>
        </is>
      </c>
      <c r="C393" s="28" t="inlineStr">
        <is>
          <t>Time</t>
        </is>
      </c>
      <c r="D393" s="28" t="inlineStr">
        <is>
          <t>Device time zone and automatic time off</t>
        </is>
      </c>
      <c r="E393" s="28" t="inlineStr">
        <is>
          <t>Set a different time zone and a wrong manual time</t>
        </is>
      </c>
      <c r="F393" s="28" t="inlineStr">
        <is>
          <t>Appointment times remain in hospital time; server-driven deadlines still hold.</t>
        </is>
      </c>
      <c r="G393" s="29" t="inlineStr">
        <is>
          <t>P1</t>
        </is>
      </c>
      <c r="H393" s="29" t="inlineStr">
        <is>
          <t>Compatibility</t>
        </is>
      </c>
      <c r="I393" s="29" t="inlineStr">
        <is>
          <t>Both</t>
        </is>
      </c>
      <c r="J393" s="29" t="n"/>
      <c r="K393" s="31" t="inlineStr">
        <is>
          <t>Not Run</t>
        </is>
      </c>
      <c r="L393" s="32" t="n"/>
      <c r="M393" s="33" t="n"/>
      <c r="N393" s="32" t="n"/>
      <c r="O393" s="32" t="n"/>
      <c r="P393" s="32" t="n"/>
      <c r="Q393" s="32" t="n"/>
    </row>
    <row r="394" ht="30" customHeight="1">
      <c r="A394" s="27" t="inlineStr">
        <is>
          <t>COMP-013</t>
        </is>
      </c>
      <c r="B394" s="28" t="inlineStr">
        <is>
          <t>23 Compatibility &amp; interruptions</t>
        </is>
      </c>
      <c r="C394" s="28" t="inlineStr">
        <is>
          <t>Update</t>
        </is>
      </c>
      <c r="D394" s="28" t="inlineStr">
        <is>
          <t>Update from the store</t>
        </is>
      </c>
      <c r="E394" s="28" t="inlineStr">
        <is>
          <t>1. Install the previous store build
2. Update via the internal track / TestFlight</t>
        </is>
      </c>
      <c r="F394" s="28" t="inlineStr">
        <is>
          <t>Update installs; user stays signed in.</t>
        </is>
      </c>
      <c r="G394" s="29" t="inlineStr">
        <is>
          <t>P1</t>
        </is>
      </c>
      <c r="H394" s="29" t="inlineStr">
        <is>
          <t>Compatibility</t>
        </is>
      </c>
      <c r="I394" s="29" t="inlineStr">
        <is>
          <t>Both</t>
        </is>
      </c>
      <c r="J394" s="29" t="n"/>
      <c r="K394" s="31" t="inlineStr">
        <is>
          <t>Not Run</t>
        </is>
      </c>
      <c r="L394" s="32" t="n"/>
      <c r="M394" s="33" t="n"/>
      <c r="N394" s="32" t="n"/>
      <c r="O394" s="32" t="n"/>
      <c r="P394" s="32" t="n"/>
      <c r="Q394" s="32" t="n"/>
    </row>
    <row r="395" ht="30" customHeight="1">
      <c r="A395" s="27" t="inlineStr">
        <is>
          <t>COMP-014</t>
        </is>
      </c>
      <c r="B395" s="28" t="inlineStr">
        <is>
          <t>23 Compatibility &amp; interruptions</t>
        </is>
      </c>
      <c r="C395" s="28" t="inlineStr">
        <is>
          <t>Uninstall</t>
        </is>
      </c>
      <c r="D395" s="28" t="inlineStr">
        <is>
          <t>Reinstall leaves nothing behind</t>
        </is>
      </c>
      <c r="E395" s="28" t="inlineStr">
        <is>
          <t>1. Uninstall
2. Reinstall</t>
        </is>
      </c>
      <c r="F395" s="28" t="inlineStr">
        <is>
          <t>No previous session is restored (iOS Keychain remnants handled).</t>
        </is>
      </c>
      <c r="G395" s="29" t="inlineStr">
        <is>
          <t>P1</t>
        </is>
      </c>
      <c r="H395" s="29" t="inlineStr">
        <is>
          <t>Security</t>
        </is>
      </c>
      <c r="I395" s="29" t="inlineStr">
        <is>
          <t>Both</t>
        </is>
      </c>
      <c r="J395" s="29" t="n"/>
      <c r="K395" s="31" t="inlineStr">
        <is>
          <t>Not Run</t>
        </is>
      </c>
      <c r="L395" s="32" t="n"/>
      <c r="M395" s="33" t="n"/>
      <c r="N395" s="32" t="n"/>
      <c r="O395" s="32" t="n"/>
      <c r="P395" s="32" t="n"/>
      <c r="Q395" s="32" t="n"/>
    </row>
    <row r="396" ht="30" customHeight="1">
      <c r="A396" s="27" t="inlineStr">
        <is>
          <t>REL-001</t>
        </is>
      </c>
      <c r="B396" s="28" t="inlineStr">
        <is>
          <t>24 Release readiness</t>
        </is>
      </c>
      <c r="C396" s="28" t="inlineStr">
        <is>
          <t>Signing</t>
        </is>
      </c>
      <c r="D396" s="28" t="inlineStr">
        <is>
          <t>Android release is signed with the release keystore</t>
        </is>
      </c>
      <c r="E396" s="28" t="inlineStr">
        <is>
          <t>Inspect android/app/build.gradle.kts and the built AAB signature</t>
        </is>
      </c>
      <c r="F396" s="28" t="inlineStr">
        <is>
          <t>Release signingConfig uses the upload/release key — not the debug key.</t>
        </is>
      </c>
      <c r="G396" s="29" t="inlineStr">
        <is>
          <t>P0</t>
        </is>
      </c>
      <c r="H396" s="29" t="inlineStr">
        <is>
          <t>Release</t>
        </is>
      </c>
      <c r="I396" s="29" t="inlineStr">
        <is>
          <t>Android</t>
        </is>
      </c>
      <c r="J396" s="29" t="inlineStr">
        <is>
          <t>KB-06</t>
        </is>
      </c>
      <c r="K396" s="31" t="inlineStr">
        <is>
          <t>Not Run</t>
        </is>
      </c>
      <c r="L396" s="32" t="n"/>
      <c r="M396" s="33" t="n"/>
      <c r="N396" s="32" t="n"/>
      <c r="O396" s="32" t="n"/>
      <c r="P396" s="32" t="n"/>
      <c r="Q396" s="32" t="n"/>
    </row>
    <row r="397" ht="30" customHeight="1">
      <c r="A397" s="27" t="inlineStr">
        <is>
          <t>REL-002</t>
        </is>
      </c>
      <c r="B397" s="28" t="inlineStr">
        <is>
          <t>24 Release readiness</t>
        </is>
      </c>
      <c r="C397" s="28" t="inlineStr">
        <is>
          <t>Signing</t>
        </is>
      </c>
      <c r="D397" s="28" t="inlineStr">
        <is>
          <t>iOS signing and provisioning</t>
        </is>
      </c>
      <c r="E397" s="28" t="inlineStr">
        <is>
          <t>Archive with the distribution certificate and App Store profile</t>
        </is>
      </c>
      <c r="F397" s="28" t="inlineStr">
        <is>
          <t>Archive validates and uploads to App Store Connect.</t>
        </is>
      </c>
      <c r="G397" s="29" t="inlineStr">
        <is>
          <t>P0</t>
        </is>
      </c>
      <c r="H397" s="29" t="inlineStr">
        <is>
          <t>Release</t>
        </is>
      </c>
      <c r="I397" s="29" t="inlineStr">
        <is>
          <t>iOS</t>
        </is>
      </c>
      <c r="J397" s="29" t="n"/>
      <c r="K397" s="31" t="inlineStr">
        <is>
          <t>Not Run</t>
        </is>
      </c>
      <c r="L397" s="32" t="n"/>
      <c r="M397" s="33" t="n"/>
      <c r="N397" s="32" t="n"/>
      <c r="O397" s="32" t="n"/>
      <c r="P397" s="32" t="n"/>
      <c r="Q397" s="32" t="n"/>
    </row>
    <row r="398" ht="30" customHeight="1">
      <c r="A398" s="27" t="inlineStr">
        <is>
          <t>REL-003</t>
        </is>
      </c>
      <c r="B398" s="28" t="inlineStr">
        <is>
          <t>24 Release readiness</t>
        </is>
      </c>
      <c r="C398" s="28" t="inlineStr">
        <is>
          <t>Identity</t>
        </is>
      </c>
      <c r="D398" s="28" t="inlineStr">
        <is>
          <t>Application id / bundle id and name are final</t>
        </is>
      </c>
      <c r="E398" s="28" t="inlineStr">
        <is>
          <t>Check com.navoracloudsoft.medibook (Android) and the iOS bundle id</t>
        </is>
      </c>
      <c r="F398" s="28" t="inlineStr">
        <is>
          <t>Ids match the store records and the deep-link/App Link configuration.</t>
        </is>
      </c>
      <c r="G398" s="29" t="inlineStr">
        <is>
          <t>P0</t>
        </is>
      </c>
      <c r="H398" s="29" t="inlineStr">
        <is>
          <t>Release</t>
        </is>
      </c>
      <c r="I398" s="29" t="inlineStr">
        <is>
          <t>Both</t>
        </is>
      </c>
      <c r="J398" s="29" t="n"/>
      <c r="K398" s="31" t="inlineStr">
        <is>
          <t>Not Run</t>
        </is>
      </c>
      <c r="L398" s="32" t="n"/>
      <c r="M398" s="33" t="n"/>
      <c r="N398" s="32" t="n"/>
      <c r="O398" s="32" t="n"/>
      <c r="P398" s="32" t="n"/>
      <c r="Q398" s="32" t="n"/>
    </row>
    <row r="399" ht="30" customHeight="1">
      <c r="A399" s="27" t="inlineStr">
        <is>
          <t>REL-004</t>
        </is>
      </c>
      <c r="B399" s="28" t="inlineStr">
        <is>
          <t>24 Release readiness</t>
        </is>
      </c>
      <c r="C399" s="28" t="inlineStr">
        <is>
          <t>Version</t>
        </is>
      </c>
      <c r="D399" s="28" t="inlineStr">
        <is>
          <t>Version and build number</t>
        </is>
      </c>
      <c r="E399" s="28" t="inlineStr">
        <is>
          <t>Check pubspec version (currently 1.0.0+1) and CHANGELOG.md</t>
        </is>
      </c>
      <c r="F399" s="28" t="inlineStr">
        <is>
          <t>Version is correct, build number is higher than any uploaded build, changelog is updated.</t>
        </is>
      </c>
      <c r="G399" s="29" t="inlineStr">
        <is>
          <t>P1</t>
        </is>
      </c>
      <c r="H399" s="29" t="inlineStr">
        <is>
          <t>Release</t>
        </is>
      </c>
      <c r="I399" s="29" t="inlineStr">
        <is>
          <t>Both</t>
        </is>
      </c>
      <c r="J399" s="29" t="n"/>
      <c r="K399" s="31" t="inlineStr">
        <is>
          <t>Not Run</t>
        </is>
      </c>
      <c r="L399" s="32" t="n"/>
      <c r="M399" s="33" t="n"/>
      <c r="N399" s="32" t="n"/>
      <c r="O399" s="32" t="n"/>
      <c r="P399" s="32" t="n"/>
      <c r="Q399" s="32" t="n"/>
    </row>
    <row r="400" ht="30" customHeight="1">
      <c r="A400" s="27" t="inlineStr">
        <is>
          <t>REL-005</t>
        </is>
      </c>
      <c r="B400" s="28" t="inlineStr">
        <is>
          <t>24 Release readiness</t>
        </is>
      </c>
      <c r="C400" s="28" t="inlineStr">
        <is>
          <t>Config</t>
        </is>
      </c>
      <c r="D400" s="28" t="inlineStr">
        <is>
          <t>Production configuration baked in</t>
        </is>
      </c>
      <c r="E400" s="28" t="inlineStr">
        <is>
          <t>Confirm the dart-defines used by the release pipeline</t>
        </is>
      </c>
      <c r="F400" s="28" t="inlineStr">
        <is>
          <t>MEDIBOOK_ENV=prod, production API URL, MEDIBOOK_DEMO=false, MEDIBOOK_ALLOW_BAD_CERT=false.</t>
        </is>
      </c>
      <c r="G400" s="29" t="inlineStr">
        <is>
          <t>P0</t>
        </is>
      </c>
      <c r="H400" s="29" t="inlineStr">
        <is>
          <t>Release</t>
        </is>
      </c>
      <c r="I400" s="29" t="inlineStr">
        <is>
          <t>Both</t>
        </is>
      </c>
      <c r="J400" s="29" t="inlineStr">
        <is>
          <t>KB-03, KB-07</t>
        </is>
      </c>
      <c r="K400" s="31" t="inlineStr">
        <is>
          <t>Not Run</t>
        </is>
      </c>
      <c r="L400" s="32" t="n"/>
      <c r="M400" s="33" t="n"/>
      <c r="N400" s="32" t="n"/>
      <c r="O400" s="32" t="n"/>
      <c r="P400" s="32" t="n"/>
      <c r="Q400" s="32" t="n"/>
    </row>
    <row r="401" ht="30" customHeight="1">
      <c r="A401" s="27" t="inlineStr">
        <is>
          <t>REL-006</t>
        </is>
      </c>
      <c r="B401" s="28" t="inlineStr">
        <is>
          <t>24 Release readiness</t>
        </is>
      </c>
      <c r="C401" s="28" t="inlineStr">
        <is>
          <t>Monitoring</t>
        </is>
      </c>
      <c r="D401" s="28" t="inlineStr">
        <is>
          <t>Crash reporting is live</t>
        </is>
      </c>
      <c r="E401" s="28" t="inlineStr">
        <is>
          <t>1. Build with crash reporting on and a DSN
2. Trigger a test crash</t>
        </is>
      </c>
      <c r="F401" s="28" t="inlineStr">
        <is>
          <t>Crash arrives in the dashboard, symbolicated.</t>
        </is>
      </c>
      <c r="G401" s="29" t="inlineStr">
        <is>
          <t>P0</t>
        </is>
      </c>
      <c r="H401" s="29" t="inlineStr">
        <is>
          <t>Release</t>
        </is>
      </c>
      <c r="I401" s="29" t="inlineStr">
        <is>
          <t>Both</t>
        </is>
      </c>
      <c r="J401" s="29" t="n"/>
      <c r="K401" s="31" t="inlineStr">
        <is>
          <t>Not Run</t>
        </is>
      </c>
      <c r="L401" s="32" t="n"/>
      <c r="M401" s="33" t="n"/>
      <c r="N401" s="32" t="n"/>
      <c r="O401" s="32" t="n"/>
      <c r="P401" s="32" t="n"/>
      <c r="Q401" s="32" t="n"/>
    </row>
    <row r="402" ht="30" customHeight="1">
      <c r="A402" s="27" t="inlineStr">
        <is>
          <t>REL-007</t>
        </is>
      </c>
      <c r="B402" s="28" t="inlineStr">
        <is>
          <t>24 Release readiness</t>
        </is>
      </c>
      <c r="C402" s="28" t="inlineStr">
        <is>
          <t>Monitoring</t>
        </is>
      </c>
      <c r="D402" s="28" t="inlineStr">
        <is>
          <t>Analytics (if enabled)</t>
        </is>
      </c>
      <c r="E402" s="28" t="inlineStr">
        <is>
          <t>Trigger key events</t>
        </is>
      </c>
      <c r="F402" s="28" t="inlineStr">
        <is>
          <t>Events arrive; consent is respected; no health data in payloads.</t>
        </is>
      </c>
      <c r="G402" s="29" t="inlineStr">
        <is>
          <t>P2</t>
        </is>
      </c>
      <c r="H402" s="29" t="inlineStr">
        <is>
          <t>Release</t>
        </is>
      </c>
      <c r="I402" s="29" t="inlineStr">
        <is>
          <t>Both</t>
        </is>
      </c>
      <c r="J402" s="29" t="n"/>
      <c r="K402" s="31" t="inlineStr">
        <is>
          <t>Not Run</t>
        </is>
      </c>
      <c r="L402" s="32" t="n"/>
      <c r="M402" s="33" t="n"/>
      <c r="N402" s="32" t="n"/>
      <c r="O402" s="32" t="n"/>
      <c r="P402" s="32" t="n"/>
      <c r="Q402" s="32" t="n"/>
    </row>
    <row r="403" ht="17" customHeight="1">
      <c r="A403" s="27" t="inlineStr">
        <is>
          <t>REL-008</t>
        </is>
      </c>
      <c r="B403" s="28" t="inlineStr">
        <is>
          <t>24 Release readiness</t>
        </is>
      </c>
      <c r="C403" s="28" t="inlineStr">
        <is>
          <t>Android</t>
        </is>
      </c>
      <c r="D403" s="28" t="inlineStr">
        <is>
          <t>Target SDK and Play requirements</t>
        </is>
      </c>
      <c r="E403" s="28" t="inlineStr">
        <is>
          <t>Check targetSdk, 64-bit and 16 KB page-size support</t>
        </is>
      </c>
      <c r="F403" s="28" t="inlineStr">
        <is>
          <t>Meets the current Google Play requirements.</t>
        </is>
      </c>
      <c r="G403" s="29" t="inlineStr">
        <is>
          <t>P0</t>
        </is>
      </c>
      <c r="H403" s="29" t="inlineStr">
        <is>
          <t>Release</t>
        </is>
      </c>
      <c r="I403" s="29" t="inlineStr">
        <is>
          <t>Android</t>
        </is>
      </c>
      <c r="J403" s="29" t="n"/>
      <c r="K403" s="31" t="inlineStr">
        <is>
          <t>Not Run</t>
        </is>
      </c>
      <c r="L403" s="32" t="n"/>
      <c r="M403" s="33" t="n"/>
      <c r="N403" s="32" t="n"/>
      <c r="O403" s="32" t="n"/>
      <c r="P403" s="32" t="n"/>
      <c r="Q403" s="32" t="n"/>
    </row>
    <row r="404" ht="30" customHeight="1">
      <c r="A404" s="27" t="inlineStr">
        <is>
          <t>REL-009</t>
        </is>
      </c>
      <c r="B404" s="28" t="inlineStr">
        <is>
          <t>24 Release readiness</t>
        </is>
      </c>
      <c r="C404" s="28" t="inlineStr">
        <is>
          <t>Android</t>
        </is>
      </c>
      <c r="D404" s="28" t="inlineStr">
        <is>
          <t>App Links verification file</t>
        </is>
      </c>
      <c r="E404" s="28" t="inlineStr">
        <is>
          <t>Fetch https://medibook.app/.well-known/assetlinks.json</t>
        </is>
      </c>
      <c r="F404" s="28" t="inlineStr">
        <is>
          <t>Contains the release certificate fingerprint for the application id.</t>
        </is>
      </c>
      <c r="G404" s="29" t="inlineStr">
        <is>
          <t>P1</t>
        </is>
      </c>
      <c r="H404" s="29" t="inlineStr">
        <is>
          <t>Release</t>
        </is>
      </c>
      <c r="I404" s="29" t="inlineStr">
        <is>
          <t>Android</t>
        </is>
      </c>
      <c r="J404" s="29" t="n"/>
      <c r="K404" s="31" t="inlineStr">
        <is>
          <t>Not Run</t>
        </is>
      </c>
      <c r="L404" s="32" t="n"/>
      <c r="M404" s="33" t="n"/>
      <c r="N404" s="32" t="n"/>
      <c r="O404" s="32" t="n"/>
      <c r="P404" s="32" t="n"/>
      <c r="Q404" s="32" t="n"/>
    </row>
    <row r="405" ht="43" customHeight="1">
      <c r="A405" s="27" t="inlineStr">
        <is>
          <t>REL-010</t>
        </is>
      </c>
      <c r="B405" s="28" t="inlineStr">
        <is>
          <t>24 Release readiness</t>
        </is>
      </c>
      <c r="C405" s="28" t="inlineStr">
        <is>
          <t>iOS</t>
        </is>
      </c>
      <c r="D405" s="28" t="inlineStr">
        <is>
          <t>Universal Links association file</t>
        </is>
      </c>
      <c r="E405" s="28" t="inlineStr">
        <is>
          <t>1. Fetch https://medibook.app/.well-known/apple-app-site-association
2. Check the Associated Domains entitlement</t>
        </is>
      </c>
      <c r="F405" s="28" t="inlineStr">
        <is>
          <t>Both are present and match the bundle id.</t>
        </is>
      </c>
      <c r="G405" s="29" t="inlineStr">
        <is>
          <t>P1</t>
        </is>
      </c>
      <c r="H405" s="29" t="inlineStr">
        <is>
          <t>Release</t>
        </is>
      </c>
      <c r="I405" s="29" t="inlineStr">
        <is>
          <t>iOS</t>
        </is>
      </c>
      <c r="J405" s="29" t="n"/>
      <c r="K405" s="31" t="inlineStr">
        <is>
          <t>Not Run</t>
        </is>
      </c>
      <c r="L405" s="32" t="n"/>
      <c r="M405" s="33" t="n"/>
      <c r="N405" s="32" t="n"/>
      <c r="O405" s="32" t="n"/>
      <c r="P405" s="32" t="n"/>
      <c r="Q405" s="32" t="n"/>
    </row>
    <row r="406" ht="30" customHeight="1">
      <c r="A406" s="27" t="inlineStr">
        <is>
          <t>REL-011</t>
        </is>
      </c>
      <c r="B406" s="28" t="inlineStr">
        <is>
          <t>24 Release readiness</t>
        </is>
      </c>
      <c r="C406" s="28" t="inlineStr">
        <is>
          <t>iOS</t>
        </is>
      </c>
      <c r="D406" s="28" t="inlineStr">
        <is>
          <t>Privacy manifest and usage strings</t>
        </is>
      </c>
      <c r="E406" s="28" t="inlineStr">
        <is>
          <t>Review PrivacyInfo.xcprivacy and Info.plist usage descriptions</t>
        </is>
      </c>
      <c r="F406" s="28" t="inlineStr">
        <is>
          <t>All required-reason APIs and SDKs are declared; strings are accurate.</t>
        </is>
      </c>
      <c r="G406" s="29" t="inlineStr">
        <is>
          <t>P0</t>
        </is>
      </c>
      <c r="H406" s="29" t="inlineStr">
        <is>
          <t>Release</t>
        </is>
      </c>
      <c r="I406" s="29" t="inlineStr">
        <is>
          <t>iOS</t>
        </is>
      </c>
      <c r="J406" s="29" t="n"/>
      <c r="K406" s="31" t="inlineStr">
        <is>
          <t>Not Run</t>
        </is>
      </c>
      <c r="L406" s="32" t="n"/>
      <c r="M406" s="33" t="n"/>
      <c r="N406" s="32" t="n"/>
      <c r="O406" s="32" t="n"/>
      <c r="P406" s="32" t="n"/>
      <c r="Q406" s="32" t="n"/>
    </row>
    <row r="407" ht="17" customHeight="1">
      <c r="A407" s="27" t="inlineStr">
        <is>
          <t>REL-012</t>
        </is>
      </c>
      <c r="B407" s="28" t="inlineStr">
        <is>
          <t>24 Release readiness</t>
        </is>
      </c>
      <c r="C407" s="28" t="inlineStr">
        <is>
          <t>iOS</t>
        </is>
      </c>
      <c r="D407" s="28" t="inlineStr">
        <is>
          <t>Export compliance</t>
        </is>
      </c>
      <c r="E407" s="28" t="inlineStr">
        <is>
          <t>Answer the encryption question in App Store Connect</t>
        </is>
      </c>
      <c r="F407" s="28" t="inlineStr">
        <is>
          <t>Declared correctly (standard HTTPS exemption).</t>
        </is>
      </c>
      <c r="G407" s="29" t="inlineStr">
        <is>
          <t>P2</t>
        </is>
      </c>
      <c r="H407" s="29" t="inlineStr">
        <is>
          <t>Release</t>
        </is>
      </c>
      <c r="I407" s="29" t="inlineStr">
        <is>
          <t>iOS</t>
        </is>
      </c>
      <c r="J407" s="29" t="n"/>
      <c r="K407" s="31" t="inlineStr">
        <is>
          <t>Not Run</t>
        </is>
      </c>
      <c r="L407" s="32" t="n"/>
      <c r="M407" s="33" t="n"/>
      <c r="N407" s="32" t="n"/>
      <c r="O407" s="32" t="n"/>
      <c r="P407" s="32" t="n"/>
      <c r="Q407" s="32" t="n"/>
    </row>
    <row r="408" ht="17" customHeight="1">
      <c r="A408" s="27" t="inlineStr">
        <is>
          <t>REL-013</t>
        </is>
      </c>
      <c r="B408" s="28" t="inlineStr">
        <is>
          <t>24 Release readiness</t>
        </is>
      </c>
      <c r="C408" s="28" t="inlineStr">
        <is>
          <t>Push</t>
        </is>
      </c>
      <c r="D408" s="28" t="inlineStr">
        <is>
          <t>Production push credentials</t>
        </is>
      </c>
      <c r="E408" s="28" t="inlineStr">
        <is>
          <t>Verify the production APNs key and FCM configuration</t>
        </is>
      </c>
      <c r="F408" s="28" t="inlineStr">
        <is>
          <t>Push works on the store-signed build.</t>
        </is>
      </c>
      <c r="G408" s="29" t="inlineStr">
        <is>
          <t>P0</t>
        </is>
      </c>
      <c r="H408" s="29" t="inlineStr">
        <is>
          <t>Release</t>
        </is>
      </c>
      <c r="I408" s="29" t="inlineStr">
        <is>
          <t>Both</t>
        </is>
      </c>
      <c r="J408" s="29" t="inlineStr">
        <is>
          <t>KB-04</t>
        </is>
      </c>
      <c r="K408" s="31" t="inlineStr">
        <is>
          <t>Not Run</t>
        </is>
      </c>
      <c r="L408" s="32" t="n"/>
      <c r="M408" s="33" t="n"/>
      <c r="N408" s="32" t="n"/>
      <c r="O408" s="32" t="n"/>
      <c r="P408" s="32" t="n"/>
      <c r="Q408" s="32" t="n"/>
    </row>
    <row r="409" ht="30" customHeight="1">
      <c r="A409" s="27" t="inlineStr">
        <is>
          <t>REL-014</t>
        </is>
      </c>
      <c r="B409" s="28" t="inlineStr">
        <is>
          <t>24 Release readiness</t>
        </is>
      </c>
      <c r="C409" s="28" t="inlineStr">
        <is>
          <t>Payments</t>
        </is>
      </c>
      <c r="D409" s="28" t="inlineStr">
        <is>
          <t>Live Razorpay keys on production</t>
        </is>
      </c>
      <c r="E409" s="28" t="inlineStr">
        <is>
          <t>Confirm the production backend returns live keys and webhooks are configured</t>
        </is>
      </c>
      <c r="F409" s="28" t="inlineStr">
        <is>
          <t>Live payment and refund verified (see PAY module).</t>
        </is>
      </c>
      <c r="G409" s="29" t="inlineStr">
        <is>
          <t>P0</t>
        </is>
      </c>
      <c r="H409" s="29" t="inlineStr">
        <is>
          <t>Release</t>
        </is>
      </c>
      <c r="I409" s="29" t="inlineStr">
        <is>
          <t>Both</t>
        </is>
      </c>
      <c r="J409" s="29" t="inlineStr">
        <is>
          <t>KB-02</t>
        </is>
      </c>
      <c r="K409" s="31" t="inlineStr">
        <is>
          <t>Not Run</t>
        </is>
      </c>
      <c r="L409" s="32" t="n"/>
      <c r="M409" s="33" t="n"/>
      <c r="N409" s="32" t="n"/>
      <c r="O409" s="32" t="n"/>
      <c r="P409" s="32" t="n"/>
      <c r="Q409" s="32" t="n"/>
    </row>
    <row r="410" ht="17" customHeight="1">
      <c r="A410" s="27" t="inlineStr">
        <is>
          <t>REL-015</t>
        </is>
      </c>
      <c r="B410" s="28" t="inlineStr">
        <is>
          <t>24 Release readiness</t>
        </is>
      </c>
      <c r="C410" s="28" t="inlineStr">
        <is>
          <t>SMS</t>
        </is>
      </c>
      <c r="D410" s="28" t="inlineStr">
        <is>
          <t>Production SMS provider</t>
        </is>
      </c>
      <c r="E410" s="28" t="inlineStr">
        <is>
          <t>Confirm DLT registration, sender id and OTP template</t>
        </is>
      </c>
      <c r="F410" s="28" t="inlineStr">
        <is>
          <t>OTP SMS is delivered on the major Indian carriers.</t>
        </is>
      </c>
      <c r="G410" s="29" t="inlineStr">
        <is>
          <t>P0</t>
        </is>
      </c>
      <c r="H410" s="29" t="inlineStr">
        <is>
          <t>Release</t>
        </is>
      </c>
      <c r="I410" s="29" t="inlineStr">
        <is>
          <t>Both</t>
        </is>
      </c>
      <c r="J410" s="29" t="inlineStr">
        <is>
          <t>KB-05</t>
        </is>
      </c>
      <c r="K410" s="31" t="inlineStr">
        <is>
          <t>Not Run</t>
        </is>
      </c>
      <c r="L410" s="32" t="n"/>
      <c r="M410" s="33" t="n"/>
      <c r="N410" s="32" t="n"/>
      <c r="O410" s="32" t="n"/>
      <c r="P410" s="32" t="n"/>
      <c r="Q410" s="32" t="n"/>
    </row>
    <row r="411" ht="30" customHeight="1">
      <c r="A411" s="27" t="inlineStr">
        <is>
          <t>REL-016</t>
        </is>
      </c>
      <c r="B411" s="28" t="inlineStr">
        <is>
          <t>24 Release readiness</t>
        </is>
      </c>
      <c r="C411" s="28" t="inlineStr">
        <is>
          <t>Store</t>
        </is>
      </c>
      <c r="D411" s="28" t="inlineStr">
        <is>
          <t>Play Store listing complete</t>
        </is>
      </c>
      <c r="E411" s="28" t="inlineStr">
        <is>
          <t>Review listing: title, descriptions, screenshots, icon, feature graphic, category, content rating</t>
        </is>
      </c>
      <c r="F411" s="28" t="inlineStr">
        <is>
          <t>All complete and accurate.</t>
        </is>
      </c>
      <c r="G411" s="29" t="inlineStr">
        <is>
          <t>P1</t>
        </is>
      </c>
      <c r="H411" s="29" t="inlineStr">
        <is>
          <t>Release</t>
        </is>
      </c>
      <c r="I411" s="29" t="inlineStr">
        <is>
          <t>Android</t>
        </is>
      </c>
      <c r="J411" s="29" t="n"/>
      <c r="K411" s="31" t="inlineStr">
        <is>
          <t>Not Run</t>
        </is>
      </c>
      <c r="L411" s="32" t="n"/>
      <c r="M411" s="33" t="n"/>
      <c r="N411" s="32" t="n"/>
      <c r="O411" s="32" t="n"/>
      <c r="P411" s="32" t="n"/>
      <c r="Q411" s="32" t="n"/>
    </row>
    <row r="412" ht="30" customHeight="1">
      <c r="A412" s="27" t="inlineStr">
        <is>
          <t>REL-017</t>
        </is>
      </c>
      <c r="B412" s="28" t="inlineStr">
        <is>
          <t>24 Release readiness</t>
        </is>
      </c>
      <c r="C412" s="28" t="inlineStr">
        <is>
          <t>Store</t>
        </is>
      </c>
      <c r="D412" s="28" t="inlineStr">
        <is>
          <t>Play Data safety and health declarations</t>
        </is>
      </c>
      <c r="E412" s="28" t="inlineStr">
        <is>
          <t>Complete the Data safety form, health apps declaration and account-deletion URL</t>
        </is>
      </c>
      <c r="F412" s="28" t="inlineStr">
        <is>
          <t>Forms submitted and consistent with actual behaviour.</t>
        </is>
      </c>
      <c r="G412" s="29" t="inlineStr">
        <is>
          <t>P0</t>
        </is>
      </c>
      <c r="H412" s="29" t="inlineStr">
        <is>
          <t>Release</t>
        </is>
      </c>
      <c r="I412" s="29" t="inlineStr">
        <is>
          <t>Android</t>
        </is>
      </c>
      <c r="J412" s="29" t="n"/>
      <c r="K412" s="31" t="inlineStr">
        <is>
          <t>Not Run</t>
        </is>
      </c>
      <c r="L412" s="32" t="n"/>
      <c r="M412" s="33" t="n"/>
      <c r="N412" s="32" t="n"/>
      <c r="O412" s="32" t="n"/>
      <c r="P412" s="32" t="n"/>
      <c r="Q412" s="32" t="n"/>
    </row>
    <row r="413" ht="30" customHeight="1">
      <c r="A413" s="27" t="inlineStr">
        <is>
          <t>REL-018</t>
        </is>
      </c>
      <c r="B413" s="28" t="inlineStr">
        <is>
          <t>24 Release readiness</t>
        </is>
      </c>
      <c r="C413" s="28" t="inlineStr">
        <is>
          <t>Store</t>
        </is>
      </c>
      <c r="D413" s="28" t="inlineStr">
        <is>
          <t>App Store listing and privacy labels</t>
        </is>
      </c>
      <c r="E413" s="28" t="inlineStr">
        <is>
          <t>Review listing, screenshots for required sizes and privacy nutrition labels</t>
        </is>
      </c>
      <c r="F413" s="28" t="inlineStr">
        <is>
          <t>All complete and accurate.</t>
        </is>
      </c>
      <c r="G413" s="29" t="inlineStr">
        <is>
          <t>P1</t>
        </is>
      </c>
      <c r="H413" s="29" t="inlineStr">
        <is>
          <t>Release</t>
        </is>
      </c>
      <c r="I413" s="29" t="inlineStr">
        <is>
          <t>iOS</t>
        </is>
      </c>
      <c r="J413" s="29" t="n"/>
      <c r="K413" s="31" t="inlineStr">
        <is>
          <t>Not Run</t>
        </is>
      </c>
      <c r="L413" s="32" t="n"/>
      <c r="M413" s="33" t="n"/>
      <c r="N413" s="32" t="n"/>
      <c r="O413" s="32" t="n"/>
      <c r="P413" s="32" t="n"/>
      <c r="Q413" s="32" t="n"/>
    </row>
    <row r="414" ht="30" customHeight="1">
      <c r="A414" s="27" t="inlineStr">
        <is>
          <t>REL-019</t>
        </is>
      </c>
      <c r="B414" s="28" t="inlineStr">
        <is>
          <t>24 Release readiness</t>
        </is>
      </c>
      <c r="C414" s="28" t="inlineStr">
        <is>
          <t>Store</t>
        </is>
      </c>
      <c r="D414" s="28" t="inlineStr">
        <is>
          <t>Reviewer access</t>
        </is>
      </c>
      <c r="E414" s="28" t="inlineStr">
        <is>
          <t>Provide a working reviewer account and notes (OTP sign-in needs a test number that works for reviewers)</t>
        </is>
      </c>
      <c r="F414" s="28" t="inlineStr">
        <is>
          <t>Reviewer can sign in and reach every feature.</t>
        </is>
      </c>
      <c r="G414" s="29" t="inlineStr">
        <is>
          <t>P0</t>
        </is>
      </c>
      <c r="H414" s="29" t="inlineStr">
        <is>
          <t>Release</t>
        </is>
      </c>
      <c r="I414" s="29" t="inlineStr">
        <is>
          <t>Both</t>
        </is>
      </c>
      <c r="J414" s="29" t="n"/>
      <c r="K414" s="31" t="inlineStr">
        <is>
          <t>Not Run</t>
        </is>
      </c>
      <c r="L414" s="32" t="n"/>
      <c r="M414" s="33" t="n"/>
      <c r="N414" s="32" t="n"/>
      <c r="O414" s="32" t="n"/>
      <c r="P414" s="32" t="n"/>
      <c r="Q414" s="32" t="n"/>
    </row>
    <row r="415" ht="30" customHeight="1">
      <c r="A415" s="27" t="inlineStr">
        <is>
          <t>REL-020</t>
        </is>
      </c>
      <c r="B415" s="28" t="inlineStr">
        <is>
          <t>24 Release readiness</t>
        </is>
      </c>
      <c r="C415" s="28" t="inlineStr">
        <is>
          <t>Legal</t>
        </is>
      </c>
      <c r="D415" s="28" t="inlineStr">
        <is>
          <t>Policies are published</t>
        </is>
      </c>
      <c r="E415" s="28" t="inlineStr">
        <is>
          <t>Open the live Terms, Privacy and Guidelines in the app and on the web</t>
        </is>
      </c>
      <c r="F415" s="28" t="inlineStr">
        <is>
          <t>Final approved text, correct versions, working URLs in the store listings.</t>
        </is>
      </c>
      <c r="G415" s="29" t="inlineStr">
        <is>
          <t>P0</t>
        </is>
      </c>
      <c r="H415" s="29" t="inlineStr">
        <is>
          <t>Release</t>
        </is>
      </c>
      <c r="I415" s="29" t="inlineStr">
        <is>
          <t>Both</t>
        </is>
      </c>
      <c r="J415" s="29" t="n"/>
      <c r="K415" s="31" t="inlineStr">
        <is>
          <t>Not Run</t>
        </is>
      </c>
      <c r="L415" s="32" t="n"/>
      <c r="M415" s="33" t="n"/>
      <c r="N415" s="32" t="n"/>
      <c r="O415" s="32" t="n"/>
      <c r="P415" s="32" t="n"/>
      <c r="Q415" s="32" t="n"/>
    </row>
    <row r="416" ht="30" customHeight="1">
      <c r="A416" s="27" t="inlineStr">
        <is>
          <t>REL-021</t>
        </is>
      </c>
      <c r="B416" s="28" t="inlineStr">
        <is>
          <t>24 Release readiness</t>
        </is>
      </c>
      <c r="C416" s="28" t="inlineStr">
        <is>
          <t>Content</t>
        </is>
      </c>
      <c r="D416" s="28" t="inlineStr">
        <is>
          <t>No test or placeholder content</t>
        </is>
      </c>
      <c r="E416" s="28" t="inlineStr">
        <is>
          <t>Review the production app for lorem ipsum, test hospitals, placeholder images and fake support numbers</t>
        </is>
      </c>
      <c r="F416" s="28" t="inlineStr">
        <is>
          <t>None present.</t>
        </is>
      </c>
      <c r="G416" s="29" t="inlineStr">
        <is>
          <t>P1</t>
        </is>
      </c>
      <c r="H416" s="29" t="inlineStr">
        <is>
          <t>Release</t>
        </is>
      </c>
      <c r="I416" s="29" t="inlineStr">
        <is>
          <t>Both</t>
        </is>
      </c>
      <c r="J416" s="29" t="n"/>
      <c r="K416" s="31" t="inlineStr">
        <is>
          <t>Not Run</t>
        </is>
      </c>
      <c r="L416" s="32" t="n"/>
      <c r="M416" s="33" t="n"/>
      <c r="N416" s="32" t="n"/>
      <c r="O416" s="32" t="n"/>
      <c r="P416" s="32" t="n"/>
      <c r="Q416" s="32" t="n"/>
    </row>
    <row r="417" ht="30" customHeight="1">
      <c r="A417" s="27" t="inlineStr">
        <is>
          <t>REL-022</t>
        </is>
      </c>
      <c r="B417" s="28" t="inlineStr">
        <is>
          <t>24 Release readiness</t>
        </is>
      </c>
      <c r="C417" s="28" t="inlineStr">
        <is>
          <t>Backend</t>
        </is>
      </c>
      <c r="D417" s="28" t="inlineStr">
        <is>
          <t>Production backend readiness</t>
        </is>
      </c>
      <c r="E417" s="28" t="inlineStr">
        <is>
          <t>Check health endpoint, monitoring, backups, rate limits and on-call</t>
        </is>
      </c>
      <c r="F417" s="28" t="inlineStr">
        <is>
          <t>All in place before launch.</t>
        </is>
      </c>
      <c r="G417" s="29" t="inlineStr">
        <is>
          <t>P0</t>
        </is>
      </c>
      <c r="H417" s="29" t="inlineStr">
        <is>
          <t>Release</t>
        </is>
      </c>
      <c r="I417" s="29" t="inlineStr">
        <is>
          <t>Both</t>
        </is>
      </c>
      <c r="J417" s="29" t="n"/>
      <c r="K417" s="31" t="inlineStr">
        <is>
          <t>Not Run</t>
        </is>
      </c>
      <c r="L417" s="32" t="n"/>
      <c r="M417" s="33" t="n"/>
      <c r="N417" s="32" t="n"/>
      <c r="O417" s="32" t="n"/>
      <c r="P417" s="32" t="n"/>
      <c r="Q417" s="32" t="n"/>
    </row>
    <row r="418" ht="30" customHeight="1">
      <c r="A418" s="27" t="inlineStr">
        <is>
          <t>REL-023</t>
        </is>
      </c>
      <c r="B418" s="28" t="inlineStr">
        <is>
          <t>24 Release readiness</t>
        </is>
      </c>
      <c r="C418" s="28" t="inlineStr">
        <is>
          <t>Rollout</t>
        </is>
      </c>
      <c r="D418" s="28" t="inlineStr">
        <is>
          <t>Staged rollout and rollback plan</t>
        </is>
      </c>
      <c r="E418" s="28" t="inlineStr">
        <is>
          <t>Agree rollout percentages, halt criteria and the rollback/hotfix path</t>
        </is>
      </c>
      <c r="F418" s="28" t="inlineStr">
        <is>
          <t>Plan is written and owned.</t>
        </is>
      </c>
      <c r="G418" s="29" t="inlineStr">
        <is>
          <t>P1</t>
        </is>
      </c>
      <c r="H418" s="29" t="inlineStr">
        <is>
          <t>Release</t>
        </is>
      </c>
      <c r="I418" s="29" t="inlineStr">
        <is>
          <t>Both</t>
        </is>
      </c>
      <c r="J418" s="29" t="n"/>
      <c r="K418" s="31" t="inlineStr">
        <is>
          <t>Not Run</t>
        </is>
      </c>
      <c r="L418" s="32" t="n"/>
      <c r="M418" s="33" t="n"/>
      <c r="N418" s="32" t="n"/>
      <c r="O418" s="32" t="n"/>
      <c r="P418" s="32" t="n"/>
      <c r="Q418" s="32" t="n"/>
    </row>
    <row r="419" ht="17" customHeight="1">
      <c r="A419" s="27" t="inlineStr">
        <is>
          <t>REL-024</t>
        </is>
      </c>
      <c r="B419" s="28" t="inlineStr">
        <is>
          <t>24 Release readiness</t>
        </is>
      </c>
      <c r="C419" s="28" t="inlineStr">
        <is>
          <t>Rollout</t>
        </is>
      </c>
      <c r="D419" s="28" t="inlineStr">
        <is>
          <t>Forced-update path</t>
        </is>
      </c>
      <c r="E419" s="28" t="inlineStr">
        <is>
          <t>Confirm how an old app version is told to update</t>
        </is>
      </c>
      <c r="F419" s="28" t="inlineStr">
        <is>
          <t>A mechanism exists and has been tested.</t>
        </is>
      </c>
      <c r="G419" s="29" t="inlineStr">
        <is>
          <t>P1</t>
        </is>
      </c>
      <c r="H419" s="29" t="inlineStr">
        <is>
          <t>Release</t>
        </is>
      </c>
      <c r="I419" s="29" t="inlineStr">
        <is>
          <t>Both</t>
        </is>
      </c>
      <c r="J419" s="29" t="n"/>
      <c r="K419" s="31" t="inlineStr">
        <is>
          <t>Not Run</t>
        </is>
      </c>
      <c r="L419" s="32" t="n"/>
      <c r="M419" s="33" t="n"/>
      <c r="N419" s="32" t="n"/>
      <c r="O419" s="32" t="n"/>
      <c r="P419" s="32" t="n"/>
      <c r="Q419" s="32" t="n"/>
    </row>
    <row r="420" ht="30" customHeight="1">
      <c r="A420" s="27" t="inlineStr">
        <is>
          <t>REL-025</t>
        </is>
      </c>
      <c r="B420" s="28" t="inlineStr">
        <is>
          <t>24 Release readiness</t>
        </is>
      </c>
      <c r="C420" s="28" t="inlineStr">
        <is>
          <t>Track</t>
        </is>
      </c>
      <c r="D420" s="28" t="inlineStr">
        <is>
          <t>Store-distributed build tested</t>
        </is>
      </c>
      <c r="E420" s="28" t="inlineStr">
        <is>
          <t>Run the E2E journeys on the build downloaded from the internal track / TestFlight</t>
        </is>
      </c>
      <c r="F420" s="28" t="inlineStr">
        <is>
          <t>All journeys pass on the exact binary that will ship.</t>
        </is>
      </c>
      <c r="G420" s="29" t="inlineStr">
        <is>
          <t>P0</t>
        </is>
      </c>
      <c r="H420" s="29" t="inlineStr">
        <is>
          <t>Release</t>
        </is>
      </c>
      <c r="I420" s="29" t="inlineStr">
        <is>
          <t>Both</t>
        </is>
      </c>
      <c r="J420" s="29" t="n"/>
      <c r="K420" s="31" t="inlineStr">
        <is>
          <t>Not Run</t>
        </is>
      </c>
      <c r="L420" s="32" t="n"/>
      <c r="M420" s="33" t="n"/>
      <c r="N420" s="32" t="n"/>
      <c r="O420" s="32" t="n"/>
      <c r="P420" s="32" t="n"/>
      <c r="Q420" s="32" t="n"/>
    </row>
    <row r="421" ht="17" customHeight="1">
      <c r="A421" s="27" t="inlineStr">
        <is>
          <t>REL-026</t>
        </is>
      </c>
      <c r="B421" s="28" t="inlineStr">
        <is>
          <t>24 Release readiness</t>
        </is>
      </c>
      <c r="C421" s="28" t="inlineStr">
        <is>
          <t>Licences</t>
        </is>
      </c>
      <c r="D421" s="28" t="inlineStr">
        <is>
          <t>Open-source licences</t>
        </is>
      </c>
      <c r="E421" s="28" t="inlineStr">
        <is>
          <t>Find the licences page in the app</t>
        </is>
      </c>
      <c r="F421" s="28" t="inlineStr">
        <is>
          <t>Licences for bundled packages and fonts are shown.</t>
        </is>
      </c>
      <c r="G421" s="29" t="inlineStr">
        <is>
          <t>P3</t>
        </is>
      </c>
      <c r="H421" s="29" t="inlineStr">
        <is>
          <t>Release</t>
        </is>
      </c>
      <c r="I421" s="29" t="inlineStr">
        <is>
          <t>Both</t>
        </is>
      </c>
      <c r="J421" s="29" t="n"/>
      <c r="K421" s="31" t="inlineStr">
        <is>
          <t>Not Run</t>
        </is>
      </c>
      <c r="L421" s="32" t="n"/>
      <c r="M421" s="33" t="n"/>
      <c r="N421" s="32" t="n"/>
      <c r="O421" s="32" t="n"/>
      <c r="P421" s="32" t="n"/>
      <c r="Q421" s="32" t="n"/>
    </row>
    <row r="422" ht="17" customHeight="1">
      <c r="A422" s="27" t="inlineStr">
        <is>
          <t>CODE-001</t>
        </is>
      </c>
      <c r="B422" s="28" t="inlineStr">
        <is>
          <t>25 Code quality gates</t>
        </is>
      </c>
      <c r="C422" s="28" t="inlineStr">
        <is>
          <t>Analyze</t>
        </is>
      </c>
      <c r="D422" s="28" t="inlineStr">
        <is>
          <t>Static analysis is clean</t>
        </is>
      </c>
      <c r="E422" s="28" t="inlineStr">
        <is>
          <t>Run flutter analyze</t>
        </is>
      </c>
      <c r="F422" s="28" t="inlineStr">
        <is>
          <t>Zero errors and warnings.</t>
        </is>
      </c>
      <c r="G422" s="29" t="inlineStr">
        <is>
          <t>P0</t>
        </is>
      </c>
      <c r="H422" s="29" t="inlineStr">
        <is>
          <t>Release</t>
        </is>
      </c>
      <c r="I422" s="29" t="inlineStr">
        <is>
          <t>Both</t>
        </is>
      </c>
      <c r="J422" s="29" t="n"/>
      <c r="K422" s="31" t="inlineStr">
        <is>
          <t>Not Run</t>
        </is>
      </c>
      <c r="L422" s="32" t="n"/>
      <c r="M422" s="33" t="n"/>
      <c r="N422" s="32" t="n"/>
      <c r="O422" s="32" t="n"/>
      <c r="P422" s="32" t="n"/>
      <c r="Q422" s="32" t="n"/>
    </row>
    <row r="423" ht="17" customHeight="1">
      <c r="A423" s="27" t="inlineStr">
        <is>
          <t>CODE-002</t>
        </is>
      </c>
      <c r="B423" s="28" t="inlineStr">
        <is>
          <t>25 Code quality gates</t>
        </is>
      </c>
      <c r="C423" s="28" t="inlineStr">
        <is>
          <t>Format</t>
        </is>
      </c>
      <c r="D423" s="28" t="inlineStr">
        <is>
          <t>Formatting is clean</t>
        </is>
      </c>
      <c r="E423" s="28" t="inlineStr">
        <is>
          <t>Run dart format --set-exit-if-changed .</t>
        </is>
      </c>
      <c r="F423" s="28" t="inlineStr">
        <is>
          <t>No changes needed.</t>
        </is>
      </c>
      <c r="G423" s="29" t="inlineStr">
        <is>
          <t>P2</t>
        </is>
      </c>
      <c r="H423" s="29" t="inlineStr">
        <is>
          <t>Release</t>
        </is>
      </c>
      <c r="I423" s="29" t="inlineStr">
        <is>
          <t>Both</t>
        </is>
      </c>
      <c r="J423" s="29" t="n"/>
      <c r="K423" s="31" t="inlineStr">
        <is>
          <t>Not Run</t>
        </is>
      </c>
      <c r="L423" s="32" t="n"/>
      <c r="M423" s="33" t="n"/>
      <c r="N423" s="32" t="n"/>
      <c r="O423" s="32" t="n"/>
      <c r="P423" s="32" t="n"/>
      <c r="Q423" s="32" t="n"/>
    </row>
    <row r="424" ht="17" customHeight="1">
      <c r="A424" s="27" t="inlineStr">
        <is>
          <t>CODE-003</t>
        </is>
      </c>
      <c r="B424" s="28" t="inlineStr">
        <is>
          <t>25 Code quality gates</t>
        </is>
      </c>
      <c r="C424" s="28" t="inlineStr">
        <is>
          <t>Tests</t>
        </is>
      </c>
      <c r="D424" s="28" t="inlineStr">
        <is>
          <t>Unit and widget tests pass</t>
        </is>
      </c>
      <c r="E424" s="28" t="inlineStr">
        <is>
          <t>Run flutter test</t>
        </is>
      </c>
      <c r="F424" s="28" t="inlineStr">
        <is>
          <t>All tests pass.</t>
        </is>
      </c>
      <c r="G424" s="29" t="inlineStr">
        <is>
          <t>P0</t>
        </is>
      </c>
      <c r="H424" s="29" t="inlineStr">
        <is>
          <t>Release</t>
        </is>
      </c>
      <c r="I424" s="29" t="inlineStr">
        <is>
          <t>Both</t>
        </is>
      </c>
      <c r="J424" s="29" t="n"/>
      <c r="K424" s="31" t="inlineStr">
        <is>
          <t>Not Run</t>
        </is>
      </c>
      <c r="L424" s="32" t="n"/>
      <c r="M424" s="33" t="n"/>
      <c r="N424" s="32" t="n"/>
      <c r="O424" s="32" t="n"/>
      <c r="P424" s="32" t="n"/>
      <c r="Q424" s="32" t="n"/>
    </row>
    <row r="425" ht="30" customHeight="1">
      <c r="A425" s="27" t="inlineStr">
        <is>
          <t>CODE-004</t>
        </is>
      </c>
      <c r="B425" s="28" t="inlineStr">
        <is>
          <t>25 Code quality gates</t>
        </is>
      </c>
      <c r="C425" s="28" t="inlineStr">
        <is>
          <t>Tests</t>
        </is>
      </c>
      <c r="D425" s="28" t="inlineStr">
        <is>
          <t>Golden tests pass</t>
        </is>
      </c>
      <c r="E425" s="28" t="inlineStr">
        <is>
          <t>1. Run the golden suite
2. Check test/goldens/failures</t>
        </is>
      </c>
      <c r="F425" s="28" t="inlineStr">
        <is>
          <t>No golden diffs; the failures folder is empty or removed.</t>
        </is>
      </c>
      <c r="G425" s="29" t="inlineStr">
        <is>
          <t>P1</t>
        </is>
      </c>
      <c r="H425" s="29" t="inlineStr">
        <is>
          <t>Release</t>
        </is>
      </c>
      <c r="I425" s="29" t="inlineStr">
        <is>
          <t>Both</t>
        </is>
      </c>
      <c r="J425" s="29" t="inlineStr">
        <is>
          <t>KB-11</t>
        </is>
      </c>
      <c r="K425" s="31" t="inlineStr">
        <is>
          <t>Not Run</t>
        </is>
      </c>
      <c r="L425" s="32" t="n"/>
      <c r="M425" s="33" t="n"/>
      <c r="N425" s="32" t="n"/>
      <c r="O425" s="32" t="n"/>
      <c r="P425" s="32" t="n"/>
      <c r="Q425" s="32" t="n"/>
    </row>
    <row r="426" ht="30" customHeight="1">
      <c r="A426" s="27" t="inlineStr">
        <is>
          <t>CODE-005</t>
        </is>
      </c>
      <c r="B426" s="28" t="inlineStr">
        <is>
          <t>25 Code quality gates</t>
        </is>
      </c>
      <c r="C426" s="28" t="inlineStr">
        <is>
          <t>Tests</t>
        </is>
      </c>
      <c r="D426" s="28" t="inlineStr">
        <is>
          <t>Live-backend integration test passes</t>
        </is>
      </c>
      <c r="E426" s="28" t="inlineStr">
        <is>
          <t>Run test/integration/live_backend_test.dart against pre-production</t>
        </is>
      </c>
      <c r="F426" s="28" t="inlineStr">
        <is>
          <t>Passes.</t>
        </is>
      </c>
      <c r="G426" s="29" t="inlineStr">
        <is>
          <t>P1</t>
        </is>
      </c>
      <c r="H426" s="29" t="inlineStr">
        <is>
          <t>Release</t>
        </is>
      </c>
      <c r="I426" s="29" t="inlineStr">
        <is>
          <t>Both</t>
        </is>
      </c>
      <c r="J426" s="29" t="n"/>
      <c r="K426" s="31" t="inlineStr">
        <is>
          <t>Not Run</t>
        </is>
      </c>
      <c r="L426" s="32" t="n"/>
      <c r="M426" s="33" t="n"/>
      <c r="N426" s="32" t="n"/>
      <c r="O426" s="32" t="n"/>
      <c r="P426" s="32" t="n"/>
      <c r="Q426" s="32" t="n"/>
    </row>
    <row r="427" ht="30" customHeight="1">
      <c r="A427" s="27" t="inlineStr">
        <is>
          <t>CODE-006</t>
        </is>
      </c>
      <c r="B427" s="28" t="inlineStr">
        <is>
          <t>25 Code quality gates</t>
        </is>
      </c>
      <c r="C427" s="28" t="inlineStr">
        <is>
          <t>Tests</t>
        </is>
      </c>
      <c r="D427" s="28" t="inlineStr">
        <is>
          <t>Coverage meets the agreed threshold</t>
        </is>
      </c>
      <c r="E427" s="28" t="inlineStr">
        <is>
          <t>Run flutter test --coverage</t>
        </is>
      </c>
      <c r="F427" s="28" t="inlineStr">
        <is>
          <t>Coverage is at or above the team threshold for domain and application layers.</t>
        </is>
      </c>
      <c r="G427" s="29" t="inlineStr">
        <is>
          <t>P2</t>
        </is>
      </c>
      <c r="H427" s="29" t="inlineStr">
        <is>
          <t>Release</t>
        </is>
      </c>
      <c r="I427" s="29" t="inlineStr">
        <is>
          <t>Both</t>
        </is>
      </c>
      <c r="J427" s="29" t="n"/>
      <c r="K427" s="31" t="inlineStr">
        <is>
          <t>Not Run</t>
        </is>
      </c>
      <c r="L427" s="32" t="n"/>
      <c r="M427" s="33" t="n"/>
      <c r="N427" s="32" t="n"/>
      <c r="O427" s="32" t="n"/>
      <c r="P427" s="32" t="n"/>
      <c r="Q427" s="32" t="n"/>
    </row>
    <row r="428" ht="30" customHeight="1">
      <c r="A428" s="27" t="inlineStr">
        <is>
          <t>CODE-007</t>
        </is>
      </c>
      <c r="B428" s="28" t="inlineStr">
        <is>
          <t>25 Code quality gates</t>
        </is>
      </c>
      <c r="C428" s="28" t="inlineStr">
        <is>
          <t>Hooks</t>
        </is>
      </c>
      <c r="D428" s="28" t="inlineStr">
        <is>
          <t>Pre-commit hook installed and passing</t>
        </is>
      </c>
      <c r="E428" s="28" t="inlineStr">
        <is>
          <t>1. Install tool/git-hooks/pre-commit
2. Make a trial commit</t>
        </is>
      </c>
      <c r="F428" s="28" t="inlineStr">
        <is>
          <t>Hook runs format, analyze and structure checks.</t>
        </is>
      </c>
      <c r="G428" s="29" t="inlineStr">
        <is>
          <t>P2</t>
        </is>
      </c>
      <c r="H428" s="29" t="inlineStr">
        <is>
          <t>Release</t>
        </is>
      </c>
      <c r="I428" s="29" t="inlineStr">
        <is>
          <t>Both</t>
        </is>
      </c>
      <c r="J428" s="29" t="n"/>
      <c r="K428" s="31" t="inlineStr">
        <is>
          <t>Not Run</t>
        </is>
      </c>
      <c r="L428" s="32" t="n"/>
      <c r="M428" s="33" t="n"/>
      <c r="N428" s="32" t="n"/>
      <c r="O428" s="32" t="n"/>
      <c r="P428" s="32" t="n"/>
      <c r="Q428" s="32" t="n"/>
    </row>
    <row r="429" ht="30" customHeight="1">
      <c r="A429" s="27" t="inlineStr">
        <is>
          <t>CODE-008</t>
        </is>
      </c>
      <c r="B429" s="28" t="inlineStr">
        <is>
          <t>25 Code quality gates</t>
        </is>
      </c>
      <c r="C429" s="28" t="inlineStr">
        <is>
          <t>Lints</t>
        </is>
      </c>
      <c r="D429" s="28" t="inlineStr">
        <is>
          <t>Custom naming lints wired</t>
        </is>
      </c>
      <c r="E429" s="28" t="inlineStr">
        <is>
          <t>Check the naming_conventions_lints setup from the linting guide</t>
        </is>
      </c>
      <c r="F429" s="28" t="inlineStr">
        <is>
          <t>Plugin is enabled, or the gap is formally accepted.</t>
        </is>
      </c>
      <c r="G429" s="29" t="inlineStr">
        <is>
          <t>P3</t>
        </is>
      </c>
      <c r="H429" s="29" t="inlineStr">
        <is>
          <t>Release</t>
        </is>
      </c>
      <c r="I429" s="29" t="inlineStr">
        <is>
          <t>Both</t>
        </is>
      </c>
      <c r="J429" s="29" t="inlineStr">
        <is>
          <t>KB-13</t>
        </is>
      </c>
      <c r="K429" s="31" t="inlineStr">
        <is>
          <t>Not Run</t>
        </is>
      </c>
      <c r="L429" s="32" t="n"/>
      <c r="M429" s="33" t="n"/>
      <c r="N429" s="32" t="n"/>
      <c r="O429" s="32" t="n"/>
      <c r="P429" s="32" t="n"/>
      <c r="Q429" s="32" t="n"/>
    </row>
    <row r="430" ht="17" customHeight="1">
      <c r="A430" s="27" t="inlineStr">
        <is>
          <t>CODE-009</t>
        </is>
      </c>
      <c r="B430" s="28" t="inlineStr">
        <is>
          <t>25 Code quality gates</t>
        </is>
      </c>
      <c r="C430" s="28" t="inlineStr">
        <is>
          <t>QA.md</t>
        </is>
      </c>
      <c r="D430" s="28" t="inlineStr">
        <is>
          <t>Prompt 1 — Riverpod state management</t>
        </is>
      </c>
      <c r="E430" s="28" t="inlineStr">
        <is>
          <t>Run the audit prompt from docs-flutter/QA.md</t>
        </is>
      </c>
      <c r="F430" s="28" t="inlineStr">
        <is>
          <t>No critical violations.</t>
        </is>
      </c>
      <c r="G430" s="29" t="inlineStr">
        <is>
          <t>P1</t>
        </is>
      </c>
      <c r="H430" s="29" t="inlineStr">
        <is>
          <t>Release</t>
        </is>
      </c>
      <c r="I430" s="29" t="inlineStr">
        <is>
          <t>Both</t>
        </is>
      </c>
      <c r="J430" s="29" t="n"/>
      <c r="K430" s="31" t="inlineStr">
        <is>
          <t>Not Run</t>
        </is>
      </c>
      <c r="L430" s="32" t="n"/>
      <c r="M430" s="33" t="n"/>
      <c r="N430" s="32" t="n"/>
      <c r="O430" s="32" t="n"/>
      <c r="P430" s="32" t="n"/>
      <c r="Q430" s="32" t="n"/>
    </row>
    <row r="431" ht="17" customHeight="1">
      <c r="A431" s="27" t="inlineStr">
        <is>
          <t>CODE-010</t>
        </is>
      </c>
      <c r="B431" s="28" t="inlineStr">
        <is>
          <t>25 Code quality gates</t>
        </is>
      </c>
      <c r="C431" s="28" t="inlineStr">
        <is>
          <t>QA.md</t>
        </is>
      </c>
      <c r="D431" s="28" t="inlineStr">
        <is>
          <t>Prompt 2 — Data persistence &amp; security</t>
        </is>
      </c>
      <c r="E431" s="28" t="inlineStr">
        <is>
          <t>Run the audit prompt</t>
        </is>
      </c>
      <c r="F431" s="28" t="inlineStr">
        <is>
          <t>No critical violations; token storage inventory is clean.</t>
        </is>
      </c>
      <c r="G431" s="29" t="inlineStr">
        <is>
          <t>P0</t>
        </is>
      </c>
      <c r="H431" s="29" t="inlineStr">
        <is>
          <t>Release</t>
        </is>
      </c>
      <c r="I431" s="29" t="inlineStr">
        <is>
          <t>Both</t>
        </is>
      </c>
      <c r="J431" s="29" t="n"/>
      <c r="K431" s="31" t="inlineStr">
        <is>
          <t>Not Run</t>
        </is>
      </c>
      <c r="L431" s="32" t="n"/>
      <c r="M431" s="33" t="n"/>
      <c r="N431" s="32" t="n"/>
      <c r="O431" s="32" t="n"/>
      <c r="P431" s="32" t="n"/>
      <c r="Q431" s="32" t="n"/>
    </row>
    <row r="432" ht="17" customHeight="1">
      <c r="A432" s="27" t="inlineStr">
        <is>
          <t>CODE-011</t>
        </is>
      </c>
      <c r="B432" s="28" t="inlineStr">
        <is>
          <t>25 Code quality gates</t>
        </is>
      </c>
      <c r="C432" s="28" t="inlineStr">
        <is>
          <t>QA.md</t>
        </is>
      </c>
      <c r="D432" s="28" t="inlineStr">
        <is>
          <t>Prompt 3 — Error handling &amp; performance</t>
        </is>
      </c>
      <c r="E432" s="28" t="inlineStr">
        <is>
          <t>Run the audit prompt</t>
        </is>
      </c>
      <c r="F432" s="28" t="inlineStr">
        <is>
          <t>No critical violations.</t>
        </is>
      </c>
      <c r="G432" s="29" t="inlineStr">
        <is>
          <t>P1</t>
        </is>
      </c>
      <c r="H432" s="29" t="inlineStr">
        <is>
          <t>Release</t>
        </is>
      </c>
      <c r="I432" s="29" t="inlineStr">
        <is>
          <t>Both</t>
        </is>
      </c>
      <c r="J432" s="29" t="n"/>
      <c r="K432" s="31" t="inlineStr">
        <is>
          <t>Not Run</t>
        </is>
      </c>
      <c r="L432" s="32" t="n"/>
      <c r="M432" s="33" t="n"/>
      <c r="N432" s="32" t="n"/>
      <c r="O432" s="32" t="n"/>
      <c r="P432" s="32" t="n"/>
      <c r="Q432" s="32" t="n"/>
    </row>
    <row r="433" ht="30" customHeight="1">
      <c r="A433" s="27" t="inlineStr">
        <is>
          <t>CODE-012</t>
        </is>
      </c>
      <c r="B433" s="28" t="inlineStr">
        <is>
          <t>25 Code quality gates</t>
        </is>
      </c>
      <c r="C433" s="28" t="inlineStr">
        <is>
          <t>QA.md</t>
        </is>
      </c>
      <c r="D433" s="28" t="inlineStr">
        <is>
          <t>Prompt 4 — Code quality &amp; deployment readiness</t>
        </is>
      </c>
      <c r="E433" s="28" t="inlineStr">
        <is>
          <t>Run the audit prompt</t>
        </is>
      </c>
      <c r="F433" s="28" t="inlineStr">
        <is>
          <t>Deployment readiness score meets the agreed bar.</t>
        </is>
      </c>
      <c r="G433" s="29" t="inlineStr">
        <is>
          <t>P1</t>
        </is>
      </c>
      <c r="H433" s="29" t="inlineStr">
        <is>
          <t>Release</t>
        </is>
      </c>
      <c r="I433" s="29" t="inlineStr">
        <is>
          <t>Both</t>
        </is>
      </c>
      <c r="J433" s="29" t="n"/>
      <c r="K433" s="31" t="inlineStr">
        <is>
          <t>Not Run</t>
        </is>
      </c>
      <c r="L433" s="32" t="n"/>
      <c r="M433" s="33" t="n"/>
      <c r="N433" s="32" t="n"/>
      <c r="O433" s="32" t="n"/>
      <c r="P433" s="32" t="n"/>
      <c r="Q433" s="32" t="n"/>
    </row>
    <row r="434" ht="17" customHeight="1">
      <c r="A434" s="27" t="inlineStr">
        <is>
          <t>CODE-013</t>
        </is>
      </c>
      <c r="B434" s="28" t="inlineStr">
        <is>
          <t>25 Code quality gates</t>
        </is>
      </c>
      <c r="C434" s="28" t="inlineStr">
        <is>
          <t>QA.md</t>
        </is>
      </c>
      <c r="D434" s="28" t="inlineStr">
        <is>
          <t>Prompt 5 — Hive cache correctness</t>
        </is>
      </c>
      <c r="E434" s="28" t="inlineStr">
        <is>
          <t>Run the audit prompt</t>
        </is>
      </c>
      <c r="F434" s="28" t="inlineStr">
        <is>
          <t>All ten scenarios implemented; no critical violations.</t>
        </is>
      </c>
      <c r="G434" s="29" t="inlineStr">
        <is>
          <t>P1</t>
        </is>
      </c>
      <c r="H434" s="29" t="inlineStr">
        <is>
          <t>Release</t>
        </is>
      </c>
      <c r="I434" s="29" t="inlineStr">
        <is>
          <t>Both</t>
        </is>
      </c>
      <c r="J434" s="29" t="n"/>
      <c r="K434" s="31" t="inlineStr">
        <is>
          <t>Not Run</t>
        </is>
      </c>
      <c r="L434" s="32" t="n"/>
      <c r="M434" s="33" t="n"/>
      <c r="N434" s="32" t="n"/>
      <c r="O434" s="32" t="n"/>
      <c r="P434" s="32" t="n"/>
      <c r="Q434" s="32" t="n"/>
    </row>
    <row r="435" ht="17" customHeight="1">
      <c r="A435" s="27" t="inlineStr">
        <is>
          <t>CODE-014</t>
        </is>
      </c>
      <c r="B435" s="28" t="inlineStr">
        <is>
          <t>25 Code quality gates</t>
        </is>
      </c>
      <c r="C435" s="28" t="inlineStr">
        <is>
          <t>QA.md</t>
        </is>
      </c>
      <c r="D435" s="28" t="inlineStr">
        <is>
          <t>Architecture health audit</t>
        </is>
      </c>
      <c r="E435" s="28" t="inlineStr">
        <is>
          <t>Run the layered architecture audit</t>
        </is>
      </c>
      <c r="F435" s="28" t="inlineStr">
        <is>
          <t>Layer boundaries respected; score meets the agreed bar.</t>
        </is>
      </c>
      <c r="G435" s="29" t="inlineStr">
        <is>
          <t>P2</t>
        </is>
      </c>
      <c r="H435" s="29" t="inlineStr">
        <is>
          <t>Release</t>
        </is>
      </c>
      <c r="I435" s="29" t="inlineStr">
        <is>
          <t>Both</t>
        </is>
      </c>
      <c r="J435" s="29" t="n"/>
      <c r="K435" s="31" t="inlineStr">
        <is>
          <t>Not Run</t>
        </is>
      </c>
      <c r="L435" s="32" t="n"/>
      <c r="M435" s="33" t="n"/>
      <c r="N435" s="32" t="n"/>
      <c r="O435" s="32" t="n"/>
      <c r="P435" s="32" t="n"/>
      <c r="Q435" s="32" t="n"/>
    </row>
    <row r="436" ht="30" customHeight="1">
      <c r="A436" s="27" t="inlineStr">
        <is>
          <t>CODE-015</t>
        </is>
      </c>
      <c r="B436" s="28" t="inlineStr">
        <is>
          <t>25 Code quality gates</t>
        </is>
      </c>
      <c r="C436" s="28" t="inlineStr">
        <is>
          <t>Structure</t>
        </is>
      </c>
      <c r="D436" s="28" t="inlineStr">
        <is>
          <t>Folder structure matches the spec</t>
        </is>
      </c>
      <c r="E436" s="28" t="inlineStr">
        <is>
          <t>Compare lib/ with 'Folder structure - structure.csv' (setup_structure.sh)</t>
        </is>
      </c>
      <c r="F436" s="28" t="inlineStr">
        <is>
          <t>No misplaced files.</t>
        </is>
      </c>
      <c r="G436" s="29" t="inlineStr">
        <is>
          <t>P3</t>
        </is>
      </c>
      <c r="H436" s="29" t="inlineStr">
        <is>
          <t>Release</t>
        </is>
      </c>
      <c r="I436" s="29" t="inlineStr">
        <is>
          <t>Both</t>
        </is>
      </c>
      <c r="J436" s="29" t="n"/>
      <c r="K436" s="31" t="inlineStr">
        <is>
          <t>Not Run</t>
        </is>
      </c>
      <c r="L436" s="32" t="n"/>
      <c r="M436" s="33" t="n"/>
      <c r="N436" s="32" t="n"/>
      <c r="O436" s="32" t="n"/>
      <c r="P436" s="32" t="n"/>
      <c r="Q436" s="32" t="n"/>
    </row>
    <row r="437" ht="30" customHeight="1">
      <c r="A437" s="27" t="inlineStr">
        <is>
          <t>CODE-016</t>
        </is>
      </c>
      <c r="B437" s="28" t="inlineStr">
        <is>
          <t>25 Code quality gates</t>
        </is>
      </c>
      <c r="C437" s="28" t="inlineStr">
        <is>
          <t>Hygiene</t>
        </is>
      </c>
      <c r="D437" s="28" t="inlineStr">
        <is>
          <t>No debug leftovers</t>
        </is>
      </c>
      <c r="E437" s="28" t="inlineStr">
        <is>
          <t>Search for print/debugPrint, TODO/FIXME in release paths, mock data and commented-out code</t>
        </is>
      </c>
      <c r="F437" s="28" t="inlineStr">
        <is>
          <t>None that affect production; removed mock_data has no remaining references.</t>
        </is>
      </c>
      <c r="G437" s="29" t="inlineStr">
        <is>
          <t>P1</t>
        </is>
      </c>
      <c r="H437" s="29" t="inlineStr">
        <is>
          <t>Release</t>
        </is>
      </c>
      <c r="I437" s="29" t="inlineStr">
        <is>
          <t>Both</t>
        </is>
      </c>
      <c r="J437" s="29" t="n"/>
      <c r="K437" s="31" t="inlineStr">
        <is>
          <t>Not Run</t>
        </is>
      </c>
      <c r="L437" s="32" t="n"/>
      <c r="M437" s="33" t="n"/>
      <c r="N437" s="32" t="n"/>
      <c r="O437" s="32" t="n"/>
      <c r="P437" s="32" t="n"/>
      <c r="Q437" s="32" t="n"/>
    </row>
    <row r="438" ht="30" customHeight="1">
      <c r="A438" s="27" t="inlineStr">
        <is>
          <t>CODE-017</t>
        </is>
      </c>
      <c r="B438" s="28" t="inlineStr">
        <is>
          <t>25 Code quality gates</t>
        </is>
      </c>
      <c r="C438" s="28" t="inlineStr">
        <is>
          <t>Dependencies</t>
        </is>
      </c>
      <c r="D438" s="28" t="inlineStr">
        <is>
          <t>Dependency versions approved</t>
        </is>
      </c>
      <c r="E438" s="28" t="inlineStr">
        <is>
          <t>1. Compare pubspec.yaml with Technical_stack.md
2. Check pubspec.lock is committed</t>
        </is>
      </c>
      <c r="F438" s="28" t="inlineStr">
        <is>
          <t>Deviations are documented and approved.</t>
        </is>
      </c>
      <c r="G438" s="29" t="inlineStr">
        <is>
          <t>P2</t>
        </is>
      </c>
      <c r="H438" s="29" t="inlineStr">
        <is>
          <t>Release</t>
        </is>
      </c>
      <c r="I438" s="29" t="inlineStr">
        <is>
          <t>Both</t>
        </is>
      </c>
      <c r="J438" s="29" t="inlineStr">
        <is>
          <t>KB-13</t>
        </is>
      </c>
      <c r="K438" s="31" t="inlineStr">
        <is>
          <t>Not Run</t>
        </is>
      </c>
      <c r="L438" s="32" t="n"/>
      <c r="M438" s="33" t="n"/>
      <c r="N438" s="32" t="n"/>
      <c r="O438" s="32" t="n"/>
      <c r="P438" s="32" t="n"/>
      <c r="Q438" s="32" t="n"/>
    </row>
    <row r="439" ht="30" customHeight="1">
      <c r="A439" s="27" t="inlineStr">
        <is>
          <t>CODE-018</t>
        </is>
      </c>
      <c r="B439" s="28" t="inlineStr">
        <is>
          <t>25 Code quality gates</t>
        </is>
      </c>
      <c r="C439" s="28" t="inlineStr">
        <is>
          <t>Repo</t>
        </is>
      </c>
      <c r="D439" s="28" t="inlineStr">
        <is>
          <t>Release is built from a clean, tagged commit</t>
        </is>
      </c>
      <c r="E439" s="28" t="inlineStr">
        <is>
          <t>Check git status and tags on the release commit</t>
        </is>
      </c>
      <c r="F439" s="28" t="inlineStr">
        <is>
          <t>Working tree is clean, CI is green, commit is tagged with the version.</t>
        </is>
      </c>
      <c r="G439" s="29" t="inlineStr">
        <is>
          <t>P1</t>
        </is>
      </c>
      <c r="H439" s="29" t="inlineStr">
        <is>
          <t>Release</t>
        </is>
      </c>
      <c r="I439" s="29" t="inlineStr">
        <is>
          <t>Both</t>
        </is>
      </c>
      <c r="J439" s="29" t="n"/>
      <c r="K439" s="31" t="inlineStr">
        <is>
          <t>Not Run</t>
        </is>
      </c>
      <c r="L439" s="32" t="n"/>
      <c r="M439" s="33" t="n"/>
      <c r="N439" s="32" t="n"/>
      <c r="O439" s="32" t="n"/>
      <c r="P439" s="32" t="n"/>
      <c r="Q439" s="32" t="n"/>
    </row>
  </sheetData>
  <autoFilter ref="A1:Q439"/>
  <conditionalFormatting sqref="K2:K1000">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conditionalFormatting sqref="G2:G1000">
    <cfRule type="cellIs" priority="5" operator="equal" dxfId="7">
      <formula>"P0"</formula>
    </cfRule>
  </conditionalFormatting>
  <conditionalFormatting sqref="P2:P1000">
    <cfRule type="expression" priority="6" dxfId="8">
      <formula>AND($K2="Fail",$P2="")</formula>
    </cfRule>
  </conditionalFormatting>
  <dataValidations count="3">
    <dataValidation sqref="K2:K1000" showDropDown="0" showInputMessage="0" showErrorMessage="0" allowBlank="0" errorTitle="Status" error="Choose Not Run, Pass, Fail, Blocked or N/A." type="list">
      <formula1>"Not Run,Pass,Fail,Blocked,N/A"</formula1>
    </dataValidation>
    <dataValidation sqref="G2:G1000" showDropDown="0" showInputMessage="0" showErrorMessage="0" allowBlank="1" type="list">
      <formula1>"P0,P1,P2,P3"</formula1>
    </dataValidation>
    <dataValidation sqref="I2:I1000" showDropDown="0" showInputMessage="0" showErrorMessage="0" allowBlank="1" type="list">
      <formula1>"Both,Android,iOS"</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J16"/>
  <sheetViews>
    <sheetView tabSelected="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48" customWidth="1" min="3" max="3"/>
    <col width="34" customWidth="1" min="4" max="4"/>
    <col width="40" customWidth="1" min="5" max="5"/>
    <col width="16" customWidth="1" min="6" max="6"/>
    <col width="34" customWidth="1" min="7" max="7"/>
    <col width="11" customWidth="1" min="8" max="8"/>
    <col width="13" customWidth="1" min="9" max="9"/>
    <col width="26" customWidth="1" min="10" max="10"/>
  </cols>
  <sheetData>
    <row r="1">
      <c r="A1" s="3" t="inlineStr">
        <is>
          <t>Known blockers found in the repository — resolve or accept before the production run</t>
        </is>
      </c>
      <c r="H1" s="34" t="inlineStr">
        <is>
          <t>Open:</t>
        </is>
      </c>
      <c r="I1" s="14">
        <f>COUNTIF($H$4:$H$200,"Open")</f>
        <v/>
      </c>
    </row>
    <row r="2">
      <c r="A2" s="2" t="inlineStr">
        <is>
          <t>Each item was read from the code or project docs on 04-Oct-2026 and may already be fixed elsewhere — re-verify, then set Status. Checklist rows name these ids in the 'Needs / Blocker' column.</t>
        </is>
      </c>
    </row>
    <row r="3" ht="30" customHeight="1">
      <c r="A3" s="15" t="inlineStr">
        <is>
          <t>ID</t>
        </is>
      </c>
      <c r="B3" s="15" t="inlineStr">
        <is>
          <t>Blocker</t>
        </is>
      </c>
      <c r="C3" s="15" t="inlineStr">
        <is>
          <t>What was found</t>
        </is>
      </c>
      <c r="D3" s="15" t="inlineStr">
        <is>
          <t>Test areas affected</t>
        </is>
      </c>
      <c r="E3" s="15" t="inlineStr">
        <is>
          <t>Evidence (file / doc)</t>
        </is>
      </c>
      <c r="F3" s="15" t="inlineStr">
        <is>
          <t>Owner</t>
        </is>
      </c>
      <c r="G3" s="15" t="inlineStr">
        <is>
          <t>What is needed</t>
        </is>
      </c>
      <c r="H3" s="15" t="inlineStr">
        <is>
          <t>Status</t>
        </is>
      </c>
      <c r="I3" s="15" t="inlineStr">
        <is>
          <t>Date resolved</t>
        </is>
      </c>
      <c r="J3" s="15" t="inlineStr">
        <is>
          <t>Notes</t>
        </is>
      </c>
    </row>
    <row r="4" ht="43" customHeight="1">
      <c r="A4" s="27" t="inlineStr">
        <is>
          <t>KB-01</t>
        </is>
      </c>
      <c r="B4" s="28" t="inlineStr">
        <is>
          <t>File storage host does not resolve on the integration server</t>
        </is>
      </c>
      <c r="C4" s="28" t="inlineStr">
        <is>
          <t>Presigned upload/download URLs point at storage.fake.local, so every upload and download fails.</t>
        </is>
      </c>
      <c r="D4" s="28" t="inlineStr">
        <is>
          <t>Record upload/download, insurance files, ticket attachments, receipt PDF, data-export file</t>
        </is>
      </c>
      <c r="E4" s="28" t="inlineStr">
        <is>
          <t>docs/FLUTTER_INTEGRATION_GAPS_ROUND_2.md §2 R-1</t>
        </is>
      </c>
      <c r="F4" s="28" t="inlineStr">
        <is>
          <t>Backend / DevOps</t>
        </is>
      </c>
      <c r="G4" s="28" t="inlineStr">
        <is>
          <t>Point the server at real object storage.</t>
        </is>
      </c>
      <c r="H4" s="35" t="inlineStr">
        <is>
          <t>Open</t>
        </is>
      </c>
      <c r="I4" s="36" t="n"/>
      <c r="J4" s="37" t="n"/>
    </row>
    <row r="5" ht="30" customHeight="1">
      <c r="A5" s="27" t="inlineStr">
        <is>
          <t>KB-02</t>
        </is>
      </c>
      <c r="B5" s="28" t="inlineStr">
        <is>
          <t>Razorpay runs as an in-process fake</t>
        </is>
      </c>
      <c r="C5" s="28" t="inlineStr">
        <is>
          <t>payment_order.key_id is empty and order ids are order_fake…; the app correctly refuses to open the SDK.</t>
        </is>
      </c>
      <c r="D5" s="28" t="inlineStr">
        <is>
          <t>Everything after 'Confirm appointment': pay, success, receipt, refund</t>
        </is>
      </c>
      <c r="E5" s="28" t="inlineStr">
        <is>
          <t>docs/FLUTTER_INTEGRATION_GAPS_ROUND_2.md §2 R-2</t>
        </is>
      </c>
      <c r="F5" s="28" t="inlineStr">
        <is>
          <t>Backend / DevOps</t>
        </is>
      </c>
      <c r="G5" s="28" t="inlineStr">
        <is>
          <t>Configure Razorpay test keys on pre-prod and live keys on production.</t>
        </is>
      </c>
      <c r="H5" s="35" t="inlineStr">
        <is>
          <t>Open</t>
        </is>
      </c>
      <c r="I5" s="36" t="n"/>
      <c r="J5" s="37" t="n"/>
    </row>
    <row r="6" ht="43" customHeight="1">
      <c r="A6" s="27" t="inlineStr">
        <is>
          <t>KB-03</t>
        </is>
      </c>
      <c r="B6" s="28" t="inlineStr">
        <is>
          <t>Self-signed TLS certificate; bad-cert acceptance defaults to on</t>
        </is>
      </c>
      <c r="C6" s="28" t="inlineStr">
        <is>
          <t>The integration server presents a self-signed certificate. MEDIBOOK_ALLOW_BAD_CERT defaults to true outside prod.</t>
        </is>
      </c>
      <c r="D6" s="28" t="inlineStr">
        <is>
          <t>Any external tester build; SEC transport cases</t>
        </is>
      </c>
      <c r="E6" s="28" t="inlineStr">
        <is>
          <t>GAPS_ROUND_2 §2 R-3; lib/app/config/env.dart</t>
        </is>
      </c>
      <c r="F6" s="28" t="inlineStr">
        <is>
          <t>DevOps</t>
        </is>
      </c>
      <c r="G6" s="28" t="inlineStr">
        <is>
          <t>CA-signed certificate; build with MEDIBOOK_ALLOW_BAD_CERT=false.</t>
        </is>
      </c>
      <c r="H6" s="35" t="inlineStr">
        <is>
          <t>Open</t>
        </is>
      </c>
      <c r="I6" s="36" t="n"/>
      <c r="J6" s="37" t="n"/>
    </row>
    <row r="7" ht="30" customHeight="1">
      <c r="A7" s="27" t="inlineStr">
        <is>
          <t>KB-04</t>
        </is>
      </c>
      <c r="B7" s="28" t="inlineStr">
        <is>
          <t>No push provider in the app</t>
        </is>
      </c>
      <c r="C7" s="28" t="inlineStr">
        <is>
          <t>No Firebase/FCM SDK in pubspec.yaml. Device registration is wired but nothing calls it.</t>
        </is>
      </c>
      <c r="D7" s="28" t="inlineStr">
        <is>
          <t>All push-notification cases</t>
        </is>
      </c>
      <c r="E7" s="28" t="inlineStr">
        <is>
          <t>GAPS_ROUND_2 §2 R-4 and §5 D-1; pubspec.yaml</t>
        </is>
      </c>
      <c r="F7" s="28" t="inlineStr">
        <is>
          <t>Product owner / Mobile</t>
        </is>
      </c>
      <c r="G7" s="28" t="inlineStr">
        <is>
          <t>Decide the push provider, add the SDK and platform config.</t>
        </is>
      </c>
      <c r="H7" s="35" t="inlineStr">
        <is>
          <t>Open</t>
        </is>
      </c>
      <c r="I7" s="36" t="n"/>
      <c r="J7" s="37" t="n"/>
    </row>
    <row r="8" ht="30" customHeight="1">
      <c r="A8" s="27" t="inlineStr">
        <is>
          <t>KB-05</t>
        </is>
      </c>
      <c r="B8" s="28" t="inlineStr">
        <is>
          <t>OTP codes cannot be obtained on the integration server</t>
        </is>
      </c>
      <c r="C8" s="28" t="inlineStr">
        <is>
          <t>No SMS is sent in fake mode and the code is not exposed.</t>
        </is>
      </c>
      <c r="D8" s="28" t="inlineStr">
        <is>
          <t>Sign-up, OTP sign-in, forgot password, phone change, releasing a family member</t>
        </is>
      </c>
      <c r="E8" s="28" t="inlineStr">
        <is>
          <t>GAPS_ROUND_2 §4</t>
        </is>
      </c>
      <c r="F8" s="28" t="inlineStr">
        <is>
          <t>Backend</t>
        </is>
      </c>
      <c r="G8" s="28" t="inlineStr">
        <is>
          <t>Real SMS provider (or a controlled test hook) on pre-prod.</t>
        </is>
      </c>
      <c r="H8" s="35" t="inlineStr">
        <is>
          <t>Open</t>
        </is>
      </c>
      <c r="I8" s="36" t="n"/>
      <c r="J8" s="37" t="n"/>
    </row>
    <row r="9" ht="30" customHeight="1">
      <c r="A9" s="27" t="inlineStr">
        <is>
          <t>KB-06</t>
        </is>
      </c>
      <c r="B9" s="28" t="inlineStr">
        <is>
          <t>Android release build is signed with the debug key</t>
        </is>
      </c>
      <c r="C9" s="28" t="inlineStr">
        <is>
          <t>buildTypes.release uses signingConfigs.getByName("debug") with a TODO.</t>
        </is>
      </c>
      <c r="D9" s="28" t="inlineStr">
        <is>
          <t>Play upload, App Links verification, release-build payment test</t>
        </is>
      </c>
      <c r="E9" s="28" t="inlineStr">
        <is>
          <t>android/app/build.gradle.kts (release block)</t>
        </is>
      </c>
      <c r="F9" s="28" t="inlineStr">
        <is>
          <t>Mobile</t>
        </is>
      </c>
      <c r="G9" s="28" t="inlineStr">
        <is>
          <t>Create the upload keystore and a release signingConfig.</t>
        </is>
      </c>
      <c r="H9" s="35" t="inlineStr">
        <is>
          <t>Open</t>
        </is>
      </c>
      <c r="I9" s="36" t="n"/>
      <c r="J9" s="37" t="n"/>
    </row>
    <row r="10" ht="30" customHeight="1">
      <c r="A10" s="27" t="inlineStr">
        <is>
          <t>KB-07</t>
        </is>
      </c>
      <c r="B10" s="28" t="inlineStr">
        <is>
          <t>Default API URL is the integration server's IP</t>
        </is>
      </c>
      <c r="C10" s="28" t="inlineStr">
        <is>
          <t>Env.apiBaseUrl defaults to https://62.171.151.149:8443 when no define is passed.</t>
        </is>
      </c>
      <c r="D10" s="28" t="inlineStr">
        <is>
          <t>A release built without the define would talk to the wrong server</t>
        </is>
      </c>
      <c r="E10" s="28" t="inlineStr">
        <is>
          <t>lib/app/config/env.dart</t>
        </is>
      </c>
      <c r="F10" s="28" t="inlineStr">
        <is>
          <t>Mobile / CI</t>
        </is>
      </c>
      <c r="G10" s="28" t="inlineStr">
        <is>
          <t>Release pipeline must pass MEDIBOOK_API_BASE_URL and MEDIBOOK_ENV=prod.</t>
        </is>
      </c>
      <c r="H10" s="35" t="inlineStr">
        <is>
          <t>Open</t>
        </is>
      </c>
      <c r="I10" s="36" t="n"/>
      <c r="J10" s="37" t="n"/>
    </row>
    <row r="11" ht="30" customHeight="1">
      <c r="A11" s="27" t="inlineStr">
        <is>
          <t>KB-08</t>
        </is>
      </c>
      <c r="B11" s="28" t="inlineStr">
        <is>
          <t>Live queue needs a desk user running a session</t>
        </is>
      </c>
      <c r="C11" s="28" t="inlineStr">
        <is>
          <t>Seeded accounts have no booking in an open session, so queue movement was never observed.</t>
        </is>
      </c>
      <c r="D11" s="28" t="inlineStr">
        <is>
          <t>Live queue real-time cases; visit-day journey</t>
        </is>
      </c>
      <c r="E11" s="28" t="inlineStr">
        <is>
          <t>GAPS_ROUND_2 §4</t>
        </is>
      </c>
      <c r="F11" s="28" t="inlineStr">
        <is>
          <t>QA / Hospital ops</t>
        </is>
      </c>
      <c r="G11" s="28" t="inlineStr">
        <is>
          <t>Provide a staff login and a session to run during testing.</t>
        </is>
      </c>
      <c r="H11" s="35" t="inlineStr">
        <is>
          <t>Open</t>
        </is>
      </c>
      <c r="I11" s="36" t="n"/>
      <c r="J11" s="37" t="n"/>
    </row>
    <row r="12" ht="56" customHeight="1">
      <c r="A12" s="27" t="inlineStr">
        <is>
          <t>KB-09</t>
        </is>
      </c>
      <c r="B12" s="28" t="inlineStr">
        <is>
          <t>New-password hint says 6 characters; the rule is 10</t>
        </is>
      </c>
      <c r="C12" s="28" t="inlineStr">
        <is>
          <t>NewPasswordFields (reset and change password) defaults its hint to 'At least 6 characters' and no caller overrides it, while the form controllers enforce 10. Sign-up already says 10.</t>
        </is>
      </c>
      <c r="D12" s="28" t="inlineStr">
        <is>
          <t>Forgot-password and change-password forms (misleading hint, not a security gap)</t>
        </is>
      </c>
      <c r="E12" s="28" t="inlineStr">
        <is>
          <t>lib/features/auth/presentation/components/new_password_fields.dart:36; reset_form_controller.dart:36; change_password_form_controller.dart:42; API doc §4.1</t>
        </is>
      </c>
      <c r="F12" s="28" t="inlineStr">
        <is>
          <t>Mobile</t>
        </is>
      </c>
      <c r="G12" s="28" t="inlineStr">
        <is>
          <t>Change the default hint to 'At least 10 characters'.</t>
        </is>
      </c>
      <c r="H12" s="35" t="inlineStr">
        <is>
          <t>Open</t>
        </is>
      </c>
      <c r="I12" s="36" t="n"/>
      <c r="J12" s="37" t="n"/>
    </row>
    <row r="13" ht="43" customHeight="1">
      <c r="A13" s="27" t="inlineStr">
        <is>
          <t>KB-10</t>
        </is>
      </c>
      <c r="B13" s="28" t="inlineStr">
        <is>
          <t>Features intentionally not available yet</t>
        </is>
      </c>
      <c r="C13" s="28" t="inlineStr">
        <is>
          <t>No QR on the token card and no 'Save token card' (D-6). No geolocation: 'Hospitals Near You' is name-ordered (D-3).</t>
        </is>
      </c>
      <c r="D13" s="28" t="inlineStr">
        <is>
          <t>Token card, hospital ordering</t>
        </is>
      </c>
      <c r="E13" s="28" t="inlineStr">
        <is>
          <t>GAPS_ROUND_2 §5 D-3, D-6</t>
        </is>
      </c>
      <c r="F13" s="28" t="inlineStr">
        <is>
          <t>Product owner</t>
        </is>
      </c>
      <c r="G13" s="28" t="inlineStr">
        <is>
          <t>Accept for launch or schedule.</t>
        </is>
      </c>
      <c r="H13" s="35" t="inlineStr">
        <is>
          <t>Open</t>
        </is>
      </c>
      <c r="I13" s="36" t="n"/>
      <c r="J13" s="37" t="n"/>
    </row>
    <row r="14" ht="30" customHeight="1">
      <c r="A14" s="27" t="inlineStr">
        <is>
          <t>KB-11</t>
        </is>
      </c>
      <c r="B14" s="28" t="inlineStr">
        <is>
          <t>Golden-test failure images are present</t>
        </is>
      </c>
      <c r="C14" s="28" t="inlineStr">
        <is>
          <t>test/goldens/failures contains diff images for components and screens.</t>
        </is>
      </c>
      <c r="D14" s="28" t="inlineStr">
        <is>
          <t>Golden test gate</t>
        </is>
      </c>
      <c r="E14" s="28" t="inlineStr">
        <is>
          <t>test/goldens/failures/</t>
        </is>
      </c>
      <c r="F14" s="28" t="inlineStr">
        <is>
          <t>Mobile</t>
        </is>
      </c>
      <c r="G14" s="28" t="inlineStr">
        <is>
          <t>Re-run goldens; update or fix, then clear the folder.</t>
        </is>
      </c>
      <c r="H14" s="35" t="inlineStr">
        <is>
          <t>Open</t>
        </is>
      </c>
      <c r="I14" s="36" t="n"/>
      <c r="J14" s="37" t="n"/>
    </row>
    <row r="15" ht="30" customHeight="1">
      <c r="A15" s="27" t="inlineStr">
        <is>
          <t>KB-12</t>
        </is>
      </c>
      <c r="B15" s="28" t="inlineStr">
        <is>
          <t>Design base size differs between docs and code</t>
        </is>
      </c>
      <c r="C15" s="28" t="inlineStr">
        <is>
          <t>CLAUDE.md / responsiveness guide say 390 x 835; AppConstants.designSize is 390 x 844.</t>
        </is>
      </c>
      <c r="D15" s="28" t="inlineStr">
        <is>
          <t>Responsive sizing audit</t>
        </is>
      </c>
      <c r="E15" s="28" t="inlineStr">
        <is>
          <t>CLAUDE.md; lib/app/config/constants.dart:15</t>
        </is>
      </c>
      <c r="F15" s="28" t="inlineStr">
        <is>
          <t>Design / Mobile</t>
        </is>
      </c>
      <c r="G15" s="28" t="inlineStr">
        <is>
          <t>Confirm the Figma frame size and make both agree.</t>
        </is>
      </c>
      <c r="H15" s="35" t="inlineStr">
        <is>
          <t>Open</t>
        </is>
      </c>
      <c r="I15" s="36" t="n"/>
      <c r="J15" s="37" t="n"/>
    </row>
    <row r="16" ht="43" customHeight="1">
      <c r="A16" s="27" t="inlineStr">
        <is>
          <t>KB-13</t>
        </is>
      </c>
      <c r="B16" s="28" t="inlineStr">
        <is>
          <t>Tooling deviations from the spec</t>
        </is>
      </c>
      <c r="C16" s="28" t="inlineStr">
        <is>
          <t>naming_conventions_lints is not set up (D-7); SDK and package versions differ from Technical_stack.md (noted in pubspec.yaml).</t>
        </is>
      </c>
      <c r="D16" s="28" t="inlineStr">
        <is>
          <t>Code quality gates</t>
        </is>
      </c>
      <c r="E16" s="28" t="inlineStr">
        <is>
          <t>GAPS_ROUND_2 §5 D-7; pubspec.yaml</t>
        </is>
      </c>
      <c r="F16" s="28" t="inlineStr">
        <is>
          <t>Tech lead</t>
        </is>
      </c>
      <c r="G16" s="28" t="inlineStr">
        <is>
          <t>Approve the deviations or bring the project in line.</t>
        </is>
      </c>
      <c r="H16" s="35" t="inlineStr">
        <is>
          <t>Open</t>
        </is>
      </c>
      <c r="I16" s="36" t="n"/>
      <c r="J16" s="37" t="n"/>
    </row>
  </sheetData>
  <conditionalFormatting sqref="H4:H200">
    <cfRule type="cellIs" priority="1" operator="equal" dxfId="4">
      <formula>"Open"</formula>
    </cfRule>
    <cfRule type="cellIs" priority="2" operator="equal" dxfId="3">
      <formula>"Resolved"</formula>
    </cfRule>
    <cfRule type="cellIs" priority="3" operator="equal" dxfId="5">
      <formula>"Accepted"</formula>
    </cfRule>
  </conditionalFormatting>
  <dataValidations count="1">
    <dataValidation sqref="H4:H200" showDropDown="0" showInputMessage="0" showErrorMessage="0" allowBlank="0" type="list">
      <formula1>"Open,Resolved,Accepted"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
  <sheetViews>
    <sheetView tabSelected="0"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36" customWidth="1" min="13" max="13"/>
  </cols>
  <sheetData>
    <row r="1">
      <c r="A1" s="3" t="inlineStr">
        <is>
          <t>Screen coverage — tick each state once it has been seen on the release build</t>
        </is>
      </c>
    </row>
    <row r="2">
      <c r="A2" s="2" t="inlineStr">
        <is>
          <t>Use Pass / Fail / N/A in the yellow cells. N/A where a state cannot occur (e.g. no empty state on Login).</t>
        </is>
      </c>
    </row>
    <row r="3" ht="30" customHeight="1">
      <c r="A3" s="15" t="inlineStr">
        <is>
          <t>#</t>
        </is>
      </c>
      <c r="B3" s="15" t="inlineStr">
        <is>
          <t>Feature</t>
        </is>
      </c>
      <c r="C3" s="15" t="inlineStr">
        <is>
          <t>Screen</t>
        </is>
      </c>
      <c r="D3" s="15" t="inlineStr">
        <is>
          <t>Route</t>
        </is>
      </c>
      <c r="E3" s="15" t="inlineStr">
        <is>
          <t>Loaded with data</t>
        </is>
      </c>
      <c r="F3" s="15" t="inlineStr">
        <is>
          <t>Loading state</t>
        </is>
      </c>
      <c r="G3" s="15" t="inlineStr">
        <is>
          <t>Empty state</t>
        </is>
      </c>
      <c r="H3" s="15" t="inlineStr">
        <is>
          <t>Error + retry</t>
        </is>
      </c>
      <c r="I3" s="15" t="inlineStr">
        <is>
          <t>Offline</t>
        </is>
      </c>
      <c r="J3" s="15" t="inlineStr">
        <is>
          <t>Small phone</t>
        </is>
      </c>
      <c r="K3" s="15" t="inlineStr">
        <is>
          <t>Large font</t>
        </is>
      </c>
      <c r="L3" s="15" t="inlineStr">
        <is>
          <t>Screen reader</t>
        </is>
      </c>
      <c r="M3" s="15" t="inlineStr">
        <is>
          <t>Notes</t>
        </is>
      </c>
    </row>
    <row r="4">
      <c r="A4" s="28" t="n">
        <v>1</v>
      </c>
      <c r="B4" s="28" t="inlineStr">
        <is>
          <t>Auth</t>
        </is>
      </c>
      <c r="C4" s="28" t="inlineStr">
        <is>
          <t>Onboarding</t>
        </is>
      </c>
      <c r="D4" s="28" t="inlineStr">
        <is>
          <t>/onboarding</t>
        </is>
      </c>
      <c r="E4" s="31" t="n"/>
      <c r="F4" s="31" t="n"/>
      <c r="G4" s="31" t="n"/>
      <c r="H4" s="31" t="n"/>
      <c r="I4" s="31" t="n"/>
      <c r="J4" s="31" t="n"/>
      <c r="K4" s="31" t="n"/>
      <c r="L4" s="31" t="n"/>
      <c r="M4" s="38" t="n"/>
    </row>
    <row r="5">
      <c r="A5" s="28" t="n">
        <v>2</v>
      </c>
      <c r="B5" s="28" t="inlineStr">
        <is>
          <t>Auth</t>
        </is>
      </c>
      <c r="C5" s="28" t="inlineStr">
        <is>
          <t>Consent</t>
        </is>
      </c>
      <c r="D5" s="28" t="inlineStr">
        <is>
          <t>/onboarding/consent</t>
        </is>
      </c>
      <c r="E5" s="31" t="n"/>
      <c r="F5" s="31" t="n"/>
      <c r="G5" s="31" t="n"/>
      <c r="H5" s="31" t="n"/>
      <c r="I5" s="31" t="n"/>
      <c r="J5" s="31" t="n"/>
      <c r="K5" s="31" t="n"/>
      <c r="L5" s="31" t="n"/>
      <c r="M5" s="38" t="n"/>
    </row>
    <row r="6">
      <c r="A6" s="28" t="n">
        <v>3</v>
      </c>
      <c r="B6" s="28" t="inlineStr">
        <is>
          <t>Auth</t>
        </is>
      </c>
      <c r="C6" s="28" t="inlineStr">
        <is>
          <t>Login</t>
        </is>
      </c>
      <c r="D6" s="28" t="inlineStr">
        <is>
          <t>/login</t>
        </is>
      </c>
      <c r="E6" s="31" t="n"/>
      <c r="F6" s="31" t="n"/>
      <c r="G6" s="31" t="n"/>
      <c r="H6" s="31" t="n"/>
      <c r="I6" s="31" t="n"/>
      <c r="J6" s="31" t="n"/>
      <c r="K6" s="31" t="n"/>
      <c r="L6" s="31" t="n"/>
      <c r="M6" s="38" t="n"/>
    </row>
    <row r="7">
      <c r="A7" s="28" t="n">
        <v>4</v>
      </c>
      <c r="B7" s="28" t="inlineStr">
        <is>
          <t>Auth</t>
        </is>
      </c>
      <c r="C7" s="28" t="inlineStr">
        <is>
          <t>Sign up</t>
        </is>
      </c>
      <c r="D7" s="28" t="inlineStr">
        <is>
          <t>/signup</t>
        </is>
      </c>
      <c r="E7" s="31" t="n"/>
      <c r="F7" s="31" t="n"/>
      <c r="G7" s="31" t="n"/>
      <c r="H7" s="31" t="n"/>
      <c r="I7" s="31" t="n"/>
      <c r="J7" s="31" t="n"/>
      <c r="K7" s="31" t="n"/>
      <c r="L7" s="31" t="n"/>
      <c r="M7" s="38" t="n"/>
    </row>
    <row r="8">
      <c r="A8" s="28" t="n">
        <v>5</v>
      </c>
      <c r="B8" s="28" t="inlineStr">
        <is>
          <t>Auth</t>
        </is>
      </c>
      <c r="C8" s="28" t="inlineStr">
        <is>
          <t>Forgot password</t>
        </is>
      </c>
      <c r="D8" s="28" t="inlineStr">
        <is>
          <t>/forgot</t>
        </is>
      </c>
      <c r="E8" s="31" t="n"/>
      <c r="F8" s="31" t="n"/>
      <c r="G8" s="31" t="n"/>
      <c r="H8" s="31" t="n"/>
      <c r="I8" s="31" t="n"/>
      <c r="J8" s="31" t="n"/>
      <c r="K8" s="31" t="n"/>
      <c r="L8" s="31" t="n"/>
      <c r="M8" s="38" t="n"/>
    </row>
    <row r="9">
      <c r="A9" s="28" t="n">
        <v>6</v>
      </c>
      <c r="B9" s="28" t="inlineStr">
        <is>
          <t>Auth</t>
        </is>
      </c>
      <c r="C9" s="28" t="inlineStr">
        <is>
          <t>Verify code (OTP)</t>
        </is>
      </c>
      <c r="D9" s="28" t="inlineStr">
        <is>
          <t>/verify</t>
        </is>
      </c>
      <c r="E9" s="31" t="n"/>
      <c r="F9" s="31" t="n"/>
      <c r="G9" s="31" t="n"/>
      <c r="H9" s="31" t="n"/>
      <c r="I9" s="31" t="n"/>
      <c r="J9" s="31" t="n"/>
      <c r="K9" s="31" t="n"/>
      <c r="L9" s="31" t="n"/>
      <c r="M9" s="38" t="n"/>
    </row>
    <row r="10">
      <c r="A10" s="28" t="n">
        <v>7</v>
      </c>
      <c r="B10" s="28" t="inlineStr">
        <is>
          <t>Auth</t>
        </is>
      </c>
      <c r="C10" s="28" t="inlineStr">
        <is>
          <t>New password</t>
        </is>
      </c>
      <c r="D10" s="28" t="inlineStr">
        <is>
          <t>/reset</t>
        </is>
      </c>
      <c r="E10" s="31" t="n"/>
      <c r="F10" s="31" t="n"/>
      <c r="G10" s="31" t="n"/>
      <c r="H10" s="31" t="n"/>
      <c r="I10" s="31" t="n"/>
      <c r="J10" s="31" t="n"/>
      <c r="K10" s="31" t="n"/>
      <c r="L10" s="31" t="n"/>
      <c r="M10" s="38" t="n"/>
    </row>
    <row r="11">
      <c r="A11" s="28" t="n">
        <v>8</v>
      </c>
      <c r="B11" s="28" t="inlineStr">
        <is>
          <t>Auth</t>
        </is>
      </c>
      <c r="C11" s="28" t="inlineStr">
        <is>
          <t>Lockout</t>
        </is>
      </c>
      <c r="D11" s="28" t="inlineStr">
        <is>
          <t>/lockout</t>
        </is>
      </c>
      <c r="E11" s="31" t="n"/>
      <c r="F11" s="31" t="n"/>
      <c r="G11" s="31" t="n"/>
      <c r="H11" s="31" t="n"/>
      <c r="I11" s="31" t="n"/>
      <c r="J11" s="31" t="n"/>
      <c r="K11" s="31" t="n"/>
      <c r="L11" s="31" t="n"/>
      <c r="M11" s="38" t="n"/>
    </row>
    <row r="12">
      <c r="A12" s="28" t="n">
        <v>9</v>
      </c>
      <c r="B12" s="28" t="inlineStr">
        <is>
          <t>Auth</t>
        </is>
      </c>
      <c r="C12" s="28" t="inlineStr">
        <is>
          <t>Change password</t>
        </is>
      </c>
      <c r="D12" s="28" t="inlineStr">
        <is>
          <t>/change-password, /profile/password</t>
        </is>
      </c>
      <c r="E12" s="31" t="n"/>
      <c r="F12" s="31" t="n"/>
      <c r="G12" s="31" t="n"/>
      <c r="H12" s="31" t="n"/>
      <c r="I12" s="31" t="n"/>
      <c r="J12" s="31" t="n"/>
      <c r="K12" s="31" t="n"/>
      <c r="L12" s="31" t="n"/>
      <c r="M12" s="38" t="n"/>
    </row>
    <row r="13">
      <c r="A13" s="28" t="n">
        <v>10</v>
      </c>
      <c r="B13" s="28" t="inlineStr">
        <is>
          <t>Dashboard</t>
        </is>
      </c>
      <c r="C13" s="28" t="inlineStr">
        <is>
          <t>Home</t>
        </is>
      </c>
      <c r="D13" s="28" t="inlineStr">
        <is>
          <t>/home</t>
        </is>
      </c>
      <c r="E13" s="31" t="n"/>
      <c r="F13" s="31" t="n"/>
      <c r="G13" s="31" t="n"/>
      <c r="H13" s="31" t="n"/>
      <c r="I13" s="31" t="n"/>
      <c r="J13" s="31" t="n"/>
      <c r="K13" s="31" t="n"/>
      <c r="L13" s="31" t="n"/>
      <c r="M13" s="38" t="n"/>
    </row>
    <row r="14">
      <c r="A14" s="28" t="n">
        <v>11</v>
      </c>
      <c r="B14" s="28" t="inlineStr">
        <is>
          <t>Dashboard</t>
        </is>
      </c>
      <c r="C14" s="28" t="inlineStr">
        <is>
          <t>Ambulance</t>
        </is>
      </c>
      <c r="D14" s="28" t="inlineStr">
        <is>
          <t>/ambulance</t>
        </is>
      </c>
      <c r="E14" s="31" t="n"/>
      <c r="F14" s="31" t="n"/>
      <c r="G14" s="31" t="n"/>
      <c r="H14" s="31" t="n"/>
      <c r="I14" s="31" t="n"/>
      <c r="J14" s="31" t="n"/>
      <c r="K14" s="31" t="n"/>
      <c r="L14" s="31" t="n"/>
      <c r="M14" s="38" t="n"/>
    </row>
    <row r="15">
      <c r="A15" s="28" t="n">
        <v>12</v>
      </c>
      <c r="B15" s="28" t="inlineStr">
        <is>
          <t>Search</t>
        </is>
      </c>
      <c r="C15" s="28" t="inlineStr">
        <is>
          <t>Search</t>
        </is>
      </c>
      <c r="D15" s="28" t="inlineStr">
        <is>
          <t>/search</t>
        </is>
      </c>
      <c r="E15" s="31" t="n"/>
      <c r="F15" s="31" t="n"/>
      <c r="G15" s="31" t="n"/>
      <c r="H15" s="31" t="n"/>
      <c r="I15" s="31" t="n"/>
      <c r="J15" s="31" t="n"/>
      <c r="K15" s="31" t="n"/>
      <c r="L15" s="31" t="n"/>
      <c r="M15" s="38" t="n"/>
    </row>
    <row r="16">
      <c r="A16" s="28" t="n">
        <v>13</v>
      </c>
      <c r="B16" s="28" t="inlineStr">
        <is>
          <t>Booking</t>
        </is>
      </c>
      <c r="C16" s="28" t="inlineStr">
        <is>
          <t>Locations</t>
        </is>
      </c>
      <c r="D16" s="28" t="inlineStr">
        <is>
          <t>/locations</t>
        </is>
      </c>
      <c r="E16" s="31" t="n"/>
      <c r="F16" s="31" t="n"/>
      <c r="G16" s="31" t="n"/>
      <c r="H16" s="31" t="n"/>
      <c r="I16" s="31" t="n"/>
      <c r="J16" s="31" t="n"/>
      <c r="K16" s="31" t="n"/>
      <c r="L16" s="31" t="n"/>
      <c r="M16" s="38" t="n"/>
    </row>
    <row r="17">
      <c r="A17" s="28" t="n">
        <v>14</v>
      </c>
      <c r="B17" s="28" t="inlineStr">
        <is>
          <t>Booking</t>
        </is>
      </c>
      <c r="C17" s="28" t="inlineStr">
        <is>
          <t>Hospitals</t>
        </is>
      </c>
      <c r="D17" s="28" t="inlineStr">
        <is>
          <t>/hospitals</t>
        </is>
      </c>
      <c r="E17" s="31" t="n"/>
      <c r="F17" s="31" t="n"/>
      <c r="G17" s="31" t="n"/>
      <c r="H17" s="31" t="n"/>
      <c r="I17" s="31" t="n"/>
      <c r="J17" s="31" t="n"/>
      <c r="K17" s="31" t="n"/>
      <c r="L17" s="31" t="n"/>
      <c r="M17" s="38" t="n"/>
    </row>
    <row r="18">
      <c r="A18" s="28" t="n">
        <v>15</v>
      </c>
      <c r="B18" s="28" t="inlineStr">
        <is>
          <t>Booking</t>
        </is>
      </c>
      <c r="C18" s="28" t="inlineStr">
        <is>
          <t>Hospital detail</t>
        </is>
      </c>
      <c r="D18" s="28" t="inlineStr">
        <is>
          <t>/hospital/:id</t>
        </is>
      </c>
      <c r="E18" s="31" t="n"/>
      <c r="F18" s="31" t="n"/>
      <c r="G18" s="31" t="n"/>
      <c r="H18" s="31" t="n"/>
      <c r="I18" s="31" t="n"/>
      <c r="J18" s="31" t="n"/>
      <c r="K18" s="31" t="n"/>
      <c r="L18" s="31" t="n"/>
      <c r="M18" s="38" t="n"/>
    </row>
    <row r="19">
      <c r="A19" s="28" t="n">
        <v>16</v>
      </c>
      <c r="B19" s="28" t="inlineStr">
        <is>
          <t>Booking</t>
        </is>
      </c>
      <c r="C19" s="28" t="inlineStr">
        <is>
          <t>Doctor detail</t>
        </is>
      </c>
      <c r="D19" s="28" t="inlineStr">
        <is>
          <t>/doctor/:id</t>
        </is>
      </c>
      <c r="E19" s="31" t="n"/>
      <c r="F19" s="31" t="n"/>
      <c r="G19" s="31" t="n"/>
      <c r="H19" s="31" t="n"/>
      <c r="I19" s="31" t="n"/>
      <c r="J19" s="31" t="n"/>
      <c r="K19" s="31" t="n"/>
      <c r="L19" s="31" t="n"/>
      <c r="M19" s="38" t="n"/>
    </row>
    <row r="20">
      <c r="A20" s="28" t="n">
        <v>17</v>
      </c>
      <c r="B20" s="28" t="inlineStr">
        <is>
          <t>Booking</t>
        </is>
      </c>
      <c r="C20" s="28" t="inlineStr">
        <is>
          <t>Booking flow (steps 1–4)</t>
        </is>
      </c>
      <c r="D20" s="28" t="inlineStr">
        <is>
          <t>/booking</t>
        </is>
      </c>
      <c r="E20" s="31" t="n"/>
      <c r="F20" s="31" t="n"/>
      <c r="G20" s="31" t="n"/>
      <c r="H20" s="31" t="n"/>
      <c r="I20" s="31" t="n"/>
      <c r="J20" s="31" t="n"/>
      <c r="K20" s="31" t="n"/>
      <c r="L20" s="31" t="n"/>
      <c r="M20" s="38" t="n"/>
    </row>
    <row r="21">
      <c r="A21" s="28" t="n">
        <v>18</v>
      </c>
      <c r="B21" s="28" t="inlineStr">
        <is>
          <t>Booking</t>
        </is>
      </c>
      <c r="C21" s="28" t="inlineStr">
        <is>
          <t>Booking success</t>
        </is>
      </c>
      <c r="D21" s="28" t="inlineStr">
        <is>
          <t>/success</t>
        </is>
      </c>
      <c r="E21" s="31" t="n"/>
      <c r="F21" s="31" t="n"/>
      <c r="G21" s="31" t="n"/>
      <c r="H21" s="31" t="n"/>
      <c r="I21" s="31" t="n"/>
      <c r="J21" s="31" t="n"/>
      <c r="K21" s="31" t="n"/>
      <c r="L21" s="31" t="n"/>
      <c r="M21" s="38" t="n"/>
    </row>
    <row r="22">
      <c r="A22" s="28" t="n">
        <v>19</v>
      </c>
      <c r="B22" s="28" t="inlineStr">
        <is>
          <t>Payment</t>
        </is>
      </c>
      <c r="C22" s="28" t="inlineStr">
        <is>
          <t>Payment</t>
        </is>
      </c>
      <c r="D22" s="28" t="inlineStr">
        <is>
          <t>/booking/payment</t>
        </is>
      </c>
      <c r="E22" s="31" t="n"/>
      <c r="F22" s="31" t="n"/>
      <c r="G22" s="31" t="n"/>
      <c r="H22" s="31" t="n"/>
      <c r="I22" s="31" t="n"/>
      <c r="J22" s="31" t="n"/>
      <c r="K22" s="31" t="n"/>
      <c r="L22" s="31" t="n"/>
      <c r="M22" s="38" t="n"/>
    </row>
    <row r="23">
      <c r="A23" s="28" t="n">
        <v>20</v>
      </c>
      <c r="B23" s="28" t="inlineStr">
        <is>
          <t>Payment</t>
        </is>
      </c>
      <c r="C23" s="28" t="inlineStr">
        <is>
          <t>Payment result</t>
        </is>
      </c>
      <c r="D23" s="28" t="inlineStr">
        <is>
          <t>/booking/payment/result</t>
        </is>
      </c>
      <c r="E23" s="31" t="n"/>
      <c r="F23" s="31" t="n"/>
      <c r="G23" s="31" t="n"/>
      <c r="H23" s="31" t="n"/>
      <c r="I23" s="31" t="n"/>
      <c r="J23" s="31" t="n"/>
      <c r="K23" s="31" t="n"/>
      <c r="L23" s="31" t="n"/>
      <c r="M23" s="38" t="n"/>
    </row>
    <row r="24">
      <c r="A24" s="28" t="n">
        <v>21</v>
      </c>
      <c r="B24" s="28" t="inlineStr">
        <is>
          <t>Appointments</t>
        </is>
      </c>
      <c r="C24" s="28" t="inlineStr">
        <is>
          <t>Appointments list</t>
        </is>
      </c>
      <c r="D24" s="28" t="inlineStr">
        <is>
          <t>/appointments</t>
        </is>
      </c>
      <c r="E24" s="31" t="n"/>
      <c r="F24" s="31" t="n"/>
      <c r="G24" s="31" t="n"/>
      <c r="H24" s="31" t="n"/>
      <c r="I24" s="31" t="n"/>
      <c r="J24" s="31" t="n"/>
      <c r="K24" s="31" t="n"/>
      <c r="L24" s="31" t="n"/>
      <c r="M24" s="38" t="n"/>
    </row>
    <row r="25">
      <c r="A25" s="28" t="n">
        <v>22</v>
      </c>
      <c r="B25" s="28" t="inlineStr">
        <is>
          <t>Appointments</t>
        </is>
      </c>
      <c r="C25" s="28" t="inlineStr">
        <is>
          <t>Appointment detail</t>
        </is>
      </c>
      <c r="D25" s="28" t="inlineStr">
        <is>
          <t>/appointment/:id</t>
        </is>
      </c>
      <c r="E25" s="31" t="n"/>
      <c r="F25" s="31" t="n"/>
      <c r="G25" s="31" t="n"/>
      <c r="H25" s="31" t="n"/>
      <c r="I25" s="31" t="n"/>
      <c r="J25" s="31" t="n"/>
      <c r="K25" s="31" t="n"/>
      <c r="L25" s="31" t="n"/>
      <c r="M25" s="38" t="n"/>
    </row>
    <row r="26">
      <c r="A26" s="28" t="n">
        <v>23</v>
      </c>
      <c r="B26" s="28" t="inlineStr">
        <is>
          <t>Appointments</t>
        </is>
      </c>
      <c r="C26" s="28" t="inlineStr">
        <is>
          <t>Appointment search</t>
        </is>
      </c>
      <c r="D26" s="28" t="inlineStr">
        <is>
          <t>/appointments/search</t>
        </is>
      </c>
      <c r="E26" s="31" t="n"/>
      <c r="F26" s="31" t="n"/>
      <c r="G26" s="31" t="n"/>
      <c r="H26" s="31" t="n"/>
      <c r="I26" s="31" t="n"/>
      <c r="J26" s="31" t="n"/>
      <c r="K26" s="31" t="n"/>
      <c r="L26" s="31" t="n"/>
      <c r="M26" s="38" t="n"/>
    </row>
    <row r="27">
      <c r="A27" s="28" t="n">
        <v>24</v>
      </c>
      <c r="B27" s="28" t="inlineStr">
        <is>
          <t>Appointments</t>
        </is>
      </c>
      <c r="C27" s="28" t="inlineStr">
        <is>
          <t>Appointment filter sheet</t>
        </is>
      </c>
      <c r="D27" s="28" t="inlineStr">
        <is>
          <t>/appointments/filter</t>
        </is>
      </c>
      <c r="E27" s="31" t="n"/>
      <c r="F27" s="31" t="n"/>
      <c r="G27" s="31" t="n"/>
      <c r="H27" s="31" t="n"/>
      <c r="I27" s="31" t="n"/>
      <c r="J27" s="31" t="n"/>
      <c r="K27" s="31" t="n"/>
      <c r="L27" s="31" t="n"/>
      <c r="M27" s="38" t="n"/>
    </row>
    <row r="28">
      <c r="A28" s="28" t="n">
        <v>25</v>
      </c>
      <c r="B28" s="28" t="inlineStr">
        <is>
          <t>Appointments</t>
        </is>
      </c>
      <c r="C28" s="28" t="inlineStr">
        <is>
          <t>Receipt</t>
        </is>
      </c>
      <c r="D28" s="28" t="inlineStr">
        <is>
          <t>/receipt/:appointmentId</t>
        </is>
      </c>
      <c r="E28" s="31" t="n"/>
      <c r="F28" s="31" t="n"/>
      <c r="G28" s="31" t="n"/>
      <c r="H28" s="31" t="n"/>
      <c r="I28" s="31" t="n"/>
      <c r="J28" s="31" t="n"/>
      <c r="K28" s="31" t="n"/>
      <c r="L28" s="31" t="n"/>
      <c r="M28" s="38" t="n"/>
    </row>
    <row r="29">
      <c r="A29" s="28" t="n">
        <v>26</v>
      </c>
      <c r="B29" s="28" t="inlineStr">
        <is>
          <t>Appointments</t>
        </is>
      </c>
      <c r="C29" s="28" t="inlineStr">
        <is>
          <t>Live queue</t>
        </is>
      </c>
      <c r="D29" s="28" t="inlineStr">
        <is>
          <t>/queue/:appointmentId</t>
        </is>
      </c>
      <c r="E29" s="31" t="n"/>
      <c r="F29" s="31" t="n"/>
      <c r="G29" s="31" t="n"/>
      <c r="H29" s="31" t="n"/>
      <c r="I29" s="31" t="n"/>
      <c r="J29" s="31" t="n"/>
      <c r="K29" s="31" t="n"/>
      <c r="L29" s="31" t="n"/>
      <c r="M29" s="38" t="n"/>
    </row>
    <row r="30">
      <c r="A30" s="28" t="n">
        <v>27</v>
      </c>
      <c r="B30" s="28" t="inlineStr">
        <is>
          <t>Records</t>
        </is>
      </c>
      <c r="C30" s="28" t="inlineStr">
        <is>
          <t>Records list</t>
        </is>
      </c>
      <c r="D30" s="28" t="inlineStr">
        <is>
          <t>/records</t>
        </is>
      </c>
      <c r="E30" s="31" t="n"/>
      <c r="F30" s="31" t="n"/>
      <c r="G30" s="31" t="n"/>
      <c r="H30" s="31" t="n"/>
      <c r="I30" s="31" t="n"/>
      <c r="J30" s="31" t="n"/>
      <c r="K30" s="31" t="n"/>
      <c r="L30" s="31" t="n"/>
      <c r="M30" s="38" t="n"/>
    </row>
    <row r="31">
      <c r="A31" s="28" t="n">
        <v>28</v>
      </c>
      <c r="B31" s="28" t="inlineStr">
        <is>
          <t>Records</t>
        </is>
      </c>
      <c r="C31" s="28" t="inlineStr">
        <is>
          <t>Document upload</t>
        </is>
      </c>
      <c r="D31" s="28" t="inlineStr">
        <is>
          <t>/documents/upload</t>
        </is>
      </c>
      <c r="E31" s="31" t="n"/>
      <c r="F31" s="31" t="n"/>
      <c r="G31" s="31" t="n"/>
      <c r="H31" s="31" t="n"/>
      <c r="I31" s="31" t="n"/>
      <c r="J31" s="31" t="n"/>
      <c r="K31" s="31" t="n"/>
      <c r="L31" s="31" t="n"/>
      <c r="M31" s="38" t="n"/>
    </row>
    <row r="32">
      <c r="A32" s="28" t="n">
        <v>29</v>
      </c>
      <c r="B32" s="28" t="inlineStr">
        <is>
          <t>Records</t>
        </is>
      </c>
      <c r="C32" s="28" t="inlineStr">
        <is>
          <t>Document detail</t>
        </is>
      </c>
      <c r="D32" s="28" t="inlineStr">
        <is>
          <t>/documents/:id</t>
        </is>
      </c>
      <c r="E32" s="31" t="n"/>
      <c r="F32" s="31" t="n"/>
      <c r="G32" s="31" t="n"/>
      <c r="H32" s="31" t="n"/>
      <c r="I32" s="31" t="n"/>
      <c r="J32" s="31" t="n"/>
      <c r="K32" s="31" t="n"/>
      <c r="L32" s="31" t="n"/>
      <c r="M32" s="38" t="n"/>
    </row>
    <row r="33">
      <c r="A33" s="28" t="n">
        <v>30</v>
      </c>
      <c r="B33" s="28" t="inlineStr">
        <is>
          <t>Records</t>
        </is>
      </c>
      <c r="C33" s="28" t="inlineStr">
        <is>
          <t>Document edit sheet</t>
        </is>
      </c>
      <c r="D33" s="28" t="inlineStr">
        <is>
          <t>(sheet)</t>
        </is>
      </c>
      <c r="E33" s="31" t="n"/>
      <c r="F33" s="31" t="n"/>
      <c r="G33" s="31" t="n"/>
      <c r="H33" s="31" t="n"/>
      <c r="I33" s="31" t="n"/>
      <c r="J33" s="31" t="n"/>
      <c r="K33" s="31" t="n"/>
      <c r="L33" s="31" t="n"/>
      <c r="M33" s="38" t="n"/>
    </row>
    <row r="34">
      <c r="A34" s="28" t="n">
        <v>31</v>
      </c>
      <c r="B34" s="28" t="inlineStr">
        <is>
          <t>Records</t>
        </is>
      </c>
      <c r="C34" s="28" t="inlineStr">
        <is>
          <t>Documents filter sheet</t>
        </is>
      </c>
      <c r="D34" s="28" t="inlineStr">
        <is>
          <t>(sheet)</t>
        </is>
      </c>
      <c r="E34" s="31" t="n"/>
      <c r="F34" s="31" t="n"/>
      <c r="G34" s="31" t="n"/>
      <c r="H34" s="31" t="n"/>
      <c r="I34" s="31" t="n"/>
      <c r="J34" s="31" t="n"/>
      <c r="K34" s="31" t="n"/>
      <c r="L34" s="31" t="n"/>
      <c r="M34" s="38" t="n"/>
    </row>
    <row r="35">
      <c r="A35" s="28" t="n">
        <v>32</v>
      </c>
      <c r="B35" s="28" t="inlineStr">
        <is>
          <t>Notifications</t>
        </is>
      </c>
      <c r="C35" s="28" t="inlineStr">
        <is>
          <t>Notifications</t>
        </is>
      </c>
      <c r="D35" s="28" t="inlineStr">
        <is>
          <t>/notifications</t>
        </is>
      </c>
      <c r="E35" s="31" t="n"/>
      <c r="F35" s="31" t="n"/>
      <c r="G35" s="31" t="n"/>
      <c r="H35" s="31" t="n"/>
      <c r="I35" s="31" t="n"/>
      <c r="J35" s="31" t="n"/>
      <c r="K35" s="31" t="n"/>
      <c r="L35" s="31" t="n"/>
      <c r="M35" s="38" t="n"/>
    </row>
    <row r="36">
      <c r="A36" s="28" t="n">
        <v>33</v>
      </c>
      <c r="B36" s="28" t="inlineStr">
        <is>
          <t>Profile</t>
        </is>
      </c>
      <c r="C36" s="28" t="inlineStr">
        <is>
          <t>Profile</t>
        </is>
      </c>
      <c r="D36" s="28" t="inlineStr">
        <is>
          <t>/profile</t>
        </is>
      </c>
      <c r="E36" s="31" t="n"/>
      <c r="F36" s="31" t="n"/>
      <c r="G36" s="31" t="n"/>
      <c r="H36" s="31" t="n"/>
      <c r="I36" s="31" t="n"/>
      <c r="J36" s="31" t="n"/>
      <c r="K36" s="31" t="n"/>
      <c r="L36" s="31" t="n"/>
      <c r="M36" s="38" t="n"/>
    </row>
    <row r="37">
      <c r="A37" s="28" t="n">
        <v>34</v>
      </c>
      <c r="B37" s="28" t="inlineStr">
        <is>
          <t>Profile</t>
        </is>
      </c>
      <c r="C37" s="28" t="inlineStr">
        <is>
          <t>Edit profile</t>
        </is>
      </c>
      <c r="D37" s="28" t="inlineStr">
        <is>
          <t>/profile/edit</t>
        </is>
      </c>
      <c r="E37" s="31" t="n"/>
      <c r="F37" s="31" t="n"/>
      <c r="G37" s="31" t="n"/>
      <c r="H37" s="31" t="n"/>
      <c r="I37" s="31" t="n"/>
      <c r="J37" s="31" t="n"/>
      <c r="K37" s="31" t="n"/>
      <c r="L37" s="31" t="n"/>
      <c r="M37" s="38" t="n"/>
    </row>
    <row r="38">
      <c r="A38" s="28" t="n">
        <v>35</v>
      </c>
      <c r="B38" s="28" t="inlineStr">
        <is>
          <t>Profile</t>
        </is>
      </c>
      <c r="C38" s="28" t="inlineStr">
        <is>
          <t>Change phone number</t>
        </is>
      </c>
      <c r="D38" s="28" t="inlineStr">
        <is>
          <t>/profile/phone</t>
        </is>
      </c>
      <c r="E38" s="31" t="n"/>
      <c r="F38" s="31" t="n"/>
      <c r="G38" s="31" t="n"/>
      <c r="H38" s="31" t="n"/>
      <c r="I38" s="31" t="n"/>
      <c r="J38" s="31" t="n"/>
      <c r="K38" s="31" t="n"/>
      <c r="L38" s="31" t="n"/>
      <c r="M38" s="38" t="n"/>
    </row>
    <row r="39">
      <c r="A39" s="28" t="n">
        <v>36</v>
      </c>
      <c r="B39" s="28" t="inlineStr">
        <is>
          <t>Profile</t>
        </is>
      </c>
      <c r="C39" s="28" t="inlineStr">
        <is>
          <t>Saved addresses</t>
        </is>
      </c>
      <c r="D39" s="28" t="inlineStr">
        <is>
          <t>/profile/address</t>
        </is>
      </c>
      <c r="E39" s="31" t="n"/>
      <c r="F39" s="31" t="n"/>
      <c r="G39" s="31" t="n"/>
      <c r="H39" s="31" t="n"/>
      <c r="I39" s="31" t="n"/>
      <c r="J39" s="31" t="n"/>
      <c r="K39" s="31" t="n"/>
      <c r="L39" s="31" t="n"/>
      <c r="M39" s="38" t="n"/>
    </row>
    <row r="40">
      <c r="A40" s="28" t="n">
        <v>37</v>
      </c>
      <c r="B40" s="28" t="inlineStr">
        <is>
          <t>Profile</t>
        </is>
      </c>
      <c r="C40" s="28" t="inlineStr">
        <is>
          <t>Emergency contacts</t>
        </is>
      </c>
      <c r="D40" s="28" t="inlineStr">
        <is>
          <t>/profile/emergency</t>
        </is>
      </c>
      <c r="E40" s="31" t="n"/>
      <c r="F40" s="31" t="n"/>
      <c r="G40" s="31" t="n"/>
      <c r="H40" s="31" t="n"/>
      <c r="I40" s="31" t="n"/>
      <c r="J40" s="31" t="n"/>
      <c r="K40" s="31" t="n"/>
      <c r="L40" s="31" t="n"/>
      <c r="M40" s="38" t="n"/>
    </row>
    <row r="41">
      <c r="A41" s="28" t="n">
        <v>38</v>
      </c>
      <c r="B41" s="28" t="inlineStr">
        <is>
          <t>Profile</t>
        </is>
      </c>
      <c r="C41" s="28" t="inlineStr">
        <is>
          <t>Signed-in devices</t>
        </is>
      </c>
      <c r="D41" s="28" t="inlineStr">
        <is>
          <t>/profile/sessions</t>
        </is>
      </c>
      <c r="E41" s="31" t="n"/>
      <c r="F41" s="31" t="n"/>
      <c r="G41" s="31" t="n"/>
      <c r="H41" s="31" t="n"/>
      <c r="I41" s="31" t="n"/>
      <c r="J41" s="31" t="n"/>
      <c r="K41" s="31" t="n"/>
      <c r="L41" s="31" t="n"/>
      <c r="M41" s="38" t="n"/>
    </row>
    <row r="42">
      <c r="A42" s="28" t="n">
        <v>39</v>
      </c>
      <c r="B42" s="28" t="inlineStr">
        <is>
          <t>Profile</t>
        </is>
      </c>
      <c r="C42" s="28" t="inlineStr">
        <is>
          <t>Download my data</t>
        </is>
      </c>
      <c r="D42" s="28" t="inlineStr">
        <is>
          <t>/profile/data-export</t>
        </is>
      </c>
      <c r="E42" s="31" t="n"/>
      <c r="F42" s="31" t="n"/>
      <c r="G42" s="31" t="n"/>
      <c r="H42" s="31" t="n"/>
      <c r="I42" s="31" t="n"/>
      <c r="J42" s="31" t="n"/>
      <c r="K42" s="31" t="n"/>
      <c r="L42" s="31" t="n"/>
      <c r="M42" s="38" t="n"/>
    </row>
    <row r="43">
      <c r="A43" s="28" t="n">
        <v>40</v>
      </c>
      <c r="B43" s="28" t="inlineStr">
        <is>
          <t>Profile</t>
        </is>
      </c>
      <c r="C43" s="28" t="inlineStr">
        <is>
          <t>Family members</t>
        </is>
      </c>
      <c r="D43" s="28" t="inlineStr">
        <is>
          <t>/dependants</t>
        </is>
      </c>
      <c r="E43" s="31" t="n"/>
      <c r="F43" s="31" t="n"/>
      <c r="G43" s="31" t="n"/>
      <c r="H43" s="31" t="n"/>
      <c r="I43" s="31" t="n"/>
      <c r="J43" s="31" t="n"/>
      <c r="K43" s="31" t="n"/>
      <c r="L43" s="31" t="n"/>
      <c r="M43" s="38" t="n"/>
    </row>
    <row r="44">
      <c r="A44" s="28" t="n">
        <v>41</v>
      </c>
      <c r="B44" s="28" t="inlineStr">
        <is>
          <t>Profile</t>
        </is>
      </c>
      <c r="C44" s="28" t="inlineStr">
        <is>
          <t>Add / edit family member</t>
        </is>
      </c>
      <c r="D44" s="28" t="inlineStr">
        <is>
          <t>/dependants/edit</t>
        </is>
      </c>
      <c r="E44" s="31" t="n"/>
      <c r="F44" s="31" t="n"/>
      <c r="G44" s="31" t="n"/>
      <c r="H44" s="31" t="n"/>
      <c r="I44" s="31" t="n"/>
      <c r="J44" s="31" t="n"/>
      <c r="K44" s="31" t="n"/>
      <c r="L44" s="31" t="n"/>
      <c r="M44" s="38" t="n"/>
    </row>
    <row r="45">
      <c r="A45" s="28" t="n">
        <v>42</v>
      </c>
      <c r="B45" s="28" t="inlineStr">
        <is>
          <t>Insurance</t>
        </is>
      </c>
      <c r="C45" s="28" t="inlineStr">
        <is>
          <t>Insurance list</t>
        </is>
      </c>
      <c r="D45" s="28" t="inlineStr">
        <is>
          <t>/insurance</t>
        </is>
      </c>
      <c r="E45" s="31" t="n"/>
      <c r="F45" s="31" t="n"/>
      <c r="G45" s="31" t="n"/>
      <c r="H45" s="31" t="n"/>
      <c r="I45" s="31" t="n"/>
      <c r="J45" s="31" t="n"/>
      <c r="K45" s="31" t="n"/>
      <c r="L45" s="31" t="n"/>
      <c r="M45" s="38" t="n"/>
    </row>
    <row r="46">
      <c r="A46" s="28" t="n">
        <v>43</v>
      </c>
      <c r="B46" s="28" t="inlineStr">
        <is>
          <t>Insurance</t>
        </is>
      </c>
      <c r="C46" s="28" t="inlineStr">
        <is>
          <t>Add policy</t>
        </is>
      </c>
      <c r="D46" s="28" t="inlineStr">
        <is>
          <t>/insurance/add</t>
        </is>
      </c>
      <c r="E46" s="31" t="n"/>
      <c r="F46" s="31" t="n"/>
      <c r="G46" s="31" t="n"/>
      <c r="H46" s="31" t="n"/>
      <c r="I46" s="31" t="n"/>
      <c r="J46" s="31" t="n"/>
      <c r="K46" s="31" t="n"/>
      <c r="L46" s="31" t="n"/>
      <c r="M46" s="38" t="n"/>
    </row>
    <row r="47">
      <c r="A47" s="28" t="n">
        <v>44</v>
      </c>
      <c r="B47" s="28" t="inlineStr">
        <is>
          <t>Insurance</t>
        </is>
      </c>
      <c r="C47" s="28" t="inlineStr">
        <is>
          <t>Policy detail</t>
        </is>
      </c>
      <c r="D47" s="28" t="inlineStr">
        <is>
          <t>/insurance/:id</t>
        </is>
      </c>
      <c r="E47" s="31" t="n"/>
      <c r="F47" s="31" t="n"/>
      <c r="G47" s="31" t="n"/>
      <c r="H47" s="31" t="n"/>
      <c r="I47" s="31" t="n"/>
      <c r="J47" s="31" t="n"/>
      <c r="K47" s="31" t="n"/>
      <c r="L47" s="31" t="n"/>
      <c r="M47" s="38" t="n"/>
    </row>
    <row r="48">
      <c r="A48" s="28" t="n">
        <v>45</v>
      </c>
      <c r="B48" s="28" t="inlineStr">
        <is>
          <t>Support</t>
        </is>
      </c>
      <c r="C48" s="28" t="inlineStr">
        <is>
          <t>Help &amp; support</t>
        </is>
      </c>
      <c r="D48" s="28" t="inlineStr">
        <is>
          <t>/help, /support</t>
        </is>
      </c>
      <c r="E48" s="31" t="n"/>
      <c r="F48" s="31" t="n"/>
      <c r="G48" s="31" t="n"/>
      <c r="H48" s="31" t="n"/>
      <c r="I48" s="31" t="n"/>
      <c r="J48" s="31" t="n"/>
      <c r="K48" s="31" t="n"/>
      <c r="L48" s="31" t="n"/>
      <c r="M48" s="38" t="n"/>
    </row>
    <row r="49">
      <c r="A49" s="28" t="n">
        <v>46</v>
      </c>
      <c r="B49" s="28" t="inlineStr">
        <is>
          <t>Support</t>
        </is>
      </c>
      <c r="C49" s="28" t="inlineStr">
        <is>
          <t>FAQ</t>
        </is>
      </c>
      <c r="D49" s="28" t="inlineStr">
        <is>
          <t>/faq</t>
        </is>
      </c>
      <c r="E49" s="31" t="n"/>
      <c r="F49" s="31" t="n"/>
      <c r="G49" s="31" t="n"/>
      <c r="H49" s="31" t="n"/>
      <c r="I49" s="31" t="n"/>
      <c r="J49" s="31" t="n"/>
      <c r="K49" s="31" t="n"/>
      <c r="L49" s="31" t="n"/>
      <c r="M49" s="38" t="n"/>
    </row>
    <row r="50">
      <c r="A50" s="28" t="n">
        <v>47</v>
      </c>
      <c r="B50" s="28" t="inlineStr">
        <is>
          <t>Support</t>
        </is>
      </c>
      <c r="C50" s="28" t="inlineStr">
        <is>
          <t>Legal document</t>
        </is>
      </c>
      <c r="D50" s="28" t="inlineStr">
        <is>
          <t>/legal/:slug</t>
        </is>
      </c>
      <c r="E50" s="31" t="n"/>
      <c r="F50" s="31" t="n"/>
      <c r="G50" s="31" t="n"/>
      <c r="H50" s="31" t="n"/>
      <c r="I50" s="31" t="n"/>
      <c r="J50" s="31" t="n"/>
      <c r="K50" s="31" t="n"/>
      <c r="L50" s="31" t="n"/>
      <c r="M50" s="38" t="n"/>
    </row>
    <row r="51">
      <c r="A51" s="28" t="n">
        <v>48</v>
      </c>
      <c r="B51" s="28" t="inlineStr">
        <is>
          <t>Support</t>
        </is>
      </c>
      <c r="C51" s="28" t="inlineStr">
        <is>
          <t>Support tickets</t>
        </is>
      </c>
      <c r="D51" s="28" t="inlineStr">
        <is>
          <t>/support/tickets</t>
        </is>
      </c>
      <c r="E51" s="31" t="n"/>
      <c r="F51" s="31" t="n"/>
      <c r="G51" s="31" t="n"/>
      <c r="H51" s="31" t="n"/>
      <c r="I51" s="31" t="n"/>
      <c r="J51" s="31" t="n"/>
      <c r="K51" s="31" t="n"/>
      <c r="L51" s="31" t="n"/>
      <c r="M51" s="38" t="n"/>
    </row>
    <row r="52">
      <c r="A52" s="28" t="n">
        <v>49</v>
      </c>
      <c r="B52" s="28" t="inlineStr">
        <is>
          <t>Support</t>
        </is>
      </c>
      <c r="C52" s="28" t="inlineStr">
        <is>
          <t>Ticket detail</t>
        </is>
      </c>
      <c r="D52" s="28" t="inlineStr">
        <is>
          <t>/support/tickets/:id</t>
        </is>
      </c>
      <c r="E52" s="31" t="n"/>
      <c r="F52" s="31" t="n"/>
      <c r="G52" s="31" t="n"/>
      <c r="H52" s="31" t="n"/>
      <c r="I52" s="31" t="n"/>
      <c r="J52" s="31" t="n"/>
      <c r="K52" s="31" t="n"/>
      <c r="L52" s="31" t="n"/>
      <c r="M52" s="38" t="n"/>
    </row>
    <row r="53">
      <c r="A53" s="28" t="n">
        <v>50</v>
      </c>
      <c r="B53" s="28" t="inlineStr">
        <is>
          <t>App</t>
        </is>
      </c>
      <c r="C53" s="28" t="inlineStr">
        <is>
          <t>Splash</t>
        </is>
      </c>
      <c r="D53" s="28" t="inlineStr">
        <is>
          <t>/splash</t>
        </is>
      </c>
      <c r="E53" s="31" t="n"/>
      <c r="F53" s="31" t="n"/>
      <c r="G53" s="31" t="n"/>
      <c r="H53" s="31" t="n"/>
      <c r="I53" s="31" t="n"/>
      <c r="J53" s="31" t="n"/>
      <c r="K53" s="31" t="n"/>
      <c r="L53" s="31" t="n"/>
      <c r="M53" s="38" t="n"/>
    </row>
    <row r="54">
      <c r="A54" s="28" t="n">
        <v>51</v>
      </c>
      <c r="B54" s="28" t="inlineStr">
        <is>
          <t>App</t>
        </is>
      </c>
      <c r="C54" s="28" t="inlineStr">
        <is>
          <t>Not found</t>
        </is>
      </c>
      <c r="D54" s="28" t="inlineStr">
        <is>
          <t>/notfound</t>
        </is>
      </c>
      <c r="E54" s="31" t="n"/>
      <c r="F54" s="31" t="n"/>
      <c r="G54" s="31" t="n"/>
      <c r="H54" s="31" t="n"/>
      <c r="I54" s="31" t="n"/>
      <c r="J54" s="31" t="n"/>
      <c r="K54" s="31" t="n"/>
      <c r="L54" s="31" t="n"/>
      <c r="M54" s="38" t="n"/>
    </row>
    <row r="55">
      <c r="C55" s="14" t="inlineStr">
        <is>
          <t>Checked (of screens × 8)</t>
        </is>
      </c>
      <c r="D55" s="14">
        <f>COUNTA(E4:L54)&amp;" of "&amp;ROWS(E4:L54)*COLUMNS(E4:L54)</f>
        <v/>
      </c>
    </row>
    <row r="56">
      <c r="C56" s="14" t="inlineStr">
        <is>
          <t>Failures</t>
        </is>
      </c>
      <c r="D56" s="39">
        <f>COUNTIF(E4:L54,"Fail")</f>
        <v/>
      </c>
    </row>
  </sheetData>
  <conditionalFormatting sqref="E4:L54">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dataValidations count="1">
    <dataValidation sqref="E4:L54" showDropDown="0" showInputMessage="0" showErrorMessage="0" allowBlank="1" type="list">
      <formula1>"Pass,Fail,N/A"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tabSelected="0" workbookViewId="0">
      <pane ySplit="3" topLeftCell="A4" activePane="bottomLeft" state="frozen"/>
      <selection pane="bottomLeft" activeCell="A1" sqref="A1"/>
    </sheetView>
  </sheetViews>
  <sheetFormatPr baseColWidth="8" defaultRowHeight="15"/>
  <cols>
    <col width="10" customWidth="1" min="1" max="1"/>
    <col width="36" customWidth="1" min="2" max="2"/>
    <col width="20" customWidth="1" min="3" max="3"/>
    <col width="24" customWidth="1" min="4" max="4"/>
    <col width="36" customWidth="1" min="5" max="5"/>
    <col width="22" customWidth="1" min="6" max="6"/>
    <col width="12" customWidth="1" min="7" max="7"/>
    <col width="12" customWidth="1" min="8" max="8"/>
    <col width="12" customWidth="1" min="9" max="9"/>
    <col width="12" customWidth="1" min="10" max="10"/>
    <col width="30" customWidth="1" min="11" max="11"/>
  </cols>
  <sheetData>
    <row r="1">
      <c r="A1" s="3" t="inlineStr">
        <is>
          <t>Device matrix — run the E2E journeys on every row; run the full checklist on at least one Android and one iOS row</t>
        </is>
      </c>
    </row>
    <row r="2">
      <c r="A2" s="2" t="inlineStr">
        <is>
          <t>Device classes are a recommendation for an India launch; replace the examples with the handsets you actually have.</t>
        </is>
      </c>
    </row>
    <row r="3" ht="30" customHeight="1">
      <c r="A3" s="15" t="inlineStr">
        <is>
          <t>Platform</t>
        </is>
      </c>
      <c r="B3" s="15" t="inlineStr">
        <is>
          <t>Device class (example)</t>
        </is>
      </c>
      <c r="C3" s="15" t="inlineStr">
        <is>
          <t>OS version</t>
        </is>
      </c>
      <c r="D3" s="15" t="inlineStr">
        <is>
          <t>Screen</t>
        </is>
      </c>
      <c r="E3" s="15" t="inlineStr">
        <is>
          <t>Why it is in the matrix</t>
        </is>
      </c>
      <c r="F3" s="15" t="inlineStr">
        <is>
          <t>Actual device used</t>
        </is>
      </c>
      <c r="G3" s="15" t="inlineStr">
        <is>
          <t>E2E journeys</t>
        </is>
      </c>
      <c r="H3" s="15" t="inlineStr">
        <is>
          <t>Full checklist</t>
        </is>
      </c>
      <c r="I3" s="15" t="inlineStr">
        <is>
          <t>Tester</t>
        </is>
      </c>
      <c r="J3" s="15" t="inlineStr">
        <is>
          <t>Date</t>
        </is>
      </c>
      <c r="K3" s="15" t="inlineStr">
        <is>
          <t>Notes</t>
        </is>
      </c>
    </row>
    <row r="4" ht="30" customHeight="1">
      <c r="A4" s="28" t="inlineStr">
        <is>
          <t>Android</t>
        </is>
      </c>
      <c r="B4" s="28" t="inlineStr">
        <is>
          <t>Small / low-end phone (e.g. Redmi A-series, Galaxy A0x)</t>
        </is>
      </c>
      <c r="C4" s="28" t="inlineStr">
        <is>
          <t>Lowest supported Android</t>
        </is>
      </c>
      <c r="D4" s="28" t="inlineStr">
        <is>
          <t>~360 x 640 dp, 2–3 GB RAM</t>
        </is>
      </c>
      <c r="E4" s="28" t="inlineStr">
        <is>
          <t>Minimum OS, small layout, low memory</t>
        </is>
      </c>
      <c r="F4" s="32" t="n"/>
      <c r="G4" s="32" t="n"/>
      <c r="H4" s="32" t="n"/>
      <c r="I4" s="32" t="n"/>
      <c r="J4" s="33" t="n"/>
      <c r="K4" s="32" t="n"/>
    </row>
    <row r="5" ht="30" customHeight="1">
      <c r="A5" s="28" t="inlineStr">
        <is>
          <t>Android</t>
        </is>
      </c>
      <c r="B5" s="28" t="inlineStr">
        <is>
          <t>Mid-range phone (e.g. Redmi Note, Galaxy A/M series)</t>
        </is>
      </c>
      <c r="C5" s="28" t="inlineStr">
        <is>
          <t>Android 12–13</t>
        </is>
      </c>
      <c r="D5" s="28" t="inlineStr">
        <is>
          <t>~393 x 873 dp</t>
        </is>
      </c>
      <c r="E5" s="28" t="inlineStr">
        <is>
          <t>Most common device class in India</t>
        </is>
      </c>
      <c r="F5" s="32" t="n"/>
      <c r="G5" s="32" t="n"/>
      <c r="H5" s="32" t="n"/>
      <c r="I5" s="32" t="n"/>
      <c r="J5" s="33" t="n"/>
      <c r="K5" s="32" t="n"/>
    </row>
    <row r="6" ht="17" customHeight="1">
      <c r="A6" s="28" t="inlineStr">
        <is>
          <t>Android</t>
        </is>
      </c>
      <c r="B6" s="28" t="inlineStr">
        <is>
          <t>Samsung flagship (One UI)</t>
        </is>
      </c>
      <c r="C6" s="28" t="inlineStr">
        <is>
          <t>Android 14–15</t>
        </is>
      </c>
      <c r="D6" s="28" t="inlineStr">
        <is>
          <t>~412 x 915 dp</t>
        </is>
      </c>
      <c r="E6" s="28" t="inlineStr">
        <is>
          <t>One UI behaviour, edge-to-edge</t>
        </is>
      </c>
      <c r="F6" s="32" t="n"/>
      <c r="G6" s="32" t="n"/>
      <c r="H6" s="32" t="n"/>
      <c r="I6" s="32" t="n"/>
      <c r="J6" s="33" t="n"/>
      <c r="K6" s="32" t="n"/>
    </row>
    <row r="7" ht="30" customHeight="1">
      <c r="A7" s="28" t="inlineStr">
        <is>
          <t>Android</t>
        </is>
      </c>
      <c r="B7" s="28" t="inlineStr">
        <is>
          <t>Pixel</t>
        </is>
      </c>
      <c r="C7" s="28" t="inlineStr">
        <is>
          <t>Latest Android</t>
        </is>
      </c>
      <c r="D7" s="28" t="inlineStr">
        <is>
          <t>~412 x 915 dp</t>
        </is>
      </c>
      <c r="E7" s="28" t="inlineStr">
        <is>
          <t>Reference Android, predictive back, 16 KB pages</t>
        </is>
      </c>
      <c r="F7" s="32" t="n"/>
      <c r="G7" s="32" t="n"/>
      <c r="H7" s="32" t="n"/>
      <c r="I7" s="32" t="n"/>
      <c r="J7" s="33" t="n"/>
      <c r="K7" s="32" t="n"/>
    </row>
    <row r="8" ht="30" customHeight="1">
      <c r="A8" s="28" t="inlineStr">
        <is>
          <t>Android</t>
        </is>
      </c>
      <c r="B8" s="28" t="inlineStr">
        <is>
          <t>Oppo / Vivo / Realme</t>
        </is>
      </c>
      <c r="C8" s="28" t="inlineStr">
        <is>
          <t>Android 13–14</t>
        </is>
      </c>
      <c r="D8" s="28" t="inlineStr">
        <is>
          <t>~360–412 dp wide</t>
        </is>
      </c>
      <c r="E8" s="28" t="inlineStr">
        <is>
          <t>Aggressive battery managers, push delivery</t>
        </is>
      </c>
      <c r="F8" s="32" t="n"/>
      <c r="G8" s="32" t="n"/>
      <c r="H8" s="32" t="n"/>
      <c r="I8" s="32" t="n"/>
      <c r="J8" s="33" t="n"/>
      <c r="K8" s="32" t="n"/>
    </row>
    <row r="9" ht="17" customHeight="1">
      <c r="A9" s="28" t="inlineStr">
        <is>
          <t>Android</t>
        </is>
      </c>
      <c r="B9" s="28" t="inlineStr">
        <is>
          <t>Tablet (only if distributed to tablets)</t>
        </is>
      </c>
      <c r="C9" s="28" t="inlineStr">
        <is>
          <t>Android 13+</t>
        </is>
      </c>
      <c r="D9" s="28" t="inlineStr">
        <is>
          <t>~800 x 1280 dp</t>
        </is>
      </c>
      <c r="E9" s="28" t="inlineStr">
        <is>
          <t>Large layout</t>
        </is>
      </c>
      <c r="F9" s="32" t="n"/>
      <c r="G9" s="32" t="n"/>
      <c r="H9" s="32" t="n"/>
      <c r="I9" s="32" t="n"/>
      <c r="J9" s="33" t="n"/>
      <c r="K9" s="32" t="n"/>
    </row>
    <row r="10" ht="17" customHeight="1">
      <c r="A10" s="28" t="inlineStr">
        <is>
          <t>iOS</t>
        </is>
      </c>
      <c r="B10" s="28" t="inlineStr">
        <is>
          <t>iPhone SE (2nd/3rd gen)</t>
        </is>
      </c>
      <c r="C10" s="28" t="inlineStr">
        <is>
          <t>Lowest supported iOS</t>
        </is>
      </c>
      <c r="D10" s="28" t="inlineStr">
        <is>
          <t>375 x 667 pt</t>
        </is>
      </c>
      <c r="E10" s="28" t="inlineStr">
        <is>
          <t>Smallest iOS layout, home button</t>
        </is>
      </c>
      <c r="F10" s="32" t="n"/>
      <c r="G10" s="32" t="n"/>
      <c r="H10" s="32" t="n"/>
      <c r="I10" s="32" t="n"/>
      <c r="J10" s="33" t="n"/>
      <c r="K10" s="32" t="n"/>
    </row>
    <row r="11" ht="17" customHeight="1">
      <c r="A11" s="28" t="inlineStr">
        <is>
          <t>iOS</t>
        </is>
      </c>
      <c r="B11" s="28" t="inlineStr">
        <is>
          <t>iPhone 13 / 14</t>
        </is>
      </c>
      <c r="C11" s="28" t="inlineStr">
        <is>
          <t>iOS 17–18</t>
        </is>
      </c>
      <c r="D11" s="28" t="inlineStr">
        <is>
          <t>390 x 844 pt</t>
        </is>
      </c>
      <c r="E11" s="28" t="inlineStr">
        <is>
          <t>Matches the design base size</t>
        </is>
      </c>
      <c r="F11" s="32" t="n"/>
      <c r="G11" s="32" t="n"/>
      <c r="H11" s="32" t="n"/>
      <c r="I11" s="32" t="n"/>
      <c r="J11" s="33" t="n"/>
      <c r="K11" s="32" t="n"/>
    </row>
    <row r="12" ht="17" customHeight="1">
      <c r="A12" s="28" t="inlineStr">
        <is>
          <t>iOS</t>
        </is>
      </c>
      <c r="B12" s="28" t="inlineStr">
        <is>
          <t>iPhone 15/16 Pro Max</t>
        </is>
      </c>
      <c r="C12" s="28" t="inlineStr">
        <is>
          <t>Latest iOS</t>
        </is>
      </c>
      <c r="D12" s="28" t="inlineStr">
        <is>
          <t>430 x 932 pt</t>
        </is>
      </c>
      <c r="E12" s="28" t="inlineStr">
        <is>
          <t>Largest phone, Dynamic Island</t>
        </is>
      </c>
      <c r="F12" s="32" t="n"/>
      <c r="G12" s="32" t="n"/>
      <c r="H12" s="32" t="n"/>
      <c r="I12" s="32" t="n"/>
      <c r="J12" s="33" t="n"/>
      <c r="K12" s="32" t="n"/>
    </row>
    <row r="13" ht="17" customHeight="1">
      <c r="A13" s="28" t="inlineStr">
        <is>
          <t>iOS</t>
        </is>
      </c>
      <c r="B13" s="28" t="inlineStr">
        <is>
          <t>iPad (only if distributed to iPad)</t>
        </is>
      </c>
      <c r="C13" s="28" t="inlineStr">
        <is>
          <t>Latest iPadOS</t>
        </is>
      </c>
      <c r="D13" s="28" t="inlineStr">
        <is>
          <t>820 x 1180 pt</t>
        </is>
      </c>
      <c r="E13" s="28" t="inlineStr">
        <is>
          <t>Large layout / compatibility mode</t>
        </is>
      </c>
      <c r="F13" s="32" t="n"/>
      <c r="G13" s="32" t="n"/>
      <c r="H13" s="32" t="n"/>
      <c r="I13" s="32" t="n"/>
      <c r="J13" s="33" t="n"/>
      <c r="K13" s="32" t="n"/>
    </row>
  </sheetData>
  <conditionalFormatting sqref="G4:H33">
    <cfRule type="cellIs" priority="1" operator="equal" dxfId="3">
      <formula>"Pass"</formula>
    </cfRule>
    <cfRule type="cellIs" priority="2" operator="equal" dxfId="4">
      <formula>"Fail"</formula>
    </cfRule>
    <cfRule type="cellIs" priority="3" operator="equal" dxfId="5">
      <formula>"Blocked"</formula>
    </cfRule>
    <cfRule type="cellIs" priority="4" operator="equal" dxfId="6">
      <formula>"N/A"</formula>
    </cfRule>
  </conditionalFormatting>
  <dataValidations count="1">
    <dataValidation sqref="G4:H33" showDropDown="0" showInputMessage="0" showErrorMessage="0" allowBlank="1" type="list">
      <formula1>"Not Run,Pass,Fail,Blocked,N/A"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3"/>
  <sheetViews>
    <sheetView tabSelected="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34" customWidth="1" min="3" max="3"/>
    <col width="11" customWidth="1" min="4" max="4"/>
    <col width="22" customWidth="1" min="5" max="5"/>
    <col width="44" customWidth="1" min="6" max="6"/>
    <col width="34" customWidth="1" min="7" max="7"/>
    <col width="34" customWidth="1" min="8" max="8"/>
    <col width="10" customWidth="1" min="9" max="9"/>
    <col width="18" customWidth="1" min="10" max="10"/>
    <col width="14" customWidth="1" min="11" max="11"/>
    <col width="13" customWidth="1" min="12" max="12"/>
    <col width="13" customWidth="1" min="13" max="13"/>
    <col width="14" customWidth="1" min="14" max="14"/>
    <col width="12" customWidth="1" min="15" max="15"/>
    <col width="10" customWidth="1" min="16" max="16"/>
  </cols>
  <sheetData>
    <row r="1" ht="30" customHeight="1">
      <c r="A1" s="15" t="inlineStr">
        <is>
          <t>Defect ID</t>
        </is>
      </c>
      <c r="B1" s="15" t="inlineStr">
        <is>
          <t>Test case ID</t>
        </is>
      </c>
      <c r="C1" s="15" t="inlineStr">
        <is>
          <t>Title</t>
        </is>
      </c>
      <c r="D1" s="15" t="inlineStr">
        <is>
          <t>Severity</t>
        </is>
      </c>
      <c r="E1" s="15" t="inlineStr">
        <is>
          <t>Module</t>
        </is>
      </c>
      <c r="F1" s="15" t="inlineStr">
        <is>
          <t>Steps to reproduce</t>
        </is>
      </c>
      <c r="G1" s="15" t="inlineStr">
        <is>
          <t>Expected</t>
        </is>
      </c>
      <c r="H1" s="15" t="inlineStr">
        <is>
          <t>Actual</t>
        </is>
      </c>
      <c r="I1" s="15" t="inlineStr">
        <is>
          <t>Build</t>
        </is>
      </c>
      <c r="J1" s="15" t="inlineStr">
        <is>
          <t>Device / OS</t>
        </is>
      </c>
      <c r="K1" s="15" t="inlineStr">
        <is>
          <t>Reported by</t>
        </is>
      </c>
      <c r="L1" s="15" t="inlineStr">
        <is>
          <t>Date found</t>
        </is>
      </c>
      <c r="M1" s="15" t="inlineStr">
        <is>
          <t>Status</t>
        </is>
      </c>
      <c r="N1" s="15" t="inlineStr">
        <is>
          <t>Assigned to</t>
        </is>
      </c>
      <c r="O1" s="15" t="inlineStr">
        <is>
          <t>Fixed in build</t>
        </is>
      </c>
      <c r="P1" s="15" t="inlineStr">
        <is>
          <t>Retest</t>
        </is>
      </c>
    </row>
    <row r="2" ht="43" customHeight="1">
      <c r="A2" s="16" t="inlineStr">
        <is>
          <t>EXAMPLE</t>
        </is>
      </c>
      <c r="B2" s="16" t="inlineStr">
        <is>
          <t>PAY-006</t>
        </is>
      </c>
      <c r="C2" s="16" t="inlineStr">
        <is>
          <t>Retry after a declined card opens the old Razorpay order</t>
        </is>
      </c>
      <c r="D2" s="16" t="inlineStr">
        <is>
          <t>Critical</t>
        </is>
      </c>
      <c r="E2" s="16" t="inlineStr">
        <is>
          <t>08 Payment (Razorpay)</t>
        </is>
      </c>
      <c r="F2" s="16" t="inlineStr">
        <is>
          <t>1. Book a slot
2. Pay with the failing test card
3. Tap Retry payment</t>
        </is>
      </c>
      <c r="G2" s="16" t="inlineStr">
        <is>
          <t>A new order opens with the same deadline.</t>
        </is>
      </c>
      <c r="H2" s="16" t="inlineStr">
        <is>
          <t>The sheet reopens the failed order and shows 'order already attempted'.</t>
        </is>
      </c>
      <c r="I2" s="16" t="inlineStr">
        <is>
          <t>1.0.0+7</t>
        </is>
      </c>
      <c r="J2" s="16" t="inlineStr">
        <is>
          <t>Pixel 8 / Android 15</t>
        </is>
      </c>
      <c r="K2" s="16" t="inlineStr">
        <is>
          <t>A. Tester</t>
        </is>
      </c>
      <c r="L2" s="16" t="inlineStr">
        <is>
          <t>2026-10-06</t>
        </is>
      </c>
      <c r="M2" s="16" t="inlineStr">
        <is>
          <t>Open</t>
        </is>
      </c>
      <c r="N2" s="16" t="inlineStr">
        <is>
          <t>Mobile team</t>
        </is>
      </c>
      <c r="O2" s="16" t="n"/>
      <c r="P2" s="16" t="n"/>
    </row>
    <row r="3">
      <c r="A3" s="2" t="inlineStr">
        <is>
          <t>Delete the EXAMPLE row above before logging real defects. Number them DEF-001, DEF-002 …</t>
        </is>
      </c>
    </row>
    <row r="4">
      <c r="A4" s="28" t="n"/>
      <c r="B4" s="28" t="n"/>
      <c r="C4" s="28" t="n"/>
      <c r="D4" s="28" t="n"/>
      <c r="E4" s="28" t="n"/>
      <c r="F4" s="28" t="n"/>
      <c r="G4" s="28" t="n"/>
      <c r="H4" s="28" t="n"/>
      <c r="I4" s="28" t="n"/>
      <c r="J4" s="28" t="n"/>
      <c r="K4" s="28" t="n"/>
      <c r="L4" s="40" t="n"/>
      <c r="M4" s="28" t="n"/>
      <c r="N4" s="28" t="n"/>
      <c r="O4" s="28" t="n"/>
      <c r="P4" s="28" t="n"/>
    </row>
    <row r="5">
      <c r="A5" s="28" t="n"/>
      <c r="B5" s="28" t="n"/>
      <c r="C5" s="28" t="n"/>
      <c r="D5" s="28" t="n"/>
      <c r="E5" s="28" t="n"/>
      <c r="F5" s="28" t="n"/>
      <c r="G5" s="28" t="n"/>
      <c r="H5" s="28" t="n"/>
      <c r="I5" s="28" t="n"/>
      <c r="J5" s="28" t="n"/>
      <c r="K5" s="28" t="n"/>
      <c r="L5" s="40" t="n"/>
      <c r="M5" s="28" t="n"/>
      <c r="N5" s="28" t="n"/>
      <c r="O5" s="28" t="n"/>
      <c r="P5" s="28" t="n"/>
    </row>
    <row r="6">
      <c r="A6" s="28" t="n"/>
      <c r="B6" s="28" t="n"/>
      <c r="C6" s="28" t="n"/>
      <c r="D6" s="28" t="n"/>
      <c r="E6" s="28" t="n"/>
      <c r="F6" s="28" t="n"/>
      <c r="G6" s="28" t="n"/>
      <c r="H6" s="28" t="n"/>
      <c r="I6" s="28" t="n"/>
      <c r="J6" s="28" t="n"/>
      <c r="K6" s="28" t="n"/>
      <c r="L6" s="40" t="n"/>
      <c r="M6" s="28" t="n"/>
      <c r="N6" s="28" t="n"/>
      <c r="O6" s="28" t="n"/>
      <c r="P6" s="28" t="n"/>
    </row>
    <row r="7">
      <c r="A7" s="28" t="n"/>
      <c r="B7" s="28" t="n"/>
      <c r="C7" s="28" t="n"/>
      <c r="D7" s="28" t="n"/>
      <c r="E7" s="28" t="n"/>
      <c r="F7" s="28" t="n"/>
      <c r="G7" s="28" t="n"/>
      <c r="H7" s="28" t="n"/>
      <c r="I7" s="28" t="n"/>
      <c r="J7" s="28" t="n"/>
      <c r="K7" s="28" t="n"/>
      <c r="L7" s="40" t="n"/>
      <c r="M7" s="28" t="n"/>
      <c r="N7" s="28" t="n"/>
      <c r="O7" s="28" t="n"/>
      <c r="P7" s="28" t="n"/>
    </row>
    <row r="8">
      <c r="A8" s="28" t="n"/>
      <c r="B8" s="28" t="n"/>
      <c r="C8" s="28" t="n"/>
      <c r="D8" s="28" t="n"/>
      <c r="E8" s="28" t="n"/>
      <c r="F8" s="28" t="n"/>
      <c r="G8" s="28" t="n"/>
      <c r="H8" s="28" t="n"/>
      <c r="I8" s="28" t="n"/>
      <c r="J8" s="28" t="n"/>
      <c r="K8" s="28" t="n"/>
      <c r="L8" s="40" t="n"/>
      <c r="M8" s="28" t="n"/>
      <c r="N8" s="28" t="n"/>
      <c r="O8" s="28" t="n"/>
      <c r="P8" s="28" t="n"/>
    </row>
    <row r="9">
      <c r="A9" s="28" t="n"/>
      <c r="B9" s="28" t="n"/>
      <c r="C9" s="28" t="n"/>
      <c r="D9" s="28" t="n"/>
      <c r="E9" s="28" t="n"/>
      <c r="F9" s="28" t="n"/>
      <c r="G9" s="28" t="n"/>
      <c r="H9" s="28" t="n"/>
      <c r="I9" s="28" t="n"/>
      <c r="J9" s="28" t="n"/>
      <c r="K9" s="28" t="n"/>
      <c r="L9" s="40" t="n"/>
      <c r="M9" s="28" t="n"/>
      <c r="N9" s="28" t="n"/>
      <c r="O9" s="28" t="n"/>
      <c r="P9" s="28" t="n"/>
    </row>
    <row r="10">
      <c r="A10" s="28" t="n"/>
      <c r="B10" s="28" t="n"/>
      <c r="C10" s="28" t="n"/>
      <c r="D10" s="28" t="n"/>
      <c r="E10" s="28" t="n"/>
      <c r="F10" s="28" t="n"/>
      <c r="G10" s="28" t="n"/>
      <c r="H10" s="28" t="n"/>
      <c r="I10" s="28" t="n"/>
      <c r="J10" s="28" t="n"/>
      <c r="K10" s="28" t="n"/>
      <c r="L10" s="40" t="n"/>
      <c r="M10" s="28" t="n"/>
      <c r="N10" s="28" t="n"/>
      <c r="O10" s="28" t="n"/>
      <c r="P10" s="28" t="n"/>
    </row>
    <row r="11">
      <c r="A11" s="28" t="n"/>
      <c r="B11" s="28" t="n"/>
      <c r="C11" s="28" t="n"/>
      <c r="D11" s="28" t="n"/>
      <c r="E11" s="28" t="n"/>
      <c r="F11" s="28" t="n"/>
      <c r="G11" s="28" t="n"/>
      <c r="H11" s="28" t="n"/>
      <c r="I11" s="28" t="n"/>
      <c r="J11" s="28" t="n"/>
      <c r="K11" s="28" t="n"/>
      <c r="L11" s="40" t="n"/>
      <c r="M11" s="28" t="n"/>
      <c r="N11" s="28" t="n"/>
      <c r="O11" s="28" t="n"/>
      <c r="P11" s="28" t="n"/>
    </row>
    <row r="12">
      <c r="A12" s="28" t="n"/>
      <c r="B12" s="28" t="n"/>
      <c r="C12" s="28" t="n"/>
      <c r="D12" s="28" t="n"/>
      <c r="E12" s="28" t="n"/>
      <c r="F12" s="28" t="n"/>
      <c r="G12" s="28" t="n"/>
      <c r="H12" s="28" t="n"/>
      <c r="I12" s="28" t="n"/>
      <c r="J12" s="28" t="n"/>
      <c r="K12" s="28" t="n"/>
      <c r="L12" s="40" t="n"/>
      <c r="M12" s="28" t="n"/>
      <c r="N12" s="28" t="n"/>
      <c r="O12" s="28" t="n"/>
      <c r="P12" s="28" t="n"/>
    </row>
    <row r="13">
      <c r="A13" s="28" t="n"/>
      <c r="B13" s="28" t="n"/>
      <c r="C13" s="28" t="n"/>
      <c r="D13" s="28" t="n"/>
      <c r="E13" s="28" t="n"/>
      <c r="F13" s="28" t="n"/>
      <c r="G13" s="28" t="n"/>
      <c r="H13" s="28" t="n"/>
      <c r="I13" s="28" t="n"/>
      <c r="J13" s="28" t="n"/>
      <c r="K13" s="28" t="n"/>
      <c r="L13" s="40" t="n"/>
      <c r="M13" s="28" t="n"/>
      <c r="N13" s="28" t="n"/>
      <c r="O13" s="28" t="n"/>
      <c r="P13" s="28" t="n"/>
    </row>
    <row r="14">
      <c r="A14" s="28" t="n"/>
      <c r="B14" s="28" t="n"/>
      <c r="C14" s="28" t="n"/>
      <c r="D14" s="28" t="n"/>
      <c r="E14" s="28" t="n"/>
      <c r="F14" s="28" t="n"/>
      <c r="G14" s="28" t="n"/>
      <c r="H14" s="28" t="n"/>
      <c r="I14" s="28" t="n"/>
      <c r="J14" s="28" t="n"/>
      <c r="K14" s="28" t="n"/>
      <c r="L14" s="40" t="n"/>
      <c r="M14" s="28" t="n"/>
      <c r="N14" s="28" t="n"/>
      <c r="O14" s="28" t="n"/>
      <c r="P14" s="28" t="n"/>
    </row>
    <row r="15">
      <c r="A15" s="28" t="n"/>
      <c r="B15" s="28" t="n"/>
      <c r="C15" s="28" t="n"/>
      <c r="D15" s="28" t="n"/>
      <c r="E15" s="28" t="n"/>
      <c r="F15" s="28" t="n"/>
      <c r="G15" s="28" t="n"/>
      <c r="H15" s="28" t="n"/>
      <c r="I15" s="28" t="n"/>
      <c r="J15" s="28" t="n"/>
      <c r="K15" s="28" t="n"/>
      <c r="L15" s="40" t="n"/>
      <c r="M15" s="28" t="n"/>
      <c r="N15" s="28" t="n"/>
      <c r="O15" s="28" t="n"/>
      <c r="P15" s="28" t="n"/>
    </row>
    <row r="16">
      <c r="A16" s="28" t="n"/>
      <c r="B16" s="28" t="n"/>
      <c r="C16" s="28" t="n"/>
      <c r="D16" s="28" t="n"/>
      <c r="E16" s="28" t="n"/>
      <c r="F16" s="28" t="n"/>
      <c r="G16" s="28" t="n"/>
      <c r="H16" s="28" t="n"/>
      <c r="I16" s="28" t="n"/>
      <c r="J16" s="28" t="n"/>
      <c r="K16" s="28" t="n"/>
      <c r="L16" s="40" t="n"/>
      <c r="M16" s="28" t="n"/>
      <c r="N16" s="28" t="n"/>
      <c r="O16" s="28" t="n"/>
      <c r="P16" s="28" t="n"/>
    </row>
    <row r="17">
      <c r="A17" s="28" t="n"/>
      <c r="B17" s="28" t="n"/>
      <c r="C17" s="28" t="n"/>
      <c r="D17" s="28" t="n"/>
      <c r="E17" s="28" t="n"/>
      <c r="F17" s="28" t="n"/>
      <c r="G17" s="28" t="n"/>
      <c r="H17" s="28" t="n"/>
      <c r="I17" s="28" t="n"/>
      <c r="J17" s="28" t="n"/>
      <c r="K17" s="28" t="n"/>
      <c r="L17" s="40" t="n"/>
      <c r="M17" s="28" t="n"/>
      <c r="N17" s="28" t="n"/>
      <c r="O17" s="28" t="n"/>
      <c r="P17" s="28" t="n"/>
    </row>
    <row r="18">
      <c r="A18" s="28" t="n"/>
      <c r="B18" s="28" t="n"/>
      <c r="C18" s="28" t="n"/>
      <c r="D18" s="28" t="n"/>
      <c r="E18" s="28" t="n"/>
      <c r="F18" s="28" t="n"/>
      <c r="G18" s="28" t="n"/>
      <c r="H18" s="28" t="n"/>
      <c r="I18" s="28" t="n"/>
      <c r="J18" s="28" t="n"/>
      <c r="K18" s="28" t="n"/>
      <c r="L18" s="40" t="n"/>
      <c r="M18" s="28" t="n"/>
      <c r="N18" s="28" t="n"/>
      <c r="O18" s="28" t="n"/>
      <c r="P18" s="28" t="n"/>
    </row>
    <row r="19">
      <c r="A19" s="28" t="n"/>
      <c r="B19" s="28" t="n"/>
      <c r="C19" s="28" t="n"/>
      <c r="D19" s="28" t="n"/>
      <c r="E19" s="28" t="n"/>
      <c r="F19" s="28" t="n"/>
      <c r="G19" s="28" t="n"/>
      <c r="H19" s="28" t="n"/>
      <c r="I19" s="28" t="n"/>
      <c r="J19" s="28" t="n"/>
      <c r="K19" s="28" t="n"/>
      <c r="L19" s="40" t="n"/>
      <c r="M19" s="28" t="n"/>
      <c r="N19" s="28" t="n"/>
      <c r="O19" s="28" t="n"/>
      <c r="P19" s="28" t="n"/>
    </row>
    <row r="20">
      <c r="A20" s="28" t="n"/>
      <c r="B20" s="28" t="n"/>
      <c r="C20" s="28" t="n"/>
      <c r="D20" s="28" t="n"/>
      <c r="E20" s="28" t="n"/>
      <c r="F20" s="28" t="n"/>
      <c r="G20" s="28" t="n"/>
      <c r="H20" s="28" t="n"/>
      <c r="I20" s="28" t="n"/>
      <c r="J20" s="28" t="n"/>
      <c r="K20" s="28" t="n"/>
      <c r="L20" s="40" t="n"/>
      <c r="M20" s="28" t="n"/>
      <c r="N20" s="28" t="n"/>
      <c r="O20" s="28" t="n"/>
      <c r="P20" s="28" t="n"/>
    </row>
    <row r="21">
      <c r="A21" s="28" t="n"/>
      <c r="B21" s="28" t="n"/>
      <c r="C21" s="28" t="n"/>
      <c r="D21" s="28" t="n"/>
      <c r="E21" s="28" t="n"/>
      <c r="F21" s="28" t="n"/>
      <c r="G21" s="28" t="n"/>
      <c r="H21" s="28" t="n"/>
      <c r="I21" s="28" t="n"/>
      <c r="J21" s="28" t="n"/>
      <c r="K21" s="28" t="n"/>
      <c r="L21" s="40" t="n"/>
      <c r="M21" s="28" t="n"/>
      <c r="N21" s="28" t="n"/>
      <c r="O21" s="28" t="n"/>
      <c r="P21" s="28" t="n"/>
    </row>
    <row r="22">
      <c r="A22" s="28" t="n"/>
      <c r="B22" s="28" t="n"/>
      <c r="C22" s="28" t="n"/>
      <c r="D22" s="28" t="n"/>
      <c r="E22" s="28" t="n"/>
      <c r="F22" s="28" t="n"/>
      <c r="G22" s="28" t="n"/>
      <c r="H22" s="28" t="n"/>
      <c r="I22" s="28" t="n"/>
      <c r="J22" s="28" t="n"/>
      <c r="K22" s="28" t="n"/>
      <c r="L22" s="40" t="n"/>
      <c r="M22" s="28" t="n"/>
      <c r="N22" s="28" t="n"/>
      <c r="O22" s="28" t="n"/>
      <c r="P22" s="28" t="n"/>
    </row>
    <row r="23">
      <c r="A23" s="28" t="n"/>
      <c r="B23" s="28" t="n"/>
      <c r="C23" s="28" t="n"/>
      <c r="D23" s="28" t="n"/>
      <c r="E23" s="28" t="n"/>
      <c r="F23" s="28" t="n"/>
      <c r="G23" s="28" t="n"/>
      <c r="H23" s="28" t="n"/>
      <c r="I23" s="28" t="n"/>
      <c r="J23" s="28" t="n"/>
      <c r="K23" s="28" t="n"/>
      <c r="L23" s="40" t="n"/>
      <c r="M23" s="28" t="n"/>
      <c r="N23" s="28" t="n"/>
      <c r="O23" s="28" t="n"/>
      <c r="P23" s="28" t="n"/>
    </row>
    <row r="24">
      <c r="A24" s="28" t="n"/>
      <c r="B24" s="28" t="n"/>
      <c r="C24" s="28" t="n"/>
      <c r="D24" s="28" t="n"/>
      <c r="E24" s="28" t="n"/>
      <c r="F24" s="28" t="n"/>
      <c r="G24" s="28" t="n"/>
      <c r="H24" s="28" t="n"/>
      <c r="I24" s="28" t="n"/>
      <c r="J24" s="28" t="n"/>
      <c r="K24" s="28" t="n"/>
      <c r="L24" s="40" t="n"/>
      <c r="M24" s="28" t="n"/>
      <c r="N24" s="28" t="n"/>
      <c r="O24" s="28" t="n"/>
      <c r="P24" s="28" t="n"/>
    </row>
    <row r="25">
      <c r="A25" s="28" t="n"/>
      <c r="B25" s="28" t="n"/>
      <c r="C25" s="28" t="n"/>
      <c r="D25" s="28" t="n"/>
      <c r="E25" s="28" t="n"/>
      <c r="F25" s="28" t="n"/>
      <c r="G25" s="28" t="n"/>
      <c r="H25" s="28" t="n"/>
      <c r="I25" s="28" t="n"/>
      <c r="J25" s="28" t="n"/>
      <c r="K25" s="28" t="n"/>
      <c r="L25" s="40" t="n"/>
      <c r="M25" s="28" t="n"/>
      <c r="N25" s="28" t="n"/>
      <c r="O25" s="28" t="n"/>
      <c r="P25" s="28" t="n"/>
    </row>
    <row r="26">
      <c r="A26" s="28" t="n"/>
      <c r="B26" s="28" t="n"/>
      <c r="C26" s="28" t="n"/>
      <c r="D26" s="28" t="n"/>
      <c r="E26" s="28" t="n"/>
      <c r="F26" s="28" t="n"/>
      <c r="G26" s="28" t="n"/>
      <c r="H26" s="28" t="n"/>
      <c r="I26" s="28" t="n"/>
      <c r="J26" s="28" t="n"/>
      <c r="K26" s="28" t="n"/>
      <c r="L26" s="40" t="n"/>
      <c r="M26" s="28" t="n"/>
      <c r="N26" s="28" t="n"/>
      <c r="O26" s="28" t="n"/>
      <c r="P26" s="28" t="n"/>
    </row>
    <row r="27">
      <c r="A27" s="28" t="n"/>
      <c r="B27" s="28" t="n"/>
      <c r="C27" s="28" t="n"/>
      <c r="D27" s="28" t="n"/>
      <c r="E27" s="28" t="n"/>
      <c r="F27" s="28" t="n"/>
      <c r="G27" s="28" t="n"/>
      <c r="H27" s="28" t="n"/>
      <c r="I27" s="28" t="n"/>
      <c r="J27" s="28" t="n"/>
      <c r="K27" s="28" t="n"/>
      <c r="L27" s="40" t="n"/>
      <c r="M27" s="28" t="n"/>
      <c r="N27" s="28" t="n"/>
      <c r="O27" s="28" t="n"/>
      <c r="P27" s="28" t="n"/>
    </row>
    <row r="28">
      <c r="A28" s="28" t="n"/>
      <c r="B28" s="28" t="n"/>
      <c r="C28" s="28" t="n"/>
      <c r="D28" s="28" t="n"/>
      <c r="E28" s="28" t="n"/>
      <c r="F28" s="28" t="n"/>
      <c r="G28" s="28" t="n"/>
      <c r="H28" s="28" t="n"/>
      <c r="I28" s="28" t="n"/>
      <c r="J28" s="28" t="n"/>
      <c r="K28" s="28" t="n"/>
      <c r="L28" s="40" t="n"/>
      <c r="M28" s="28" t="n"/>
      <c r="N28" s="28" t="n"/>
      <c r="O28" s="28" t="n"/>
      <c r="P28" s="28" t="n"/>
    </row>
    <row r="29">
      <c r="A29" s="28" t="n"/>
      <c r="B29" s="28" t="n"/>
      <c r="C29" s="28" t="n"/>
      <c r="D29" s="28" t="n"/>
      <c r="E29" s="28" t="n"/>
      <c r="F29" s="28" t="n"/>
      <c r="G29" s="28" t="n"/>
      <c r="H29" s="28" t="n"/>
      <c r="I29" s="28" t="n"/>
      <c r="J29" s="28" t="n"/>
      <c r="K29" s="28" t="n"/>
      <c r="L29" s="40" t="n"/>
      <c r="M29" s="28" t="n"/>
      <c r="N29" s="28" t="n"/>
      <c r="O29" s="28" t="n"/>
      <c r="P29" s="28" t="n"/>
    </row>
    <row r="30">
      <c r="A30" s="28" t="n"/>
      <c r="B30" s="28" t="n"/>
      <c r="C30" s="28" t="n"/>
      <c r="D30" s="28" t="n"/>
      <c r="E30" s="28" t="n"/>
      <c r="F30" s="28" t="n"/>
      <c r="G30" s="28" t="n"/>
      <c r="H30" s="28" t="n"/>
      <c r="I30" s="28" t="n"/>
      <c r="J30" s="28" t="n"/>
      <c r="K30" s="28" t="n"/>
      <c r="L30" s="40" t="n"/>
      <c r="M30" s="28" t="n"/>
      <c r="N30" s="28" t="n"/>
      <c r="O30" s="28" t="n"/>
      <c r="P30" s="28" t="n"/>
    </row>
    <row r="31">
      <c r="A31" s="28" t="n"/>
      <c r="B31" s="28" t="n"/>
      <c r="C31" s="28" t="n"/>
      <c r="D31" s="28" t="n"/>
      <c r="E31" s="28" t="n"/>
      <c r="F31" s="28" t="n"/>
      <c r="G31" s="28" t="n"/>
      <c r="H31" s="28" t="n"/>
      <c r="I31" s="28" t="n"/>
      <c r="J31" s="28" t="n"/>
      <c r="K31" s="28" t="n"/>
      <c r="L31" s="40" t="n"/>
      <c r="M31" s="28" t="n"/>
      <c r="N31" s="28" t="n"/>
      <c r="O31" s="28" t="n"/>
      <c r="P31" s="28" t="n"/>
    </row>
    <row r="32">
      <c r="A32" s="28" t="n"/>
      <c r="B32" s="28" t="n"/>
      <c r="C32" s="28" t="n"/>
      <c r="D32" s="28" t="n"/>
      <c r="E32" s="28" t="n"/>
      <c r="F32" s="28" t="n"/>
      <c r="G32" s="28" t="n"/>
      <c r="H32" s="28" t="n"/>
      <c r="I32" s="28" t="n"/>
      <c r="J32" s="28" t="n"/>
      <c r="K32" s="28" t="n"/>
      <c r="L32" s="40" t="n"/>
      <c r="M32" s="28" t="n"/>
      <c r="N32" s="28" t="n"/>
      <c r="O32" s="28" t="n"/>
      <c r="P32" s="28" t="n"/>
    </row>
    <row r="33">
      <c r="A33" s="28" t="n"/>
      <c r="B33" s="28" t="n"/>
      <c r="C33" s="28" t="n"/>
      <c r="D33" s="28" t="n"/>
      <c r="E33" s="28" t="n"/>
      <c r="F33" s="28" t="n"/>
      <c r="G33" s="28" t="n"/>
      <c r="H33" s="28" t="n"/>
      <c r="I33" s="28" t="n"/>
      <c r="J33" s="28" t="n"/>
      <c r="K33" s="28" t="n"/>
      <c r="L33" s="40" t="n"/>
      <c r="M33" s="28" t="n"/>
      <c r="N33" s="28" t="n"/>
      <c r="O33" s="28" t="n"/>
      <c r="P33" s="28" t="n"/>
    </row>
    <row r="34">
      <c r="A34" s="28" t="n"/>
      <c r="B34" s="28" t="n"/>
      <c r="C34" s="28" t="n"/>
      <c r="D34" s="28" t="n"/>
      <c r="E34" s="28" t="n"/>
      <c r="F34" s="28" t="n"/>
      <c r="G34" s="28" t="n"/>
      <c r="H34" s="28" t="n"/>
      <c r="I34" s="28" t="n"/>
      <c r="J34" s="28" t="n"/>
      <c r="K34" s="28" t="n"/>
      <c r="L34" s="40" t="n"/>
      <c r="M34" s="28" t="n"/>
      <c r="N34" s="28" t="n"/>
      <c r="O34" s="28" t="n"/>
      <c r="P34" s="28" t="n"/>
    </row>
    <row r="35">
      <c r="A35" s="28" t="n"/>
      <c r="B35" s="28" t="n"/>
      <c r="C35" s="28" t="n"/>
      <c r="D35" s="28" t="n"/>
      <c r="E35" s="28" t="n"/>
      <c r="F35" s="28" t="n"/>
      <c r="G35" s="28" t="n"/>
      <c r="H35" s="28" t="n"/>
      <c r="I35" s="28" t="n"/>
      <c r="J35" s="28" t="n"/>
      <c r="K35" s="28" t="n"/>
      <c r="L35" s="40" t="n"/>
      <c r="M35" s="28" t="n"/>
      <c r="N35" s="28" t="n"/>
      <c r="O35" s="28" t="n"/>
      <c r="P35" s="28" t="n"/>
    </row>
    <row r="36">
      <c r="A36" s="28" t="n"/>
      <c r="B36" s="28" t="n"/>
      <c r="C36" s="28" t="n"/>
      <c r="D36" s="28" t="n"/>
      <c r="E36" s="28" t="n"/>
      <c r="F36" s="28" t="n"/>
      <c r="G36" s="28" t="n"/>
      <c r="H36" s="28" t="n"/>
      <c r="I36" s="28" t="n"/>
      <c r="J36" s="28" t="n"/>
      <c r="K36" s="28" t="n"/>
      <c r="L36" s="40" t="n"/>
      <c r="M36" s="28" t="n"/>
      <c r="N36" s="28" t="n"/>
      <c r="O36" s="28" t="n"/>
      <c r="P36" s="28" t="n"/>
    </row>
    <row r="37">
      <c r="A37" s="28" t="n"/>
      <c r="B37" s="28" t="n"/>
      <c r="C37" s="28" t="n"/>
      <c r="D37" s="28" t="n"/>
      <c r="E37" s="28" t="n"/>
      <c r="F37" s="28" t="n"/>
      <c r="G37" s="28" t="n"/>
      <c r="H37" s="28" t="n"/>
      <c r="I37" s="28" t="n"/>
      <c r="J37" s="28" t="n"/>
      <c r="K37" s="28" t="n"/>
      <c r="L37" s="40" t="n"/>
      <c r="M37" s="28" t="n"/>
      <c r="N37" s="28" t="n"/>
      <c r="O37" s="28" t="n"/>
      <c r="P37" s="28" t="n"/>
    </row>
    <row r="38">
      <c r="A38" s="28" t="n"/>
      <c r="B38" s="28" t="n"/>
      <c r="C38" s="28" t="n"/>
      <c r="D38" s="28" t="n"/>
      <c r="E38" s="28" t="n"/>
      <c r="F38" s="28" t="n"/>
      <c r="G38" s="28" t="n"/>
      <c r="H38" s="28" t="n"/>
      <c r="I38" s="28" t="n"/>
      <c r="J38" s="28" t="n"/>
      <c r="K38" s="28" t="n"/>
      <c r="L38" s="40" t="n"/>
      <c r="M38" s="28" t="n"/>
      <c r="N38" s="28" t="n"/>
      <c r="O38" s="28" t="n"/>
      <c r="P38" s="28" t="n"/>
    </row>
    <row r="39">
      <c r="A39" s="28" t="n"/>
      <c r="B39" s="28" t="n"/>
      <c r="C39" s="28" t="n"/>
      <c r="D39" s="28" t="n"/>
      <c r="E39" s="28" t="n"/>
      <c r="F39" s="28" t="n"/>
      <c r="G39" s="28" t="n"/>
      <c r="H39" s="28" t="n"/>
      <c r="I39" s="28" t="n"/>
      <c r="J39" s="28" t="n"/>
      <c r="K39" s="28" t="n"/>
      <c r="L39" s="40" t="n"/>
      <c r="M39" s="28" t="n"/>
      <c r="N39" s="28" t="n"/>
      <c r="O39" s="28" t="n"/>
      <c r="P39" s="28" t="n"/>
    </row>
    <row r="40">
      <c r="A40" s="28" t="n"/>
      <c r="B40" s="28" t="n"/>
      <c r="C40" s="28" t="n"/>
      <c r="D40" s="28" t="n"/>
      <c r="E40" s="28" t="n"/>
      <c r="F40" s="28" t="n"/>
      <c r="G40" s="28" t="n"/>
      <c r="H40" s="28" t="n"/>
      <c r="I40" s="28" t="n"/>
      <c r="J40" s="28" t="n"/>
      <c r="K40" s="28" t="n"/>
      <c r="L40" s="40" t="n"/>
      <c r="M40" s="28" t="n"/>
      <c r="N40" s="28" t="n"/>
      <c r="O40" s="28" t="n"/>
      <c r="P40" s="28" t="n"/>
    </row>
    <row r="41">
      <c r="A41" s="28" t="n"/>
      <c r="B41" s="28" t="n"/>
      <c r="C41" s="28" t="n"/>
      <c r="D41" s="28" t="n"/>
      <c r="E41" s="28" t="n"/>
      <c r="F41" s="28" t="n"/>
      <c r="G41" s="28" t="n"/>
      <c r="H41" s="28" t="n"/>
      <c r="I41" s="28" t="n"/>
      <c r="J41" s="28" t="n"/>
      <c r="K41" s="28" t="n"/>
      <c r="L41" s="40" t="n"/>
      <c r="M41" s="28" t="n"/>
      <c r="N41" s="28" t="n"/>
      <c r="O41" s="28" t="n"/>
      <c r="P41" s="28" t="n"/>
    </row>
    <row r="42">
      <c r="A42" s="28" t="n"/>
      <c r="B42" s="28" t="n"/>
      <c r="C42" s="28" t="n"/>
      <c r="D42" s="28" t="n"/>
      <c r="E42" s="28" t="n"/>
      <c r="F42" s="28" t="n"/>
      <c r="G42" s="28" t="n"/>
      <c r="H42" s="28" t="n"/>
      <c r="I42" s="28" t="n"/>
      <c r="J42" s="28" t="n"/>
      <c r="K42" s="28" t="n"/>
      <c r="L42" s="40" t="n"/>
      <c r="M42" s="28" t="n"/>
      <c r="N42" s="28" t="n"/>
      <c r="O42" s="28" t="n"/>
      <c r="P42" s="28" t="n"/>
    </row>
    <row r="43">
      <c r="A43" s="28" t="n"/>
      <c r="B43" s="28" t="n"/>
      <c r="C43" s="28" t="n"/>
      <c r="D43" s="28" t="n"/>
      <c r="E43" s="28" t="n"/>
      <c r="F43" s="28" t="n"/>
      <c r="G43" s="28" t="n"/>
      <c r="H43" s="28" t="n"/>
      <c r="I43" s="28" t="n"/>
      <c r="J43" s="28" t="n"/>
      <c r="K43" s="28" t="n"/>
      <c r="L43" s="40" t="n"/>
      <c r="M43" s="28" t="n"/>
      <c r="N43" s="28" t="n"/>
      <c r="O43" s="28" t="n"/>
      <c r="P43" s="28" t="n"/>
    </row>
    <row r="44">
      <c r="A44" s="28" t="n"/>
      <c r="B44" s="28" t="n"/>
      <c r="C44" s="28" t="n"/>
      <c r="D44" s="28" t="n"/>
      <c r="E44" s="28" t="n"/>
      <c r="F44" s="28" t="n"/>
      <c r="G44" s="28" t="n"/>
      <c r="H44" s="28" t="n"/>
      <c r="I44" s="28" t="n"/>
      <c r="J44" s="28" t="n"/>
      <c r="K44" s="28" t="n"/>
      <c r="L44" s="40" t="n"/>
      <c r="M44" s="28" t="n"/>
      <c r="N44" s="28" t="n"/>
      <c r="O44" s="28" t="n"/>
      <c r="P44" s="28" t="n"/>
    </row>
    <row r="45">
      <c r="A45" s="28" t="n"/>
      <c r="B45" s="28" t="n"/>
      <c r="C45" s="28" t="n"/>
      <c r="D45" s="28" t="n"/>
      <c r="E45" s="28" t="n"/>
      <c r="F45" s="28" t="n"/>
      <c r="G45" s="28" t="n"/>
      <c r="H45" s="28" t="n"/>
      <c r="I45" s="28" t="n"/>
      <c r="J45" s="28" t="n"/>
      <c r="K45" s="28" t="n"/>
      <c r="L45" s="40" t="n"/>
      <c r="M45" s="28" t="n"/>
      <c r="N45" s="28" t="n"/>
      <c r="O45" s="28" t="n"/>
      <c r="P45" s="28" t="n"/>
    </row>
    <row r="46">
      <c r="A46" s="28" t="n"/>
      <c r="B46" s="28" t="n"/>
      <c r="C46" s="28" t="n"/>
      <c r="D46" s="28" t="n"/>
      <c r="E46" s="28" t="n"/>
      <c r="F46" s="28" t="n"/>
      <c r="G46" s="28" t="n"/>
      <c r="H46" s="28" t="n"/>
      <c r="I46" s="28" t="n"/>
      <c r="J46" s="28" t="n"/>
      <c r="K46" s="28" t="n"/>
      <c r="L46" s="40" t="n"/>
      <c r="M46" s="28" t="n"/>
      <c r="N46" s="28" t="n"/>
      <c r="O46" s="28" t="n"/>
      <c r="P46" s="28" t="n"/>
    </row>
    <row r="47">
      <c r="A47" s="28" t="n"/>
      <c r="B47" s="28" t="n"/>
      <c r="C47" s="28" t="n"/>
      <c r="D47" s="28" t="n"/>
      <c r="E47" s="28" t="n"/>
      <c r="F47" s="28" t="n"/>
      <c r="G47" s="28" t="n"/>
      <c r="H47" s="28" t="n"/>
      <c r="I47" s="28" t="n"/>
      <c r="J47" s="28" t="n"/>
      <c r="K47" s="28" t="n"/>
      <c r="L47" s="40" t="n"/>
      <c r="M47" s="28" t="n"/>
      <c r="N47" s="28" t="n"/>
      <c r="O47" s="28" t="n"/>
      <c r="P47" s="28" t="n"/>
    </row>
    <row r="48">
      <c r="A48" s="28" t="n"/>
      <c r="B48" s="28" t="n"/>
      <c r="C48" s="28" t="n"/>
      <c r="D48" s="28" t="n"/>
      <c r="E48" s="28" t="n"/>
      <c r="F48" s="28" t="n"/>
      <c r="G48" s="28" t="n"/>
      <c r="H48" s="28" t="n"/>
      <c r="I48" s="28" t="n"/>
      <c r="J48" s="28" t="n"/>
      <c r="K48" s="28" t="n"/>
      <c r="L48" s="40" t="n"/>
      <c r="M48" s="28" t="n"/>
      <c r="N48" s="28" t="n"/>
      <c r="O48" s="28" t="n"/>
      <c r="P48" s="28" t="n"/>
    </row>
    <row r="49">
      <c r="A49" s="28" t="n"/>
      <c r="B49" s="28" t="n"/>
      <c r="C49" s="28" t="n"/>
      <c r="D49" s="28" t="n"/>
      <c r="E49" s="28" t="n"/>
      <c r="F49" s="28" t="n"/>
      <c r="G49" s="28" t="n"/>
      <c r="H49" s="28" t="n"/>
      <c r="I49" s="28" t="n"/>
      <c r="J49" s="28" t="n"/>
      <c r="K49" s="28" t="n"/>
      <c r="L49" s="40" t="n"/>
      <c r="M49" s="28" t="n"/>
      <c r="N49" s="28" t="n"/>
      <c r="O49" s="28" t="n"/>
      <c r="P49" s="28" t="n"/>
    </row>
    <row r="50">
      <c r="A50" s="28" t="n"/>
      <c r="B50" s="28" t="n"/>
      <c r="C50" s="28" t="n"/>
      <c r="D50" s="28" t="n"/>
      <c r="E50" s="28" t="n"/>
      <c r="F50" s="28" t="n"/>
      <c r="G50" s="28" t="n"/>
      <c r="H50" s="28" t="n"/>
      <c r="I50" s="28" t="n"/>
      <c r="J50" s="28" t="n"/>
      <c r="K50" s="28" t="n"/>
      <c r="L50" s="40" t="n"/>
      <c r="M50" s="28" t="n"/>
      <c r="N50" s="28" t="n"/>
      <c r="O50" s="28" t="n"/>
      <c r="P50" s="28" t="n"/>
    </row>
    <row r="51">
      <c r="A51" s="28" t="n"/>
      <c r="B51" s="28" t="n"/>
      <c r="C51" s="28" t="n"/>
      <c r="D51" s="28" t="n"/>
      <c r="E51" s="28" t="n"/>
      <c r="F51" s="28" t="n"/>
      <c r="G51" s="28" t="n"/>
      <c r="H51" s="28" t="n"/>
      <c r="I51" s="28" t="n"/>
      <c r="J51" s="28" t="n"/>
      <c r="K51" s="28" t="n"/>
      <c r="L51" s="40" t="n"/>
      <c r="M51" s="28" t="n"/>
      <c r="N51" s="28" t="n"/>
      <c r="O51" s="28" t="n"/>
      <c r="P51" s="28" t="n"/>
    </row>
    <row r="52">
      <c r="A52" s="28" t="n"/>
      <c r="B52" s="28" t="n"/>
      <c r="C52" s="28" t="n"/>
      <c r="D52" s="28" t="n"/>
      <c r="E52" s="28" t="n"/>
      <c r="F52" s="28" t="n"/>
      <c r="G52" s="28" t="n"/>
      <c r="H52" s="28" t="n"/>
      <c r="I52" s="28" t="n"/>
      <c r="J52" s="28" t="n"/>
      <c r="K52" s="28" t="n"/>
      <c r="L52" s="40" t="n"/>
      <c r="M52" s="28" t="n"/>
      <c r="N52" s="28" t="n"/>
      <c r="O52" s="28" t="n"/>
      <c r="P52" s="28" t="n"/>
    </row>
    <row r="53">
      <c r="A53" s="28" t="n"/>
      <c r="B53" s="28" t="n"/>
      <c r="C53" s="28" t="n"/>
      <c r="D53" s="28" t="n"/>
      <c r="E53" s="28" t="n"/>
      <c r="F53" s="28" t="n"/>
      <c r="G53" s="28" t="n"/>
      <c r="H53" s="28" t="n"/>
      <c r="I53" s="28" t="n"/>
      <c r="J53" s="28" t="n"/>
      <c r="K53" s="28" t="n"/>
      <c r="L53" s="40" t="n"/>
      <c r="M53" s="28" t="n"/>
      <c r="N53" s="28" t="n"/>
      <c r="O53" s="28" t="n"/>
      <c r="P53" s="28" t="n"/>
    </row>
    <row r="54">
      <c r="A54" s="28" t="n"/>
      <c r="B54" s="28" t="n"/>
      <c r="C54" s="28" t="n"/>
      <c r="D54" s="28" t="n"/>
      <c r="E54" s="28" t="n"/>
      <c r="F54" s="28" t="n"/>
      <c r="G54" s="28" t="n"/>
      <c r="H54" s="28" t="n"/>
      <c r="I54" s="28" t="n"/>
      <c r="J54" s="28" t="n"/>
      <c r="K54" s="28" t="n"/>
      <c r="L54" s="40" t="n"/>
      <c r="M54" s="28" t="n"/>
      <c r="N54" s="28" t="n"/>
      <c r="O54" s="28" t="n"/>
      <c r="P54" s="28" t="n"/>
    </row>
    <row r="55">
      <c r="A55" s="28" t="n"/>
      <c r="B55" s="28" t="n"/>
      <c r="C55" s="28" t="n"/>
      <c r="D55" s="28" t="n"/>
      <c r="E55" s="28" t="n"/>
      <c r="F55" s="28" t="n"/>
      <c r="G55" s="28" t="n"/>
      <c r="H55" s="28" t="n"/>
      <c r="I55" s="28" t="n"/>
      <c r="J55" s="28" t="n"/>
      <c r="K55" s="28" t="n"/>
      <c r="L55" s="40" t="n"/>
      <c r="M55" s="28" t="n"/>
      <c r="N55" s="28" t="n"/>
      <c r="O55" s="28" t="n"/>
      <c r="P55" s="28" t="n"/>
    </row>
    <row r="56">
      <c r="A56" s="28" t="n"/>
      <c r="B56" s="28" t="n"/>
      <c r="C56" s="28" t="n"/>
      <c r="D56" s="28" t="n"/>
      <c r="E56" s="28" t="n"/>
      <c r="F56" s="28" t="n"/>
      <c r="G56" s="28" t="n"/>
      <c r="H56" s="28" t="n"/>
      <c r="I56" s="28" t="n"/>
      <c r="J56" s="28" t="n"/>
      <c r="K56" s="28" t="n"/>
      <c r="L56" s="40" t="n"/>
      <c r="M56" s="28" t="n"/>
      <c r="N56" s="28" t="n"/>
      <c r="O56" s="28" t="n"/>
      <c r="P56" s="28" t="n"/>
    </row>
    <row r="57">
      <c r="A57" s="28" t="n"/>
      <c r="B57" s="28" t="n"/>
      <c r="C57" s="28" t="n"/>
      <c r="D57" s="28" t="n"/>
      <c r="E57" s="28" t="n"/>
      <c r="F57" s="28" t="n"/>
      <c r="G57" s="28" t="n"/>
      <c r="H57" s="28" t="n"/>
      <c r="I57" s="28" t="n"/>
      <c r="J57" s="28" t="n"/>
      <c r="K57" s="28" t="n"/>
      <c r="L57" s="40" t="n"/>
      <c r="M57" s="28" t="n"/>
      <c r="N57" s="28" t="n"/>
      <c r="O57" s="28" t="n"/>
      <c r="P57" s="28" t="n"/>
    </row>
    <row r="58">
      <c r="A58" s="28" t="n"/>
      <c r="B58" s="28" t="n"/>
      <c r="C58" s="28" t="n"/>
      <c r="D58" s="28" t="n"/>
      <c r="E58" s="28" t="n"/>
      <c r="F58" s="28" t="n"/>
      <c r="G58" s="28" t="n"/>
      <c r="H58" s="28" t="n"/>
      <c r="I58" s="28" t="n"/>
      <c r="J58" s="28" t="n"/>
      <c r="K58" s="28" t="n"/>
      <c r="L58" s="40" t="n"/>
      <c r="M58" s="28" t="n"/>
      <c r="N58" s="28" t="n"/>
      <c r="O58" s="28" t="n"/>
      <c r="P58" s="28" t="n"/>
    </row>
    <row r="59">
      <c r="A59" s="28" t="n"/>
      <c r="B59" s="28" t="n"/>
      <c r="C59" s="28" t="n"/>
      <c r="D59" s="28" t="n"/>
      <c r="E59" s="28" t="n"/>
      <c r="F59" s="28" t="n"/>
      <c r="G59" s="28" t="n"/>
      <c r="H59" s="28" t="n"/>
      <c r="I59" s="28" t="n"/>
      <c r="J59" s="28" t="n"/>
      <c r="K59" s="28" t="n"/>
      <c r="L59" s="40" t="n"/>
      <c r="M59" s="28" t="n"/>
      <c r="N59" s="28" t="n"/>
      <c r="O59" s="28" t="n"/>
      <c r="P59" s="28" t="n"/>
    </row>
    <row r="60">
      <c r="A60" s="28" t="n"/>
      <c r="B60" s="28" t="n"/>
      <c r="C60" s="28" t="n"/>
      <c r="D60" s="28" t="n"/>
      <c r="E60" s="28" t="n"/>
      <c r="F60" s="28" t="n"/>
      <c r="G60" s="28" t="n"/>
      <c r="H60" s="28" t="n"/>
      <c r="I60" s="28" t="n"/>
      <c r="J60" s="28" t="n"/>
      <c r="K60" s="28" t="n"/>
      <c r="L60" s="40" t="n"/>
      <c r="M60" s="28" t="n"/>
      <c r="N60" s="28" t="n"/>
      <c r="O60" s="28" t="n"/>
      <c r="P60" s="28" t="n"/>
    </row>
    <row r="61">
      <c r="A61" s="28" t="n"/>
      <c r="B61" s="28" t="n"/>
      <c r="C61" s="28" t="n"/>
      <c r="D61" s="28" t="n"/>
      <c r="E61" s="28" t="n"/>
      <c r="F61" s="28" t="n"/>
      <c r="G61" s="28" t="n"/>
      <c r="H61" s="28" t="n"/>
      <c r="I61" s="28" t="n"/>
      <c r="J61" s="28" t="n"/>
      <c r="K61" s="28" t="n"/>
      <c r="L61" s="40" t="n"/>
      <c r="M61" s="28" t="n"/>
      <c r="N61" s="28" t="n"/>
      <c r="O61" s="28" t="n"/>
      <c r="P61" s="28" t="n"/>
    </row>
    <row r="62">
      <c r="A62" s="28" t="n"/>
      <c r="B62" s="28" t="n"/>
      <c r="C62" s="28" t="n"/>
      <c r="D62" s="28" t="n"/>
      <c r="E62" s="28" t="n"/>
      <c r="F62" s="28" t="n"/>
      <c r="G62" s="28" t="n"/>
      <c r="H62" s="28" t="n"/>
      <c r="I62" s="28" t="n"/>
      <c r="J62" s="28" t="n"/>
      <c r="K62" s="28" t="n"/>
      <c r="L62" s="40" t="n"/>
      <c r="M62" s="28" t="n"/>
      <c r="N62" s="28" t="n"/>
      <c r="O62" s="28" t="n"/>
      <c r="P62" s="28" t="n"/>
    </row>
    <row r="63">
      <c r="A63" s="28" t="n"/>
      <c r="B63" s="28" t="n"/>
      <c r="C63" s="28" t="n"/>
      <c r="D63" s="28" t="n"/>
      <c r="E63" s="28" t="n"/>
      <c r="F63" s="28" t="n"/>
      <c r="G63" s="28" t="n"/>
      <c r="H63" s="28" t="n"/>
      <c r="I63" s="28" t="n"/>
      <c r="J63" s="28" t="n"/>
      <c r="K63" s="28" t="n"/>
      <c r="L63" s="40" t="n"/>
      <c r="M63" s="28" t="n"/>
      <c r="N63" s="28" t="n"/>
      <c r="O63" s="28" t="n"/>
      <c r="P63" s="28" t="n"/>
    </row>
    <row r="64">
      <c r="A64" s="28" t="n"/>
      <c r="B64" s="28" t="n"/>
      <c r="C64" s="28" t="n"/>
      <c r="D64" s="28" t="n"/>
      <c r="E64" s="28" t="n"/>
      <c r="F64" s="28" t="n"/>
      <c r="G64" s="28" t="n"/>
      <c r="H64" s="28" t="n"/>
      <c r="I64" s="28" t="n"/>
      <c r="J64" s="28" t="n"/>
      <c r="K64" s="28" t="n"/>
      <c r="L64" s="40" t="n"/>
      <c r="M64" s="28" t="n"/>
      <c r="N64" s="28" t="n"/>
      <c r="O64" s="28" t="n"/>
      <c r="P64" s="28" t="n"/>
    </row>
    <row r="65">
      <c r="A65" s="28" t="n"/>
      <c r="B65" s="28" t="n"/>
      <c r="C65" s="28" t="n"/>
      <c r="D65" s="28" t="n"/>
      <c r="E65" s="28" t="n"/>
      <c r="F65" s="28" t="n"/>
      <c r="G65" s="28" t="n"/>
      <c r="H65" s="28" t="n"/>
      <c r="I65" s="28" t="n"/>
      <c r="J65" s="28" t="n"/>
      <c r="K65" s="28" t="n"/>
      <c r="L65" s="40" t="n"/>
      <c r="M65" s="28" t="n"/>
      <c r="N65" s="28" t="n"/>
      <c r="O65" s="28" t="n"/>
      <c r="P65" s="28" t="n"/>
    </row>
    <row r="66">
      <c r="A66" s="28" t="n"/>
      <c r="B66" s="28" t="n"/>
      <c r="C66" s="28" t="n"/>
      <c r="D66" s="28" t="n"/>
      <c r="E66" s="28" t="n"/>
      <c r="F66" s="28" t="n"/>
      <c r="G66" s="28" t="n"/>
      <c r="H66" s="28" t="n"/>
      <c r="I66" s="28" t="n"/>
      <c r="J66" s="28" t="n"/>
      <c r="K66" s="28" t="n"/>
      <c r="L66" s="40" t="n"/>
      <c r="M66" s="28" t="n"/>
      <c r="N66" s="28" t="n"/>
      <c r="O66" s="28" t="n"/>
      <c r="P66" s="28" t="n"/>
    </row>
    <row r="67">
      <c r="A67" s="28" t="n"/>
      <c r="B67" s="28" t="n"/>
      <c r="C67" s="28" t="n"/>
      <c r="D67" s="28" t="n"/>
      <c r="E67" s="28" t="n"/>
      <c r="F67" s="28" t="n"/>
      <c r="G67" s="28" t="n"/>
      <c r="H67" s="28" t="n"/>
      <c r="I67" s="28" t="n"/>
      <c r="J67" s="28" t="n"/>
      <c r="K67" s="28" t="n"/>
      <c r="L67" s="40" t="n"/>
      <c r="M67" s="28" t="n"/>
      <c r="N67" s="28" t="n"/>
      <c r="O67" s="28" t="n"/>
      <c r="P67" s="28" t="n"/>
    </row>
    <row r="68">
      <c r="A68" s="28" t="n"/>
      <c r="B68" s="28" t="n"/>
      <c r="C68" s="28" t="n"/>
      <c r="D68" s="28" t="n"/>
      <c r="E68" s="28" t="n"/>
      <c r="F68" s="28" t="n"/>
      <c r="G68" s="28" t="n"/>
      <c r="H68" s="28" t="n"/>
      <c r="I68" s="28" t="n"/>
      <c r="J68" s="28" t="n"/>
      <c r="K68" s="28" t="n"/>
      <c r="L68" s="40" t="n"/>
      <c r="M68" s="28" t="n"/>
      <c r="N68" s="28" t="n"/>
      <c r="O68" s="28" t="n"/>
      <c r="P68" s="28" t="n"/>
    </row>
    <row r="69">
      <c r="A69" s="28" t="n"/>
      <c r="B69" s="28" t="n"/>
      <c r="C69" s="28" t="n"/>
      <c r="D69" s="28" t="n"/>
      <c r="E69" s="28" t="n"/>
      <c r="F69" s="28" t="n"/>
      <c r="G69" s="28" t="n"/>
      <c r="H69" s="28" t="n"/>
      <c r="I69" s="28" t="n"/>
      <c r="J69" s="28" t="n"/>
      <c r="K69" s="28" t="n"/>
      <c r="L69" s="40" t="n"/>
      <c r="M69" s="28" t="n"/>
      <c r="N69" s="28" t="n"/>
      <c r="O69" s="28" t="n"/>
      <c r="P69" s="28" t="n"/>
    </row>
    <row r="70">
      <c r="A70" s="28" t="n"/>
      <c r="B70" s="28" t="n"/>
      <c r="C70" s="28" t="n"/>
      <c r="D70" s="28" t="n"/>
      <c r="E70" s="28" t="n"/>
      <c r="F70" s="28" t="n"/>
      <c r="G70" s="28" t="n"/>
      <c r="H70" s="28" t="n"/>
      <c r="I70" s="28" t="n"/>
      <c r="J70" s="28" t="n"/>
      <c r="K70" s="28" t="n"/>
      <c r="L70" s="40" t="n"/>
      <c r="M70" s="28" t="n"/>
      <c r="N70" s="28" t="n"/>
      <c r="O70" s="28" t="n"/>
      <c r="P70" s="28" t="n"/>
    </row>
    <row r="71">
      <c r="A71" s="28" t="n"/>
      <c r="B71" s="28" t="n"/>
      <c r="C71" s="28" t="n"/>
      <c r="D71" s="28" t="n"/>
      <c r="E71" s="28" t="n"/>
      <c r="F71" s="28" t="n"/>
      <c r="G71" s="28" t="n"/>
      <c r="H71" s="28" t="n"/>
      <c r="I71" s="28" t="n"/>
      <c r="J71" s="28" t="n"/>
      <c r="K71" s="28" t="n"/>
      <c r="L71" s="40" t="n"/>
      <c r="M71" s="28" t="n"/>
      <c r="N71" s="28" t="n"/>
      <c r="O71" s="28" t="n"/>
      <c r="P71" s="28" t="n"/>
    </row>
    <row r="72">
      <c r="A72" s="28" t="n"/>
      <c r="B72" s="28" t="n"/>
      <c r="C72" s="28" t="n"/>
      <c r="D72" s="28" t="n"/>
      <c r="E72" s="28" t="n"/>
      <c r="F72" s="28" t="n"/>
      <c r="G72" s="28" t="n"/>
      <c r="H72" s="28" t="n"/>
      <c r="I72" s="28" t="n"/>
      <c r="J72" s="28" t="n"/>
      <c r="K72" s="28" t="n"/>
      <c r="L72" s="40" t="n"/>
      <c r="M72" s="28" t="n"/>
      <c r="N72" s="28" t="n"/>
      <c r="O72" s="28" t="n"/>
      <c r="P72" s="28" t="n"/>
    </row>
    <row r="73">
      <c r="A73" s="28" t="n"/>
      <c r="B73" s="28" t="n"/>
      <c r="C73" s="28" t="n"/>
      <c r="D73" s="28" t="n"/>
      <c r="E73" s="28" t="n"/>
      <c r="F73" s="28" t="n"/>
      <c r="G73" s="28" t="n"/>
      <c r="H73" s="28" t="n"/>
      <c r="I73" s="28" t="n"/>
      <c r="J73" s="28" t="n"/>
      <c r="K73" s="28" t="n"/>
      <c r="L73" s="40" t="n"/>
      <c r="M73" s="28" t="n"/>
      <c r="N73" s="28" t="n"/>
      <c r="O73" s="28" t="n"/>
      <c r="P73" s="28" t="n"/>
    </row>
    <row r="74">
      <c r="A74" s="28" t="n"/>
      <c r="B74" s="28" t="n"/>
      <c r="C74" s="28" t="n"/>
      <c r="D74" s="28" t="n"/>
      <c r="E74" s="28" t="n"/>
      <c r="F74" s="28" t="n"/>
      <c r="G74" s="28" t="n"/>
      <c r="H74" s="28" t="n"/>
      <c r="I74" s="28" t="n"/>
      <c r="J74" s="28" t="n"/>
      <c r="K74" s="28" t="n"/>
      <c r="L74" s="40" t="n"/>
      <c r="M74" s="28" t="n"/>
      <c r="N74" s="28" t="n"/>
      <c r="O74" s="28" t="n"/>
      <c r="P74" s="28" t="n"/>
    </row>
    <row r="75">
      <c r="A75" s="28" t="n"/>
      <c r="B75" s="28" t="n"/>
      <c r="C75" s="28" t="n"/>
      <c r="D75" s="28" t="n"/>
      <c r="E75" s="28" t="n"/>
      <c r="F75" s="28" t="n"/>
      <c r="G75" s="28" t="n"/>
      <c r="H75" s="28" t="n"/>
      <c r="I75" s="28" t="n"/>
      <c r="J75" s="28" t="n"/>
      <c r="K75" s="28" t="n"/>
      <c r="L75" s="40" t="n"/>
      <c r="M75" s="28" t="n"/>
      <c r="N75" s="28" t="n"/>
      <c r="O75" s="28" t="n"/>
      <c r="P75" s="28" t="n"/>
    </row>
    <row r="76">
      <c r="A76" s="28" t="n"/>
      <c r="B76" s="28" t="n"/>
      <c r="C76" s="28" t="n"/>
      <c r="D76" s="28" t="n"/>
      <c r="E76" s="28" t="n"/>
      <c r="F76" s="28" t="n"/>
      <c r="G76" s="28" t="n"/>
      <c r="H76" s="28" t="n"/>
      <c r="I76" s="28" t="n"/>
      <c r="J76" s="28" t="n"/>
      <c r="K76" s="28" t="n"/>
      <c r="L76" s="40" t="n"/>
      <c r="M76" s="28" t="n"/>
      <c r="N76" s="28" t="n"/>
      <c r="O76" s="28" t="n"/>
      <c r="P76" s="28" t="n"/>
    </row>
    <row r="77">
      <c r="A77" s="28" t="n"/>
      <c r="B77" s="28" t="n"/>
      <c r="C77" s="28" t="n"/>
      <c r="D77" s="28" t="n"/>
      <c r="E77" s="28" t="n"/>
      <c r="F77" s="28" t="n"/>
      <c r="G77" s="28" t="n"/>
      <c r="H77" s="28" t="n"/>
      <c r="I77" s="28" t="n"/>
      <c r="J77" s="28" t="n"/>
      <c r="K77" s="28" t="n"/>
      <c r="L77" s="40" t="n"/>
      <c r="M77" s="28" t="n"/>
      <c r="N77" s="28" t="n"/>
      <c r="O77" s="28" t="n"/>
      <c r="P77" s="28" t="n"/>
    </row>
    <row r="78">
      <c r="A78" s="28" t="n"/>
      <c r="B78" s="28" t="n"/>
      <c r="C78" s="28" t="n"/>
      <c r="D78" s="28" t="n"/>
      <c r="E78" s="28" t="n"/>
      <c r="F78" s="28" t="n"/>
      <c r="G78" s="28" t="n"/>
      <c r="H78" s="28" t="n"/>
      <c r="I78" s="28" t="n"/>
      <c r="J78" s="28" t="n"/>
      <c r="K78" s="28" t="n"/>
      <c r="L78" s="40" t="n"/>
      <c r="M78" s="28" t="n"/>
      <c r="N78" s="28" t="n"/>
      <c r="O78" s="28" t="n"/>
      <c r="P78" s="28" t="n"/>
    </row>
    <row r="79">
      <c r="A79" s="28" t="n"/>
      <c r="B79" s="28" t="n"/>
      <c r="C79" s="28" t="n"/>
      <c r="D79" s="28" t="n"/>
      <c r="E79" s="28" t="n"/>
      <c r="F79" s="28" t="n"/>
      <c r="G79" s="28" t="n"/>
      <c r="H79" s="28" t="n"/>
      <c r="I79" s="28" t="n"/>
      <c r="J79" s="28" t="n"/>
      <c r="K79" s="28" t="n"/>
      <c r="L79" s="40" t="n"/>
      <c r="M79" s="28" t="n"/>
      <c r="N79" s="28" t="n"/>
      <c r="O79" s="28" t="n"/>
      <c r="P79" s="28" t="n"/>
    </row>
    <row r="80">
      <c r="A80" s="28" t="n"/>
      <c r="B80" s="28" t="n"/>
      <c r="C80" s="28" t="n"/>
      <c r="D80" s="28" t="n"/>
      <c r="E80" s="28" t="n"/>
      <c r="F80" s="28" t="n"/>
      <c r="G80" s="28" t="n"/>
      <c r="H80" s="28" t="n"/>
      <c r="I80" s="28" t="n"/>
      <c r="J80" s="28" t="n"/>
      <c r="K80" s="28" t="n"/>
      <c r="L80" s="40" t="n"/>
      <c r="M80" s="28" t="n"/>
      <c r="N80" s="28" t="n"/>
      <c r="O80" s="28" t="n"/>
      <c r="P80" s="28" t="n"/>
    </row>
    <row r="81">
      <c r="A81" s="28" t="n"/>
      <c r="B81" s="28" t="n"/>
      <c r="C81" s="28" t="n"/>
      <c r="D81" s="28" t="n"/>
      <c r="E81" s="28" t="n"/>
      <c r="F81" s="28" t="n"/>
      <c r="G81" s="28" t="n"/>
      <c r="H81" s="28" t="n"/>
      <c r="I81" s="28" t="n"/>
      <c r="J81" s="28" t="n"/>
      <c r="K81" s="28" t="n"/>
      <c r="L81" s="40" t="n"/>
      <c r="M81" s="28" t="n"/>
      <c r="N81" s="28" t="n"/>
      <c r="O81" s="28" t="n"/>
      <c r="P81" s="28" t="n"/>
    </row>
    <row r="82">
      <c r="A82" s="28" t="n"/>
      <c r="B82" s="28" t="n"/>
      <c r="C82" s="28" t="n"/>
      <c r="D82" s="28" t="n"/>
      <c r="E82" s="28" t="n"/>
      <c r="F82" s="28" t="n"/>
      <c r="G82" s="28" t="n"/>
      <c r="H82" s="28" t="n"/>
      <c r="I82" s="28" t="n"/>
      <c r="J82" s="28" t="n"/>
      <c r="K82" s="28" t="n"/>
      <c r="L82" s="40" t="n"/>
      <c r="M82" s="28" t="n"/>
      <c r="N82" s="28" t="n"/>
      <c r="O82" s="28" t="n"/>
      <c r="P82" s="28" t="n"/>
    </row>
    <row r="83">
      <c r="A83" s="28" t="n"/>
      <c r="B83" s="28" t="n"/>
      <c r="C83" s="28" t="n"/>
      <c r="D83" s="28" t="n"/>
      <c r="E83" s="28" t="n"/>
      <c r="F83" s="28" t="n"/>
      <c r="G83" s="28" t="n"/>
      <c r="H83" s="28" t="n"/>
      <c r="I83" s="28" t="n"/>
      <c r="J83" s="28" t="n"/>
      <c r="K83" s="28" t="n"/>
      <c r="L83" s="40" t="n"/>
      <c r="M83" s="28" t="n"/>
      <c r="N83" s="28" t="n"/>
      <c r="O83" s="28" t="n"/>
      <c r="P83" s="28" t="n"/>
    </row>
    <row r="84">
      <c r="A84" s="28" t="n"/>
      <c r="B84" s="28" t="n"/>
      <c r="C84" s="28" t="n"/>
      <c r="D84" s="28" t="n"/>
      <c r="E84" s="28" t="n"/>
      <c r="F84" s="28" t="n"/>
      <c r="G84" s="28" t="n"/>
      <c r="H84" s="28" t="n"/>
      <c r="I84" s="28" t="n"/>
      <c r="J84" s="28" t="n"/>
      <c r="K84" s="28" t="n"/>
      <c r="L84" s="40" t="n"/>
      <c r="M84" s="28" t="n"/>
      <c r="N84" s="28" t="n"/>
      <c r="O84" s="28" t="n"/>
      <c r="P84" s="28" t="n"/>
    </row>
    <row r="85">
      <c r="A85" s="28" t="n"/>
      <c r="B85" s="28" t="n"/>
      <c r="C85" s="28" t="n"/>
      <c r="D85" s="28" t="n"/>
      <c r="E85" s="28" t="n"/>
      <c r="F85" s="28" t="n"/>
      <c r="G85" s="28" t="n"/>
      <c r="H85" s="28" t="n"/>
      <c r="I85" s="28" t="n"/>
      <c r="J85" s="28" t="n"/>
      <c r="K85" s="28" t="n"/>
      <c r="L85" s="40" t="n"/>
      <c r="M85" s="28" t="n"/>
      <c r="N85" s="28" t="n"/>
      <c r="O85" s="28" t="n"/>
      <c r="P85" s="28" t="n"/>
    </row>
    <row r="86">
      <c r="A86" s="28" t="n"/>
      <c r="B86" s="28" t="n"/>
      <c r="C86" s="28" t="n"/>
      <c r="D86" s="28" t="n"/>
      <c r="E86" s="28" t="n"/>
      <c r="F86" s="28" t="n"/>
      <c r="G86" s="28" t="n"/>
      <c r="H86" s="28" t="n"/>
      <c r="I86" s="28" t="n"/>
      <c r="J86" s="28" t="n"/>
      <c r="K86" s="28" t="n"/>
      <c r="L86" s="40" t="n"/>
      <c r="M86" s="28" t="n"/>
      <c r="N86" s="28" t="n"/>
      <c r="O86" s="28" t="n"/>
      <c r="P86" s="28" t="n"/>
    </row>
    <row r="87">
      <c r="A87" s="28" t="n"/>
      <c r="B87" s="28" t="n"/>
      <c r="C87" s="28" t="n"/>
      <c r="D87" s="28" t="n"/>
      <c r="E87" s="28" t="n"/>
      <c r="F87" s="28" t="n"/>
      <c r="G87" s="28" t="n"/>
      <c r="H87" s="28" t="n"/>
      <c r="I87" s="28" t="n"/>
      <c r="J87" s="28" t="n"/>
      <c r="K87" s="28" t="n"/>
      <c r="L87" s="40" t="n"/>
      <c r="M87" s="28" t="n"/>
      <c r="N87" s="28" t="n"/>
      <c r="O87" s="28" t="n"/>
      <c r="P87" s="28" t="n"/>
    </row>
    <row r="88">
      <c r="A88" s="28" t="n"/>
      <c r="B88" s="28" t="n"/>
      <c r="C88" s="28" t="n"/>
      <c r="D88" s="28" t="n"/>
      <c r="E88" s="28" t="n"/>
      <c r="F88" s="28" t="n"/>
      <c r="G88" s="28" t="n"/>
      <c r="H88" s="28" t="n"/>
      <c r="I88" s="28" t="n"/>
      <c r="J88" s="28" t="n"/>
      <c r="K88" s="28" t="n"/>
      <c r="L88" s="40" t="n"/>
      <c r="M88" s="28" t="n"/>
      <c r="N88" s="28" t="n"/>
      <c r="O88" s="28" t="n"/>
      <c r="P88" s="28" t="n"/>
    </row>
    <row r="89">
      <c r="A89" s="28" t="n"/>
      <c r="B89" s="28" t="n"/>
      <c r="C89" s="28" t="n"/>
      <c r="D89" s="28" t="n"/>
      <c r="E89" s="28" t="n"/>
      <c r="F89" s="28" t="n"/>
      <c r="G89" s="28" t="n"/>
      <c r="H89" s="28" t="n"/>
      <c r="I89" s="28" t="n"/>
      <c r="J89" s="28" t="n"/>
      <c r="K89" s="28" t="n"/>
      <c r="L89" s="40" t="n"/>
      <c r="M89" s="28" t="n"/>
      <c r="N89" s="28" t="n"/>
      <c r="O89" s="28" t="n"/>
      <c r="P89" s="28" t="n"/>
    </row>
    <row r="90">
      <c r="A90" s="28" t="n"/>
      <c r="B90" s="28" t="n"/>
      <c r="C90" s="28" t="n"/>
      <c r="D90" s="28" t="n"/>
      <c r="E90" s="28" t="n"/>
      <c r="F90" s="28" t="n"/>
      <c r="G90" s="28" t="n"/>
      <c r="H90" s="28" t="n"/>
      <c r="I90" s="28" t="n"/>
      <c r="J90" s="28" t="n"/>
      <c r="K90" s="28" t="n"/>
      <c r="L90" s="40" t="n"/>
      <c r="M90" s="28" t="n"/>
      <c r="N90" s="28" t="n"/>
      <c r="O90" s="28" t="n"/>
      <c r="P90" s="28" t="n"/>
    </row>
    <row r="91">
      <c r="A91" s="28" t="n"/>
      <c r="B91" s="28" t="n"/>
      <c r="C91" s="28" t="n"/>
      <c r="D91" s="28" t="n"/>
      <c r="E91" s="28" t="n"/>
      <c r="F91" s="28" t="n"/>
      <c r="G91" s="28" t="n"/>
      <c r="H91" s="28" t="n"/>
      <c r="I91" s="28" t="n"/>
      <c r="J91" s="28" t="n"/>
      <c r="K91" s="28" t="n"/>
      <c r="L91" s="40" t="n"/>
      <c r="M91" s="28" t="n"/>
      <c r="N91" s="28" t="n"/>
      <c r="O91" s="28" t="n"/>
      <c r="P91" s="28" t="n"/>
    </row>
    <row r="92">
      <c r="A92" s="28" t="n"/>
      <c r="B92" s="28" t="n"/>
      <c r="C92" s="28" t="n"/>
      <c r="D92" s="28" t="n"/>
      <c r="E92" s="28" t="n"/>
      <c r="F92" s="28" t="n"/>
      <c r="G92" s="28" t="n"/>
      <c r="H92" s="28" t="n"/>
      <c r="I92" s="28" t="n"/>
      <c r="J92" s="28" t="n"/>
      <c r="K92" s="28" t="n"/>
      <c r="L92" s="40" t="n"/>
      <c r="M92" s="28" t="n"/>
      <c r="N92" s="28" t="n"/>
      <c r="O92" s="28" t="n"/>
      <c r="P92" s="28" t="n"/>
    </row>
    <row r="93">
      <c r="A93" s="28" t="n"/>
      <c r="B93" s="28" t="n"/>
      <c r="C93" s="28" t="n"/>
      <c r="D93" s="28" t="n"/>
      <c r="E93" s="28" t="n"/>
      <c r="F93" s="28" t="n"/>
      <c r="G93" s="28" t="n"/>
      <c r="H93" s="28" t="n"/>
      <c r="I93" s="28" t="n"/>
      <c r="J93" s="28" t="n"/>
      <c r="K93" s="28" t="n"/>
      <c r="L93" s="40" t="n"/>
      <c r="M93" s="28" t="n"/>
      <c r="N93" s="28" t="n"/>
      <c r="O93" s="28" t="n"/>
      <c r="P93" s="28" t="n"/>
    </row>
    <row r="94">
      <c r="A94" s="28" t="n"/>
      <c r="B94" s="28" t="n"/>
      <c r="C94" s="28" t="n"/>
      <c r="D94" s="28" t="n"/>
      <c r="E94" s="28" t="n"/>
      <c r="F94" s="28" t="n"/>
      <c r="G94" s="28" t="n"/>
      <c r="H94" s="28" t="n"/>
      <c r="I94" s="28" t="n"/>
      <c r="J94" s="28" t="n"/>
      <c r="K94" s="28" t="n"/>
      <c r="L94" s="40" t="n"/>
      <c r="M94" s="28" t="n"/>
      <c r="N94" s="28" t="n"/>
      <c r="O94" s="28" t="n"/>
      <c r="P94" s="28" t="n"/>
    </row>
    <row r="95">
      <c r="A95" s="28" t="n"/>
      <c r="B95" s="28" t="n"/>
      <c r="C95" s="28" t="n"/>
      <c r="D95" s="28" t="n"/>
      <c r="E95" s="28" t="n"/>
      <c r="F95" s="28" t="n"/>
      <c r="G95" s="28" t="n"/>
      <c r="H95" s="28" t="n"/>
      <c r="I95" s="28" t="n"/>
      <c r="J95" s="28" t="n"/>
      <c r="K95" s="28" t="n"/>
      <c r="L95" s="40" t="n"/>
      <c r="M95" s="28" t="n"/>
      <c r="N95" s="28" t="n"/>
      <c r="O95" s="28" t="n"/>
      <c r="P95" s="28" t="n"/>
    </row>
    <row r="96">
      <c r="A96" s="28" t="n"/>
      <c r="B96" s="28" t="n"/>
      <c r="C96" s="28" t="n"/>
      <c r="D96" s="28" t="n"/>
      <c r="E96" s="28" t="n"/>
      <c r="F96" s="28" t="n"/>
      <c r="G96" s="28" t="n"/>
      <c r="H96" s="28" t="n"/>
      <c r="I96" s="28" t="n"/>
      <c r="J96" s="28" t="n"/>
      <c r="K96" s="28" t="n"/>
      <c r="L96" s="40" t="n"/>
      <c r="M96" s="28" t="n"/>
      <c r="N96" s="28" t="n"/>
      <c r="O96" s="28" t="n"/>
      <c r="P96" s="28" t="n"/>
    </row>
    <row r="97">
      <c r="A97" s="28" t="n"/>
      <c r="B97" s="28" t="n"/>
      <c r="C97" s="28" t="n"/>
      <c r="D97" s="28" t="n"/>
      <c r="E97" s="28" t="n"/>
      <c r="F97" s="28" t="n"/>
      <c r="G97" s="28" t="n"/>
      <c r="H97" s="28" t="n"/>
      <c r="I97" s="28" t="n"/>
      <c r="J97" s="28" t="n"/>
      <c r="K97" s="28" t="n"/>
      <c r="L97" s="40" t="n"/>
      <c r="M97" s="28" t="n"/>
      <c r="N97" s="28" t="n"/>
      <c r="O97" s="28" t="n"/>
      <c r="P97" s="28" t="n"/>
    </row>
    <row r="98">
      <c r="A98" s="28" t="n"/>
      <c r="B98" s="28" t="n"/>
      <c r="C98" s="28" t="n"/>
      <c r="D98" s="28" t="n"/>
      <c r="E98" s="28" t="n"/>
      <c r="F98" s="28" t="n"/>
      <c r="G98" s="28" t="n"/>
      <c r="H98" s="28" t="n"/>
      <c r="I98" s="28" t="n"/>
      <c r="J98" s="28" t="n"/>
      <c r="K98" s="28" t="n"/>
      <c r="L98" s="40" t="n"/>
      <c r="M98" s="28" t="n"/>
      <c r="N98" s="28" t="n"/>
      <c r="O98" s="28" t="n"/>
      <c r="P98" s="28" t="n"/>
    </row>
    <row r="99">
      <c r="A99" s="28" t="n"/>
      <c r="B99" s="28" t="n"/>
      <c r="C99" s="28" t="n"/>
      <c r="D99" s="28" t="n"/>
      <c r="E99" s="28" t="n"/>
      <c r="F99" s="28" t="n"/>
      <c r="G99" s="28" t="n"/>
      <c r="H99" s="28" t="n"/>
      <c r="I99" s="28" t="n"/>
      <c r="J99" s="28" t="n"/>
      <c r="K99" s="28" t="n"/>
      <c r="L99" s="40" t="n"/>
      <c r="M99" s="28" t="n"/>
      <c r="N99" s="28" t="n"/>
      <c r="O99" s="28" t="n"/>
      <c r="P99" s="28" t="n"/>
    </row>
    <row r="100">
      <c r="A100" s="28" t="n"/>
      <c r="B100" s="28" t="n"/>
      <c r="C100" s="28" t="n"/>
      <c r="D100" s="28" t="n"/>
      <c r="E100" s="28" t="n"/>
      <c r="F100" s="28" t="n"/>
      <c r="G100" s="28" t="n"/>
      <c r="H100" s="28" t="n"/>
      <c r="I100" s="28" t="n"/>
      <c r="J100" s="28" t="n"/>
      <c r="K100" s="28" t="n"/>
      <c r="L100" s="40" t="n"/>
      <c r="M100" s="28" t="n"/>
      <c r="N100" s="28" t="n"/>
      <c r="O100" s="28" t="n"/>
      <c r="P100" s="28" t="n"/>
    </row>
    <row r="101">
      <c r="A101" s="28" t="n"/>
      <c r="B101" s="28" t="n"/>
      <c r="C101" s="28" t="n"/>
      <c r="D101" s="28" t="n"/>
      <c r="E101" s="28" t="n"/>
      <c r="F101" s="28" t="n"/>
      <c r="G101" s="28" t="n"/>
      <c r="H101" s="28" t="n"/>
      <c r="I101" s="28" t="n"/>
      <c r="J101" s="28" t="n"/>
      <c r="K101" s="28" t="n"/>
      <c r="L101" s="40" t="n"/>
      <c r="M101" s="28" t="n"/>
      <c r="N101" s="28" t="n"/>
      <c r="O101" s="28" t="n"/>
      <c r="P101" s="28" t="n"/>
    </row>
    <row r="102">
      <c r="A102" s="28" t="n"/>
      <c r="B102" s="28" t="n"/>
      <c r="C102" s="28" t="n"/>
      <c r="D102" s="28" t="n"/>
      <c r="E102" s="28" t="n"/>
      <c r="F102" s="28" t="n"/>
      <c r="G102" s="28" t="n"/>
      <c r="H102" s="28" t="n"/>
      <c r="I102" s="28" t="n"/>
      <c r="J102" s="28" t="n"/>
      <c r="K102" s="28" t="n"/>
      <c r="L102" s="40" t="n"/>
      <c r="M102" s="28" t="n"/>
      <c r="N102" s="28" t="n"/>
      <c r="O102" s="28" t="n"/>
      <c r="P102" s="28" t="n"/>
    </row>
    <row r="103">
      <c r="A103" s="28" t="n"/>
      <c r="B103" s="28" t="n"/>
      <c r="C103" s="28" t="n"/>
      <c r="D103" s="28" t="n"/>
      <c r="E103" s="28" t="n"/>
      <c r="F103" s="28" t="n"/>
      <c r="G103" s="28" t="n"/>
      <c r="H103" s="28" t="n"/>
      <c r="I103" s="28" t="n"/>
      <c r="J103" s="28" t="n"/>
      <c r="K103" s="28" t="n"/>
      <c r="L103" s="40" t="n"/>
      <c r="M103" s="28" t="n"/>
      <c r="N103" s="28" t="n"/>
      <c r="O103" s="28" t="n"/>
      <c r="P103" s="28" t="n"/>
    </row>
  </sheetData>
  <autoFilter ref="A1:P103"/>
  <dataValidations count="3">
    <dataValidation sqref="D2:D500" showDropDown="0" showInputMessage="0" showErrorMessage="0" allowBlank="1" type="list">
      <formula1>"Critical,High,Medium,Low"</formula1>
    </dataValidation>
    <dataValidation sqref="M2:M500" showDropDown="0" showInputMessage="0" showErrorMessage="0" allowBlank="1" type="list">
      <formula1>"Open,In progress,Fixed,Verified,Won't fix,Duplicate"</formula1>
    </dataValidation>
    <dataValidation sqref="P2:P500" showDropDown="0" showInputMessage="0" showErrorMessage="0" allowBlank="1" type="list">
      <formula1>"Pass,Fail"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showGridLines="0" tabSelected="0" workbookViewId="0">
      <selection activeCell="A1" sqref="A1"/>
    </sheetView>
  </sheetViews>
  <sheetFormatPr baseColWidth="8" defaultRowHeight="15"/>
  <cols>
    <col width="30" customWidth="1" min="1" max="1"/>
    <col width="26" customWidth="1" min="2" max="2"/>
    <col width="16" customWidth="1" min="3" max="3"/>
    <col width="16" customWidth="1" min="4" max="4"/>
    <col width="50" customWidth="1" min="5" max="5"/>
  </cols>
  <sheetData>
    <row r="1">
      <c r="A1" s="1" t="inlineStr">
        <is>
          <t>Release sign-off</t>
        </is>
      </c>
    </row>
    <row r="3">
      <c r="A3" s="3" t="inlineStr">
        <is>
          <t>Exit criteria</t>
        </is>
      </c>
    </row>
    <row r="4">
      <c r="A4" s="4" t="inlineStr">
        <is>
          <t>All P0 cases Pass (or N/A with reason)</t>
        </is>
      </c>
      <c r="C4" s="8">
        <f>IF(Summary!B5=0,"Met","Not met")</f>
        <v/>
      </c>
    </row>
    <row r="5">
      <c r="A5" s="4" t="inlineStr">
        <is>
          <t>No open P0 / P1 failures</t>
        </is>
      </c>
      <c r="C5" s="8">
        <f>IF(Summary!B6=0,"Met","Not met")</f>
        <v/>
      </c>
    </row>
    <row r="6">
      <c r="A6" s="4" t="inlineStr">
        <is>
          <t>No cases left Blocked</t>
        </is>
      </c>
      <c r="C6" s="8">
        <f>IF(Summary!B7=0,"Met","Not met")</f>
        <v/>
      </c>
    </row>
    <row r="7">
      <c r="A7" s="4" t="inlineStr">
        <is>
          <t>All known blockers Resolved or Accepted</t>
        </is>
      </c>
      <c r="C7" s="8">
        <f>IF(Summary!B8=0,"Met","Not met")</f>
        <v/>
      </c>
    </row>
    <row r="8">
      <c r="A8" s="4" t="inlineStr">
        <is>
          <t>At least 95% of all cases executed</t>
        </is>
      </c>
      <c r="C8" s="8">
        <f>IF(Summary!H17&gt;=0.95,"Met","Not met")</f>
        <v/>
      </c>
    </row>
    <row r="9">
      <c r="A9" s="4" t="inlineStr">
        <is>
          <t>E2E journeys pass on the store-distributed build, Android and iOS</t>
        </is>
      </c>
      <c r="C9" s="41" t="n"/>
      <c r="D9" s="2" t="inlineStr">
        <is>
          <t>← type Met / Not met</t>
        </is>
      </c>
    </row>
    <row r="10">
      <c r="A10" s="4" t="inlineStr">
        <is>
          <t>Crash-free soak test on the release build</t>
        </is>
      </c>
      <c r="C10" s="41" t="n"/>
    </row>
    <row r="11">
      <c r="A11" s="2" t="inlineStr">
        <is>
          <t>The 95% threshold is a suggested default for this workbook — change it in cell C8's formula if your team uses another.</t>
        </is>
      </c>
    </row>
    <row r="13">
      <c r="A13" s="3" t="inlineStr">
        <is>
          <t>Approvals</t>
        </is>
      </c>
    </row>
    <row r="14">
      <c r="A14" s="15" t="inlineStr">
        <is>
          <t>Role</t>
        </is>
      </c>
      <c r="B14" s="15" t="inlineStr">
        <is>
          <t>Name</t>
        </is>
      </c>
      <c r="C14" s="15" t="inlineStr">
        <is>
          <t>Decision</t>
        </is>
      </c>
      <c r="D14" s="15" t="inlineStr">
        <is>
          <t>Date</t>
        </is>
      </c>
      <c r="E14" s="15" t="inlineStr">
        <is>
          <t>Comments / accepted risks</t>
        </is>
      </c>
    </row>
    <row r="15">
      <c r="A15" s="18" t="inlineStr">
        <is>
          <t>QA lead</t>
        </is>
      </c>
      <c r="B15" s="5" t="n"/>
      <c r="C15" s="5" t="n"/>
      <c r="D15" s="6" t="n"/>
      <c r="E15" s="5" t="n"/>
    </row>
    <row r="16">
      <c r="A16" s="18" t="inlineStr">
        <is>
          <t>Mobile tech lead</t>
        </is>
      </c>
      <c r="B16" s="5" t="n"/>
      <c r="C16" s="5" t="n"/>
      <c r="D16" s="6" t="n"/>
      <c r="E16" s="5" t="n"/>
    </row>
    <row r="17">
      <c r="A17" s="18" t="inlineStr">
        <is>
          <t>Backend lead</t>
        </is>
      </c>
      <c r="B17" s="5" t="n"/>
      <c r="C17" s="5" t="n"/>
      <c r="D17" s="6" t="n"/>
      <c r="E17" s="5" t="n"/>
    </row>
    <row r="18">
      <c r="A18" s="18" t="inlineStr">
        <is>
          <t>Product owner</t>
        </is>
      </c>
      <c r="B18" s="5" t="n"/>
      <c r="C18" s="5" t="n"/>
      <c r="D18" s="6" t="n"/>
      <c r="E18" s="5" t="n"/>
    </row>
    <row r="19">
      <c r="A19" s="18" t="inlineStr">
        <is>
          <t>Security / compliance</t>
        </is>
      </c>
      <c r="B19" s="5" t="n"/>
      <c r="C19" s="5" t="n"/>
      <c r="D19" s="6" t="n"/>
      <c r="E19" s="5" t="n"/>
    </row>
  </sheetData>
  <mergeCells count="7">
    <mergeCell ref="A4:B4"/>
    <mergeCell ref="A7:B7"/>
    <mergeCell ref="A10:B10"/>
    <mergeCell ref="A5:B5"/>
    <mergeCell ref="A9:B9"/>
    <mergeCell ref="A8:B8"/>
    <mergeCell ref="A6:B6"/>
  </mergeCells>
  <conditionalFormatting sqref="C4:C10">
    <cfRule type="cellIs" priority="1" operator="equal" dxfId="3">
      <formula>"Met"</formula>
    </cfRule>
    <cfRule type="cellIs" priority="2" operator="equal" dxfId="4">
      <formula>"Not met"</formula>
    </cfRule>
  </conditionalFormatting>
  <dataValidations count="2">
    <dataValidation sqref="C9:C10" showDropDown="0" showInputMessage="0" showErrorMessage="0" allowBlank="1" type="list">
      <formula1>"Met,Not met"</formula1>
    </dataValidation>
    <dataValidation sqref="C15:C19" showDropDown="0" showInputMessage="0" showErrorMessage="0" allowBlank="1" type="list">
      <formula1>"Approved,Approved with risks,Rejected"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2026-10-04T06:13:30Z</dcterms:created>
  <dcterms:modified xsi:type="dcterms:W3CDTF">2026-10-04T06:13:30Z</dcterms:modified>
</cp:coreProperties>
</file>