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ummary" sheetId="2" state="visible" r:id="rId2"/>
    <sheet name="Business Logic" sheetId="3" state="visible" r:id="rId3"/>
    <sheet name="Checklist" sheetId="4" state="visible" r:id="rId4"/>
    <sheet name="Known Blockers" sheetId="5" state="visible" r:id="rId5"/>
    <sheet name="Screen Coverage" sheetId="6" state="visible" r:id="rId6"/>
    <sheet name="Device Matrix" sheetId="7" state="visible" r:id="rId7"/>
    <sheet name="Defect Log" sheetId="8" state="visible" r:id="rId8"/>
    <sheet name="Sign-off" sheetId="9" state="visible" r:id="rId9"/>
  </sheets>
  <definedNames>
    <definedName name="_xlnm._FilterDatabase" localSheetId="2" hidden="1">'Business Logic'!$A$1:$Q$409</definedName>
    <definedName name="_xlnm.Print_Titles" localSheetId="2">'Business Logic'!$1:$1</definedName>
    <definedName name="_xlnm._FilterDatabase" localSheetId="3" hidden="1">'Checklist'!$A$1:$Q$439</definedName>
    <definedName name="_xlnm.Print_Titles" localSheetId="3">'Checklist'!$1:$1</definedName>
    <definedName name="_xlnm._FilterDatabase" localSheetId="7" hidden="1">'Defect Log'!$A$1:$P$103</definedName>
  </definedNames>
  <calcPr calcId="124519" fullCalcOnLoad="1"/>
</workbook>
</file>

<file path=xl/styles.xml><?xml version="1.0" encoding="utf-8"?>
<styleSheet xmlns="http://schemas.openxmlformats.org/spreadsheetml/2006/main">
  <numFmts count="2">
    <numFmt numFmtId="164" formatCode="DD-MMM-YYYY"/>
    <numFmt numFmtId="165" formatCode="yyyy-mm-dd"/>
  </numFmts>
  <fonts count="15">
    <font>
      <name val="Calibri"/>
      <family val="2"/>
      <color theme="1"/>
      <sz val="11"/>
      <scheme val="minor"/>
    </font>
    <font>
      <name val="Arial"/>
      <b val="1"/>
      <color rgb="00FFFFFF"/>
      <sz val="10"/>
    </font>
    <font>
      <name val="Arial"/>
      <sz val="10"/>
    </font>
    <font>
      <name val="Arial"/>
      <b val="1"/>
      <sz val="10"/>
    </font>
    <font>
      <name val="Arial"/>
      <color rgb="00667085"/>
      <sz val="9"/>
    </font>
    <font>
      <name val="Arial"/>
      <b val="1"/>
      <color rgb="001D3557"/>
      <sz val="16"/>
    </font>
    <font>
      <name val="Arial"/>
      <i val="1"/>
      <color rgb="00667085"/>
      <sz val="9"/>
    </font>
    <font>
      <name val="Arial"/>
      <b val="1"/>
      <color rgb="001D3557"/>
      <sz val="11"/>
    </font>
    <font>
      <name val="Arial"/>
      <b val="1"/>
      <sz val="12"/>
    </font>
    <font>
      <name val="Arial"/>
      <color rgb="00B42318"/>
      <sz val="9"/>
    </font>
    <font>
      <name val="Arial"/>
      <i val="1"/>
      <color rgb="00667085"/>
      <sz val="10"/>
    </font>
    <font>
      <name val="Arial"/>
      <b val="1"/>
      <color rgb="00006100"/>
      <sz val="10"/>
    </font>
    <font>
      <name val="Arial"/>
      <b val="1"/>
      <color rgb="009C0006"/>
      <sz val="10"/>
    </font>
    <font>
      <name val="Arial"/>
      <b val="1"/>
      <color rgb="009C5700"/>
      <sz val="10"/>
    </font>
    <font>
      <name val="Arial"/>
      <b val="1"/>
      <color rgb="00475467"/>
      <sz val="10"/>
    </font>
  </fonts>
  <fills count="9">
    <fill>
      <patternFill/>
    </fill>
    <fill>
      <patternFill patternType="gray125"/>
    </fill>
    <fill>
      <patternFill patternType="solid">
        <fgColor rgb="001D3557"/>
      </patternFill>
    </fill>
    <fill>
      <patternFill patternType="solid">
        <fgColor rgb="00FFF9DB"/>
      </patternFill>
    </fill>
    <fill>
      <patternFill patternType="solid">
        <fgColor rgb="00EEF2F7"/>
      </patternFill>
    </fill>
    <fill>
      <patternFill patternType="solid">
        <fgColor rgb="00C6EFCE"/>
      </patternFill>
    </fill>
    <fill>
      <patternFill patternType="solid">
        <fgColor rgb="00FFC7CE"/>
      </patternFill>
    </fill>
    <fill>
      <patternFill patternType="solid">
        <fgColor rgb="00FFEB9C"/>
      </patternFill>
    </fill>
    <fill>
      <patternFill patternType="solid">
        <fgColor rgb="00E4E7EC"/>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45">
    <xf numFmtId="0" fontId="0"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2" fillId="0" borderId="0" pivotButton="0" quotePrefix="0" xfId="0"/>
    <xf numFmtId="0" fontId="2" fillId="3" borderId="1" pivotButton="0" quotePrefix="0" xfId="0"/>
    <xf numFmtId="164" fontId="2" fillId="3" borderId="1" pivotButton="0" quotePrefix="0" xfId="0"/>
    <xf numFmtId="0" fontId="2" fillId="3" borderId="0" pivotButton="0" quotePrefix="0" xfId="0"/>
    <xf numFmtId="0" fontId="3" fillId="0" borderId="1" applyAlignment="1" pivotButton="0" quotePrefix="0" xfId="0">
      <alignment horizontal="center"/>
    </xf>
    <xf numFmtId="0" fontId="11" fillId="5" borderId="1" applyAlignment="1" pivotButton="0" quotePrefix="0" xfId="0">
      <alignment horizontal="center"/>
    </xf>
    <xf numFmtId="0" fontId="12" fillId="6" borderId="1" applyAlignment="1" pivotButton="0" quotePrefix="0" xfId="0">
      <alignment horizontal="center"/>
    </xf>
    <xf numFmtId="0" fontId="13" fillId="7" borderId="1" applyAlignment="1" pivotButton="0" quotePrefix="0" xfId="0">
      <alignment horizontal="center"/>
    </xf>
    <xf numFmtId="0" fontId="14" fillId="8" borderId="1" applyAlignment="1" pivotButton="0" quotePrefix="0" xfId="0">
      <alignment horizontal="center"/>
    </xf>
    <xf numFmtId="0" fontId="3" fillId="0" borderId="0" applyAlignment="1" pivotButton="0" quotePrefix="0" xfId="0">
      <alignment horizontal="center"/>
    </xf>
    <xf numFmtId="0" fontId="3" fillId="0" borderId="0" pivotButton="0" quotePrefix="0" xfId="0"/>
    <xf numFmtId="0" fontId="1" fillId="2" borderId="1" applyAlignment="1" pivotButton="0" quotePrefix="0" xfId="0">
      <alignment horizontal="center" vertical="center" wrapText="1"/>
    </xf>
    <xf numFmtId="0" fontId="10" fillId="0" borderId="1" applyAlignment="1" pivotButton="0" quotePrefix="0" xfId="0">
      <alignment vertical="top" wrapText="1"/>
    </xf>
    <xf numFmtId="0" fontId="10" fillId="5" borderId="1" applyAlignment="1" pivotButton="0" quotePrefix="0" xfId="0">
      <alignment vertical="top" wrapText="1"/>
    </xf>
    <xf numFmtId="0" fontId="2" fillId="0" borderId="1" pivotButton="0" quotePrefix="0" xfId="0"/>
    <xf numFmtId="0" fontId="3" fillId="0" borderId="1" pivotButton="0" quotePrefix="0" xfId="0"/>
    <xf numFmtId="0" fontId="8" fillId="0" borderId="1" applyAlignment="1" pivotButton="0" quotePrefix="0" xfId="0">
      <alignment horizontal="center"/>
    </xf>
    <xf numFmtId="0" fontId="2" fillId="0" borderId="1" applyAlignment="1" pivotButton="0" quotePrefix="0" xfId="0">
      <alignment horizontal="center"/>
    </xf>
    <xf numFmtId="9" fontId="2" fillId="0" borderId="1" applyAlignment="1" pivotButton="0" quotePrefix="0" xfId="0">
      <alignment horizontal="center"/>
    </xf>
    <xf numFmtId="0" fontId="3" fillId="4" borderId="1" pivotButton="0" quotePrefix="0" xfId="0"/>
    <xf numFmtId="0" fontId="3" fillId="4" borderId="1" applyAlignment="1" pivotButton="0" quotePrefix="0" xfId="0">
      <alignment horizontal="center"/>
    </xf>
    <xf numFmtId="9" fontId="3" fillId="4" borderId="1" applyAlignment="1" pivotButton="0" quotePrefix="0" xfId="0">
      <alignment horizontal="center"/>
    </xf>
    <xf numFmtId="0" fontId="9" fillId="0" borderId="0" pivotButton="0" quotePrefix="0" xfId="0"/>
    <xf numFmtId="0" fontId="3" fillId="0" borderId="1" applyAlignment="1" pivotButton="0" quotePrefix="0" xfId="0">
      <alignment vertical="top" wrapText="1"/>
    </xf>
    <xf numFmtId="0" fontId="2" fillId="0" borderId="1" applyAlignment="1" pivotButton="0" quotePrefix="0" xfId="0">
      <alignment vertical="top" wrapText="1"/>
    </xf>
    <xf numFmtId="0" fontId="2" fillId="0" borderId="1" applyAlignment="1" pivotButton="0" quotePrefix="0" xfId="0">
      <alignment horizontal="center" vertical="top" wrapText="1"/>
    </xf>
    <xf numFmtId="0" fontId="4" fillId="0" borderId="1" applyAlignment="1" pivotButton="0" quotePrefix="0" xfId="0">
      <alignment vertical="top" wrapText="1"/>
    </xf>
    <xf numFmtId="0" fontId="2" fillId="3" borderId="1" applyAlignment="1" pivotButton="0" quotePrefix="0" xfId="0">
      <alignment horizontal="center" vertical="top" wrapText="1"/>
    </xf>
    <xf numFmtId="0" fontId="2" fillId="3" borderId="1" applyAlignment="1" pivotButton="0" quotePrefix="0" xfId="0">
      <alignment vertical="top" wrapText="1"/>
    </xf>
    <xf numFmtId="164" fontId="2" fillId="3" borderId="1" applyAlignment="1" pivotButton="0" quotePrefix="0" xfId="0">
      <alignment vertical="top" wrapText="1"/>
    </xf>
    <xf numFmtId="0" fontId="3" fillId="0" borderId="0" applyAlignment="1" pivotButton="0" quotePrefix="0" xfId="0">
      <alignment horizontal="right"/>
    </xf>
    <xf numFmtId="0" fontId="2" fillId="3" borderId="1" applyAlignment="1" pivotButton="0" quotePrefix="0" xfId="0">
      <alignment horizontal="center" vertical="top"/>
    </xf>
    <xf numFmtId="164" fontId="0" fillId="3" borderId="1" pivotButton="0" quotePrefix="0" xfId="0"/>
    <xf numFmtId="0" fontId="0" fillId="3" borderId="1" pivotButton="0" quotePrefix="0" xfId="0"/>
    <xf numFmtId="0" fontId="2" fillId="3" borderId="1" applyAlignment="1" pivotButton="0" quotePrefix="0" xfId="0">
      <alignment horizontal="left" vertical="top" wrapText="1"/>
    </xf>
    <xf numFmtId="0" fontId="3" fillId="0" borderId="0" applyAlignment="1" pivotButton="0" quotePrefix="0" xfId="0">
      <alignment horizontal="left"/>
    </xf>
    <xf numFmtId="164" fontId="2" fillId="0" borderId="1" applyAlignment="1" pivotButton="0" quotePrefix="0" xfId="0">
      <alignment vertical="top" wrapText="1"/>
    </xf>
    <xf numFmtId="0" fontId="3" fillId="3" borderId="1" applyAlignment="1" pivotButton="0" quotePrefix="0" xfId="0">
      <alignment horizontal="center"/>
    </xf>
    <xf numFmtId="165" fontId="2" fillId="0" borderId="1" applyAlignment="1" pivotButton="0" quotePrefix="0" xfId="0">
      <alignment vertical="top" wrapText="1"/>
    </xf>
    <xf numFmtId="0" fontId="2" fillId="0" borderId="0" applyAlignment="1" pivotButton="0" quotePrefix="0" xfId="0">
      <alignment vertical="top" wrapText="1"/>
    </xf>
    <xf numFmtId="165" fontId="2" fillId="0" borderId="0" applyAlignment="1" pivotButton="0" quotePrefix="0" xfId="0">
      <alignment vertical="top" wrapText="1"/>
    </xf>
  </cellXfs>
  <cellStyles count="1">
    <cellStyle name="Normal" xfId="0" builtinId="0" hidden="0"/>
  </cellStyles>
  <dxfs count="9">
    <dxf>
      <font>
        <name val="Arial"/>
        <b val="1"/>
        <color rgb="00006100"/>
        <sz val="12"/>
      </font>
      <fill>
        <patternFill patternType="solid">
          <fgColor rgb="00C6EFCE"/>
          <bgColor rgb="00C6EFCE"/>
        </patternFill>
      </fill>
    </dxf>
    <dxf>
      <font>
        <name val="Arial"/>
        <b val="1"/>
        <color rgb="009C0006"/>
        <sz val="12"/>
      </font>
      <fill>
        <patternFill patternType="solid">
          <fgColor rgb="00FFC7CE"/>
          <bgColor rgb="00FFC7CE"/>
        </patternFill>
      </fill>
    </dxf>
    <dxf>
      <font>
        <name val="Arial"/>
        <b val="1"/>
        <color rgb="009C0006"/>
        <sz val="10"/>
      </font>
    </dxf>
    <dxf>
      <font>
        <name val="Arial"/>
        <b val="1"/>
        <color rgb="00006100"/>
        <sz val="10"/>
      </font>
      <fill>
        <patternFill patternType="solid">
          <fgColor rgb="00C6EFCE"/>
          <bgColor rgb="00C6EFCE"/>
        </patternFill>
      </fill>
    </dxf>
    <dxf>
      <font>
        <name val="Arial"/>
        <b val="1"/>
        <color rgb="009C0006"/>
        <sz val="10"/>
      </font>
      <fill>
        <patternFill patternType="solid">
          <fgColor rgb="00FFC7CE"/>
          <bgColor rgb="00FFC7CE"/>
        </patternFill>
      </fill>
    </dxf>
    <dxf>
      <font>
        <name val="Arial"/>
        <b val="1"/>
        <color rgb="009C5700"/>
        <sz val="10"/>
      </font>
      <fill>
        <patternFill patternType="solid">
          <fgColor rgb="00FFEB9C"/>
          <bgColor rgb="00FFEB9C"/>
        </patternFill>
      </fill>
    </dxf>
    <dxf>
      <font>
        <name val="Arial"/>
        <b val="1"/>
        <color rgb="00475467"/>
        <sz val="10"/>
      </font>
      <fill>
        <patternFill patternType="solid">
          <fgColor rgb="00E4E7EC"/>
          <bgColor rgb="00E4E7EC"/>
        </patternFill>
      </fill>
    </dxf>
    <dxf>
      <font>
        <name val="Arial"/>
        <b val="1"/>
        <color rgb="00B42318"/>
        <sz val="10"/>
      </font>
    </dxf>
    <dxf>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6"/>
  <sheetViews>
    <sheetView showGridLines="0" tabSelected="1" workbookViewId="0">
      <selection activeCell="A1" sqref="A1"/>
    </sheetView>
  </sheetViews>
  <sheetFormatPr baseColWidth="8" defaultRowHeight="15"/>
  <cols>
    <col width="22" customWidth="1" min="1" max="1"/>
    <col width="30" customWidth="1" min="2" max="2"/>
    <col width="46" customWidth="1" min="3" max="3"/>
    <col width="14" customWidth="1" min="4" max="4"/>
    <col width="14" customWidth="1" min="5" max="5"/>
    <col width="14" customWidth="1" min="6" max="6"/>
    <col width="14" customWidth="1" min="7" max="7"/>
    <col width="30" customWidth="1" min="8" max="8"/>
  </cols>
  <sheetData>
    <row r="1">
      <c r="A1" s="1" t="inlineStr">
        <is>
          <t>Medibook — Production Readiness Test Checklist</t>
        </is>
      </c>
    </row>
    <row r="2">
      <c r="A2" s="2" t="inlineStr">
        <is>
          <t>Patient mobile app (Flutter, Android + iOS) · end-to-end manual test pass before release</t>
        </is>
      </c>
    </row>
    <row r="4">
      <c r="A4" s="3" t="inlineStr">
        <is>
          <t>Run details</t>
        </is>
      </c>
    </row>
    <row r="5">
      <c r="A5" s="4" t="inlineStr">
        <is>
          <t>Build / version under test</t>
        </is>
      </c>
      <c r="B5" s="5" t="n"/>
    </row>
    <row r="6">
      <c r="A6" s="4" t="inlineStr">
        <is>
          <t>Environment (API host)</t>
        </is>
      </c>
      <c r="B6" s="5" t="n"/>
    </row>
    <row r="7">
      <c r="A7" s="4" t="inlineStr">
        <is>
          <t>Test cycle</t>
        </is>
      </c>
      <c r="B7" s="5" t="n"/>
    </row>
    <row r="8">
      <c r="A8" s="4" t="inlineStr">
        <is>
          <t>Start date</t>
        </is>
      </c>
      <c r="B8" s="6" t="n"/>
    </row>
    <row r="9">
      <c r="A9" s="4" t="inlineStr">
        <is>
          <t>End date</t>
        </is>
      </c>
      <c r="B9" s="6" t="n"/>
    </row>
    <row r="10">
      <c r="A10" s="4" t="inlineStr">
        <is>
          <t>QA lead</t>
        </is>
      </c>
      <c r="B10" s="5" t="n"/>
    </row>
    <row r="12">
      <c r="A12" s="3" t="inlineStr">
        <is>
          <t>How to use this workbook</t>
        </is>
      </c>
    </row>
    <row r="13">
      <c r="A13" s="4" t="inlineStr">
        <is>
          <t>1. Known Blockers — re-verify each item first. Many checklist rows cannot run until these are resolved.</t>
        </is>
      </c>
    </row>
    <row r="14">
      <c r="A14" s="4" t="inlineStr">
        <is>
          <t>2. Checklist — start with module 00 (prerequisites) and 01 (end-to-end journeys), then work down. Filter by Module, Priority or Platform.</t>
        </is>
      </c>
    </row>
    <row r="15">
      <c r="A15" s="4" t="inlineStr">
        <is>
          <t>3. Business Logic — one row per rule the app enforces (limits, state changes, calculations, error handling), split by module and sub-module. 'Source in code' says where the rule lives.</t>
        </is>
      </c>
    </row>
    <row r="16">
      <c r="A16" s="4" t="inlineStr">
        <is>
          <t>4. For every row set Status, and fill Tester, Date, Build and Device. Anything that is not Pass needs a note.</t>
        </is>
      </c>
    </row>
    <row r="17">
      <c r="A17" s="4" t="inlineStr">
        <is>
          <t>5. A Fail needs a row in Defect Log; put its id in the checklist's Defect ID column (the cell turns red until you do).</t>
        </is>
      </c>
    </row>
    <row r="18">
      <c r="A18" s="4" t="inlineStr">
        <is>
          <t>6. Screen Coverage and Device Matrix track breadth: every screen's states, and every device class.</t>
        </is>
      </c>
    </row>
    <row r="19">
      <c r="A19" s="4" t="inlineStr">
        <is>
          <t>7. Summary and Sign-off calculate themselves. The verdict is GO only when all four gate counts are zero.</t>
        </is>
      </c>
    </row>
    <row r="20">
      <c r="A20" s="7" t="inlineStr">
        <is>
          <t>Yellow cells are yours to fill in. Everything else is reference text or a formula.</t>
        </is>
      </c>
    </row>
    <row r="21">
      <c r="A21" s="4" t="inlineStr">
        <is>
          <t>You can add test cases at the bottom of the Checklist or Business Logic sheet (up to row 1000): reuse an existing Module name exactly so the Summary counts them.</t>
        </is>
      </c>
    </row>
    <row r="23">
      <c r="A23" s="3" t="inlineStr">
        <is>
          <t>Status values</t>
        </is>
      </c>
    </row>
    <row r="24">
      <c r="A24" s="8" t="inlineStr">
        <is>
          <t>Not Run</t>
        </is>
      </c>
      <c r="B24" s="4" t="inlineStr">
        <is>
          <t>Not executed yet (default).</t>
        </is>
      </c>
    </row>
    <row r="25">
      <c r="A25" s="9" t="inlineStr">
        <is>
          <t>Pass</t>
        </is>
      </c>
      <c r="B25" s="4" t="inlineStr">
        <is>
          <t>Behaved exactly as the Expected result says.</t>
        </is>
      </c>
    </row>
    <row r="26">
      <c r="A26" s="10" t="inlineStr">
        <is>
          <t>Fail</t>
        </is>
      </c>
      <c r="B26" s="4" t="inlineStr">
        <is>
          <t>Did not — log a defect.</t>
        </is>
      </c>
    </row>
    <row r="27">
      <c r="A27" s="11" t="inlineStr">
        <is>
          <t>Blocked</t>
        </is>
      </c>
      <c r="B27" s="4" t="inlineStr">
        <is>
          <t>Could not be run (environment, blocker, dependency). Say why in Notes.</t>
        </is>
      </c>
    </row>
    <row r="28">
      <c r="A28" s="12" t="inlineStr">
        <is>
          <t>N/A</t>
        </is>
      </c>
      <c r="B28" s="4" t="inlineStr">
        <is>
          <t>Does not apply to this release. Say why in Notes.</t>
        </is>
      </c>
    </row>
    <row r="30">
      <c r="A30" s="3" t="inlineStr">
        <is>
          <t>Priority</t>
        </is>
      </c>
    </row>
    <row r="31">
      <c r="A31" s="13" t="inlineStr">
        <is>
          <t>P0</t>
        </is>
      </c>
      <c r="B31" s="4" t="inlineStr">
        <is>
          <t>Release blocker: money, sign-in, data loss, security, privacy, store rejection, or a core journey.</t>
        </is>
      </c>
    </row>
    <row r="32">
      <c r="A32" s="13" t="inlineStr">
        <is>
          <t>P1</t>
        </is>
      </c>
      <c r="B32" s="4" t="inlineStr">
        <is>
          <t>Must be fixed before public launch; acceptable only for a limited internal beta.</t>
        </is>
      </c>
    </row>
    <row r="33">
      <c r="A33" s="13" t="inlineStr">
        <is>
          <t>P2</t>
        </is>
      </c>
      <c r="B33" s="4" t="inlineStr">
        <is>
          <t>Should be fixed; a visible flaw with a workaround.</t>
        </is>
      </c>
    </row>
    <row r="34">
      <c r="A34" s="13" t="inlineStr">
        <is>
          <t>P3</t>
        </is>
      </c>
      <c r="B34" s="4" t="inlineStr">
        <is>
          <t>Polish.</t>
        </is>
      </c>
    </row>
    <row r="36">
      <c r="A36" s="3" t="inlineStr">
        <is>
          <t>Check types on the Business Logic sheet</t>
        </is>
      </c>
    </row>
    <row r="37">
      <c r="A37" s="14" t="inlineStr">
        <is>
          <t>Rule</t>
        </is>
      </c>
      <c r="B37" s="4" t="inlineStr">
        <is>
          <t>A decision the app makes (who may do what, and when).</t>
        </is>
      </c>
    </row>
    <row r="38">
      <c r="A38" s="14" t="inlineStr">
        <is>
          <t>Boundary</t>
        </is>
      </c>
      <c r="B38" s="4" t="inlineStr">
        <is>
          <t>A limit: lengths, sizes, ages, time windows, counts. Test just inside and just outside.</t>
        </is>
      </c>
    </row>
    <row r="39">
      <c r="A39" s="14" t="inlineStr">
        <is>
          <t>State</t>
        </is>
      </c>
      <c r="B39" s="4" t="inlineStr">
        <is>
          <t>What changes after an action, and what is kept or cleared.</t>
        </is>
      </c>
    </row>
    <row r="40">
      <c r="A40" s="14" t="inlineStr">
        <is>
          <t>Calculation</t>
        </is>
      </c>
      <c r="B40" s="4" t="inlineStr">
        <is>
          <t>A derived value: amounts, percentages, counts, dates, labels built from data.</t>
        </is>
      </c>
    </row>
    <row r="41">
      <c r="A41" s="14" t="inlineStr">
        <is>
          <t>Data mapping</t>
        </is>
      </c>
      <c r="B41" s="4" t="inlineStr">
        <is>
          <t>A server value shown as the right label or screen.</t>
        </is>
      </c>
    </row>
    <row r="42">
      <c r="A42" s="14" t="inlineStr">
        <is>
          <t>Error handling</t>
        </is>
      </c>
      <c r="B42" s="4" t="inlineStr">
        <is>
          <t>A specific refusal or failure and the message it must produce.</t>
        </is>
      </c>
    </row>
    <row r="43">
      <c r="A43" s="14" t="inlineStr">
        <is>
          <t>Verify gap</t>
        </is>
      </c>
      <c r="B43" s="4" t="inlineStr">
        <is>
          <t>The code appears to behave differently from what a user or the API contract would expect. Found by reading the code, not by running the app — confirm on a device, then log a defect or mark N/A with the owner's decision.</t>
        </is>
      </c>
    </row>
    <row r="45">
      <c r="A45" s="3" t="inlineStr">
        <is>
          <t>Example of a filled-in checklist row</t>
        </is>
      </c>
    </row>
    <row r="46">
      <c r="A46" s="15" t="inlineStr">
        <is>
          <t>ID</t>
        </is>
      </c>
      <c r="B46" s="15" t="inlineStr">
        <is>
          <t>Test case</t>
        </is>
      </c>
      <c r="C46" s="15" t="inlineStr">
        <is>
          <t>Notes / Actual result</t>
        </is>
      </c>
      <c r="D46" s="15" t="inlineStr">
        <is>
          <t>Status</t>
        </is>
      </c>
      <c r="E46" s="15" t="inlineStr">
        <is>
          <t>Tester</t>
        </is>
      </c>
      <c r="F46" s="15" t="inlineStr">
        <is>
          <t>Date tested</t>
        </is>
      </c>
      <c r="G46" s="15" t="inlineStr">
        <is>
          <t>Build</t>
        </is>
      </c>
      <c r="H46" s="15" t="inlineStr">
        <is>
          <t>Device / OS</t>
        </is>
      </c>
    </row>
    <row r="47">
      <c r="A47" s="16" t="inlineStr">
        <is>
          <t>AUTH-019</t>
        </is>
      </c>
      <c r="B47" s="16" t="inlineStr">
        <is>
          <t>Wrong password</t>
        </is>
      </c>
      <c r="C47" s="16" t="inlineStr">
        <is>
          <t>Shows 'attempts remaining: 4'. Fields stay filled.</t>
        </is>
      </c>
      <c r="D47" s="17" t="inlineStr">
        <is>
          <t>Pass</t>
        </is>
      </c>
      <c r="E47" s="16" t="inlineStr">
        <is>
          <t>A. Tester</t>
        </is>
      </c>
      <c r="F47" s="16" t="inlineStr">
        <is>
          <t>06-Oct-2026</t>
        </is>
      </c>
      <c r="G47" s="16" t="inlineStr">
        <is>
          <t>1.0.0+7</t>
        </is>
      </c>
      <c r="H47" s="16" t="inlineStr">
        <is>
          <t>Pixel 8 / Android 15</t>
        </is>
      </c>
    </row>
    <row r="49">
      <c r="A49" s="3" t="inlineStr">
        <is>
          <t>Where the test cases come from</t>
        </is>
      </c>
    </row>
    <row r="50">
      <c r="A50" s="14" t="inlineStr">
        <is>
          <t>Screens and routes</t>
        </is>
      </c>
      <c r="B50" s="4" t="inlineStr">
        <is>
          <t>lib/app/router/app_routes.dart and the screen files under lib/features/*/presentation/screen</t>
        </is>
      </c>
    </row>
    <row r="51">
      <c r="A51" s="14" t="inlineStr">
        <is>
          <t>Expected API behaviour</t>
        </is>
      </c>
      <c r="B51" s="4" t="inlineStr">
        <is>
          <t>docs-flutter/FLUTTER_API_INTEGRATION.md (error codes, limits, timers, idempotency, token lifecycle)</t>
        </is>
      </c>
    </row>
    <row r="52">
      <c r="A52" s="14" t="inlineStr">
        <is>
          <t>Business rules</t>
        </is>
      </c>
      <c r="B52" s="4" t="inlineStr">
        <is>
          <t>Read from the domain, application and controller code of each feature (lib/features/*/domain, */application, */presentation/controllers) and lib/core; each row cites its file.</t>
        </is>
      </c>
    </row>
    <row r="53">
      <c r="A53" s="14" t="inlineStr">
        <is>
          <t>Cache scenarios</t>
        </is>
      </c>
      <c r="B53" s="4" t="inlineStr">
        <is>
          <t>docs-flutter/HIVE implementation.md (the ten scenarios) and lib/core/storage/hive/boxes.dart (CacheConfig)</t>
        </is>
      </c>
    </row>
    <row r="54">
      <c r="A54" s="14" t="inlineStr">
        <is>
          <t>Code quality gates</t>
        </is>
      </c>
      <c r="B54" s="4" t="inlineStr">
        <is>
          <t>docs-flutter/QA.md (audit prompts 1–5 and the architecture audit)</t>
        </is>
      </c>
    </row>
    <row r="55">
      <c r="A55" s="14" t="inlineStr">
        <is>
          <t>Known blockers</t>
        </is>
      </c>
      <c r="B55" s="4" t="inlineStr">
        <is>
          <t>docs/FLUTTER_INTEGRATION_GAPS_ROUND_2.md (dated 2026-10-01) plus the files named on the Known Blockers sheet</t>
        </is>
      </c>
    </row>
    <row r="56">
      <c r="A56" s="14" t="inlineStr">
        <is>
          <t>Not derived from the repo</t>
        </is>
      </c>
      <c r="B56" s="4" t="inlineStr">
        <is>
          <t>Device matrix, performance targets (3 s cold start, 16 ms frames), the 95% execution threshold and store-submission items are common practice — adjust to your team's standards.</t>
        </is>
      </c>
    </row>
    <row r="58">
      <c r="A58" s="3" t="inlineStr">
        <is>
          <t>Sheets</t>
        </is>
      </c>
    </row>
    <row r="59">
      <c r="A59" s="14" t="inlineStr">
        <is>
          <t>Summary</t>
        </is>
      </c>
      <c r="B59" s="4" t="inlineStr">
        <is>
          <t>Release gate, progress by priority and by module for both test sheets (formulas).</t>
        </is>
      </c>
    </row>
    <row r="60">
      <c r="A60" s="14" t="inlineStr">
        <is>
          <t>Business Logic</t>
        </is>
      </c>
      <c r="B60" s="4" t="inlineStr">
        <is>
          <t>408 business-rule checks in 14 modules, each split into sub-modules.</t>
        </is>
      </c>
    </row>
    <row r="61">
      <c r="A61" s="14" t="inlineStr">
        <is>
          <t>Checklist</t>
        </is>
      </c>
      <c r="B61" s="4" t="inlineStr">
        <is>
          <t>438 functional, non-functional and release cases in 26 modules.</t>
        </is>
      </c>
    </row>
    <row r="62">
      <c r="A62" s="14" t="inlineStr">
        <is>
          <t>Known Blockers</t>
        </is>
      </c>
      <c r="B62" s="4" t="inlineStr">
        <is>
          <t>13 items found in the repo that stop or weaken the test pass.</t>
        </is>
      </c>
    </row>
    <row r="63">
      <c r="A63" s="14" t="inlineStr">
        <is>
          <t>Screen Coverage</t>
        </is>
      </c>
      <c r="B63" s="4" t="inlineStr">
        <is>
          <t>51 screens × 8 states/conditions.</t>
        </is>
      </c>
    </row>
    <row r="64">
      <c r="A64" s="14" t="inlineStr">
        <is>
          <t>Device Matrix</t>
        </is>
      </c>
      <c r="B64" s="4" t="inlineStr">
        <is>
          <t>Recommended devices and OS versions.</t>
        </is>
      </c>
    </row>
    <row r="65">
      <c r="A65" s="14" t="inlineStr">
        <is>
          <t>Defect Log</t>
        </is>
      </c>
      <c r="B65" s="4" t="inlineStr">
        <is>
          <t>One row per defect.</t>
        </is>
      </c>
    </row>
    <row r="66">
      <c r="A66" s="14" t="inlineStr">
        <is>
          <t>Sign-off</t>
        </is>
      </c>
      <c r="B66" s="4" t="inlineStr">
        <is>
          <t>Exit criteria and approvals.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7"/>
  <sheetViews>
    <sheetView showGridLines="0" tabSelected="0" workbookViewId="0">
      <pane ySplit="3" topLeftCell="A4" activePane="bottomLeft" state="frozen"/>
      <selection pane="bottomLeft" activeCell="A1" sqref="A1"/>
    </sheetView>
  </sheetViews>
  <sheetFormatPr baseColWidth="8" defaultRowHeight="15"/>
  <cols>
    <col width="38" customWidth="1" min="1" max="1"/>
    <col width="10" customWidth="1" min="2" max="2"/>
    <col width="10" customWidth="1" min="3" max="3"/>
    <col width="10" customWidth="1" min="4" max="4"/>
    <col width="10" customWidth="1" min="5" max="5"/>
    <col width="10" customWidth="1" min="6" max="6"/>
    <col width="10" customWidth="1" min="7" max="7"/>
    <col width="13" customWidth="1" min="8" max="8"/>
    <col width="13" customWidth="1" min="9" max="9"/>
    <col width="44" customWidth="1" min="10" max="10"/>
  </cols>
  <sheetData>
    <row r="1">
      <c r="A1" s="1" t="inlineStr">
        <is>
          <t>Medibook — Production Readiness Test Summary</t>
        </is>
      </c>
    </row>
    <row r="2">
      <c r="A2" s="2" t="inlineStr">
        <is>
          <t>Every figure on this sheet is a formula over the Checklist sheet. Do not type over them.</t>
        </is>
      </c>
    </row>
    <row r="4">
      <c r="A4" s="3" t="inlineStr">
        <is>
          <t>Release gate</t>
        </is>
      </c>
    </row>
    <row r="5">
      <c r="A5" s="18" t="inlineStr">
        <is>
          <t>P0 cases not yet passed</t>
        </is>
      </c>
      <c r="B5" s="8">
        <f>COUNTIF(Checklist!$G$2:$G$1000,"P0")+COUNTIF('Business Logic'!$G$2:$G$1000,"P0")-(COUNTIFS(Checklist!$G$2:$G$1000,"P0",Checklist!$K$2:$K$1000,"Pass")+COUNTIFS('Business Logic'!$G$2:$G$1000,"P0",'Business Logic'!$K$2:$K$1000,"Pass"))-(COUNTIFS(Checklist!$G$2:$G$1000,"P0",Checklist!$K$2:$K$1000,"N/A")+COUNTIFS('Business Logic'!$G$2:$G$1000,"P0",'Business Logic'!$K$2:$K$1000,"N/A"))</f>
        <v/>
      </c>
      <c r="C5" s="2" t="inlineStr">
        <is>
          <t>Every P0 must be Pass (or N/A with a written reason).</t>
        </is>
      </c>
    </row>
    <row r="6">
      <c r="A6" s="18" t="inlineStr">
        <is>
          <t>P0 / P1 cases failing</t>
        </is>
      </c>
      <c r="B6" s="8">
        <f>COUNTIFS(Checklist!$G$2:$G$1000,"P0",Checklist!$K$2:$K$1000,"Fail")+COUNTIFS('Business Logic'!$G$2:$G$1000,"P0",'Business Logic'!$K$2:$K$1000,"Fail")+COUNTIFS(Checklist!$G$2:$G$1000,"P1",Checklist!$K$2:$K$1000,"Fail")+COUNTIFS('Business Logic'!$G$2:$G$1000,"P1",'Business Logic'!$K$2:$K$1000,"Fail")</f>
        <v/>
      </c>
      <c r="C6" s="2" t="inlineStr">
        <is>
          <t>No open P0 or P1 failures.</t>
        </is>
      </c>
    </row>
    <row r="7">
      <c r="A7" s="18" t="inlineStr">
        <is>
          <t>Cases blocked</t>
        </is>
      </c>
      <c r="B7" s="8">
        <f>COUNTIF(Checklist!$K$2:$K$1000,"Blocked")+COUNTIF('Business Logic'!$K$2:$K$1000,"Blocked")</f>
        <v/>
      </c>
      <c r="C7" s="2" t="inlineStr">
        <is>
          <t>Blocked cases must be unblocked or accepted on the Sign-off sheet.</t>
        </is>
      </c>
    </row>
    <row r="8">
      <c r="A8" s="18" t="inlineStr">
        <is>
          <t>Known blockers still open</t>
        </is>
      </c>
      <c r="B8" s="8">
        <f>'Known Blockers'!$I$1</f>
        <v/>
      </c>
      <c r="C8" s="2" t="inlineStr">
        <is>
          <t>From the Known Blockers sheet.</t>
        </is>
      </c>
    </row>
    <row r="9">
      <c r="A9" s="19" t="inlineStr">
        <is>
          <t>Verdict</t>
        </is>
      </c>
      <c r="B9" s="20">
        <f>IF(AND(B5=0,B6=0,B7=0,B8=0),"GO","NO-GO")</f>
        <v/>
      </c>
      <c r="C9" s="2" t="inlineStr">
        <is>
          <t>GO only when the four counts above are all zero. Counts cover the Checklist and Business Logic sheets together.</t>
        </is>
      </c>
    </row>
    <row r="11">
      <c r="A11" s="3" t="inlineStr">
        <is>
          <t>Progress by priority (both sheets)</t>
        </is>
      </c>
    </row>
    <row r="12" ht="30" customHeight="1">
      <c r="A12" s="15" t="inlineStr">
        <is>
          <t>Priority</t>
        </is>
      </c>
      <c r="B12" s="15" t="inlineStr">
        <is>
          <t>Total</t>
        </is>
      </c>
      <c r="C12" s="15" t="inlineStr">
        <is>
          <t>Pass</t>
        </is>
      </c>
      <c r="D12" s="15" t="inlineStr">
        <is>
          <t>Fail</t>
        </is>
      </c>
      <c r="E12" s="15" t="inlineStr">
        <is>
          <t>Blocked</t>
        </is>
      </c>
      <c r="F12" s="15" t="inlineStr">
        <is>
          <t>N/A</t>
        </is>
      </c>
      <c r="G12" s="15" t="inlineStr">
        <is>
          <t>Not Run</t>
        </is>
      </c>
      <c r="H12" s="15" t="inlineStr">
        <is>
          <t>% executed</t>
        </is>
      </c>
      <c r="I12" s="15" t="inlineStr">
        <is>
          <t>Pass rate</t>
        </is>
      </c>
    </row>
    <row r="13">
      <c r="A13" s="18" t="inlineStr">
        <is>
          <t>P0 — release blocker</t>
        </is>
      </c>
      <c r="B13" s="21">
        <f>COUNTIF(Checklist!$G$2:$G$1000,"P0")+COUNTIF('Business Logic'!$G$2:$G$1000,"P0")</f>
        <v/>
      </c>
      <c r="C13" s="21">
        <f>COUNTIFS(Checklist!$G$2:$G$1000,"P0",Checklist!$K$2:$K$1000,"Pass")+COUNTIFS('Business Logic'!$G$2:$G$1000,"P0",'Business Logic'!$K$2:$K$1000,"Pass")</f>
        <v/>
      </c>
      <c r="D13" s="21">
        <f>COUNTIFS(Checklist!$G$2:$G$1000,"P0",Checklist!$K$2:$K$1000,"Fail")+COUNTIFS('Business Logic'!$G$2:$G$1000,"P0",'Business Logic'!$K$2:$K$1000,"Fail")</f>
        <v/>
      </c>
      <c r="E13" s="21">
        <f>COUNTIFS(Checklist!$G$2:$G$1000,"P0",Checklist!$K$2:$K$1000,"Blocked")+COUNTIFS('Business Logic'!$G$2:$G$1000,"P0",'Business Logic'!$K$2:$K$1000,"Blocked")</f>
        <v/>
      </c>
      <c r="F13" s="21">
        <f>COUNTIFS(Checklist!$G$2:$G$1000,"P0",Checklist!$K$2:$K$1000,"N/A")+COUNTIFS('Business Logic'!$G$2:$G$1000,"P0",'Business Logic'!$K$2:$K$1000,"N/A")</f>
        <v/>
      </c>
      <c r="G13" s="21">
        <f>COUNTIFS(Checklist!$G$2:$G$1000,"P0",Checklist!$K$2:$K$1000,"Not Run")+COUNTIFS('Business Logic'!$G$2:$G$1000,"P0",'Business Logic'!$K$2:$K$1000,"Not Run")</f>
        <v/>
      </c>
      <c r="H13" s="22">
        <f>IF(B13=0,0,(B13-G13)/B13)</f>
        <v/>
      </c>
      <c r="I13" s="22">
        <f>IF(C13+D13=0,0,C13/(C13+D13))</f>
        <v/>
      </c>
    </row>
    <row r="14">
      <c r="A14" s="18" t="inlineStr">
        <is>
          <t>P1 — must fix before launch</t>
        </is>
      </c>
      <c r="B14" s="21">
        <f>COUNTIF(Checklist!$G$2:$G$1000,"P1")+COUNTIF('Business Logic'!$G$2:$G$1000,"P1")</f>
        <v/>
      </c>
      <c r="C14" s="21">
        <f>COUNTIFS(Checklist!$G$2:$G$1000,"P1",Checklist!$K$2:$K$1000,"Pass")+COUNTIFS('Business Logic'!$G$2:$G$1000,"P1",'Business Logic'!$K$2:$K$1000,"Pass")</f>
        <v/>
      </c>
      <c r="D14" s="21">
        <f>COUNTIFS(Checklist!$G$2:$G$1000,"P1",Checklist!$K$2:$K$1000,"Fail")+COUNTIFS('Business Logic'!$G$2:$G$1000,"P1",'Business Logic'!$K$2:$K$1000,"Fail")</f>
        <v/>
      </c>
      <c r="E14" s="21">
        <f>COUNTIFS(Checklist!$G$2:$G$1000,"P1",Checklist!$K$2:$K$1000,"Blocked")+COUNTIFS('Business Logic'!$G$2:$G$1000,"P1",'Business Logic'!$K$2:$K$1000,"Blocked")</f>
        <v/>
      </c>
      <c r="F14" s="21">
        <f>COUNTIFS(Checklist!$G$2:$G$1000,"P1",Checklist!$K$2:$K$1000,"N/A")+COUNTIFS('Business Logic'!$G$2:$G$1000,"P1",'Business Logic'!$K$2:$K$1000,"N/A")</f>
        <v/>
      </c>
      <c r="G14" s="21">
        <f>COUNTIFS(Checklist!$G$2:$G$1000,"P1",Checklist!$K$2:$K$1000,"Not Run")+COUNTIFS('Business Logic'!$G$2:$G$1000,"P1",'Business Logic'!$K$2:$K$1000,"Not Run")</f>
        <v/>
      </c>
      <c r="H14" s="22">
        <f>IF(B14=0,0,(B14-G14)/B14)</f>
        <v/>
      </c>
      <c r="I14" s="22">
        <f>IF(C14+D14=0,0,C14/(C14+D14))</f>
        <v/>
      </c>
    </row>
    <row r="15">
      <c r="A15" s="18" t="inlineStr">
        <is>
          <t>P2 — should fix</t>
        </is>
      </c>
      <c r="B15" s="21">
        <f>COUNTIF(Checklist!$G$2:$G$1000,"P2")+COUNTIF('Business Logic'!$G$2:$G$1000,"P2")</f>
        <v/>
      </c>
      <c r="C15" s="21">
        <f>COUNTIFS(Checklist!$G$2:$G$1000,"P2",Checklist!$K$2:$K$1000,"Pass")+COUNTIFS('Business Logic'!$G$2:$G$1000,"P2",'Business Logic'!$K$2:$K$1000,"Pass")</f>
        <v/>
      </c>
      <c r="D15" s="21">
        <f>COUNTIFS(Checklist!$G$2:$G$1000,"P2",Checklist!$K$2:$K$1000,"Fail")+COUNTIFS('Business Logic'!$G$2:$G$1000,"P2",'Business Logic'!$K$2:$K$1000,"Fail")</f>
        <v/>
      </c>
      <c r="E15" s="21">
        <f>COUNTIFS(Checklist!$G$2:$G$1000,"P2",Checklist!$K$2:$K$1000,"Blocked")+COUNTIFS('Business Logic'!$G$2:$G$1000,"P2",'Business Logic'!$K$2:$K$1000,"Blocked")</f>
        <v/>
      </c>
      <c r="F15" s="21">
        <f>COUNTIFS(Checklist!$G$2:$G$1000,"P2",Checklist!$K$2:$K$1000,"N/A")+COUNTIFS('Business Logic'!$G$2:$G$1000,"P2",'Business Logic'!$K$2:$K$1000,"N/A")</f>
        <v/>
      </c>
      <c r="G15" s="21">
        <f>COUNTIFS(Checklist!$G$2:$G$1000,"P2",Checklist!$K$2:$K$1000,"Not Run")+COUNTIFS('Business Logic'!$G$2:$G$1000,"P2",'Business Logic'!$K$2:$K$1000,"Not Run")</f>
        <v/>
      </c>
      <c r="H15" s="22">
        <f>IF(B15=0,0,(B15-G15)/B15)</f>
        <v/>
      </c>
      <c r="I15" s="22">
        <f>IF(C15+D15=0,0,C15/(C15+D15))</f>
        <v/>
      </c>
    </row>
    <row r="16">
      <c r="A16" s="18" t="inlineStr">
        <is>
          <t>P3 — nice to have</t>
        </is>
      </c>
      <c r="B16" s="21">
        <f>COUNTIF(Checklist!$G$2:$G$1000,"P3")+COUNTIF('Business Logic'!$G$2:$G$1000,"P3")</f>
        <v/>
      </c>
      <c r="C16" s="21">
        <f>COUNTIFS(Checklist!$G$2:$G$1000,"P3",Checklist!$K$2:$K$1000,"Pass")+COUNTIFS('Business Logic'!$G$2:$G$1000,"P3",'Business Logic'!$K$2:$K$1000,"Pass")</f>
        <v/>
      </c>
      <c r="D16" s="21">
        <f>COUNTIFS(Checklist!$G$2:$G$1000,"P3",Checklist!$K$2:$K$1000,"Fail")+COUNTIFS('Business Logic'!$G$2:$G$1000,"P3",'Business Logic'!$K$2:$K$1000,"Fail")</f>
        <v/>
      </c>
      <c r="E16" s="21">
        <f>COUNTIFS(Checklist!$G$2:$G$1000,"P3",Checklist!$K$2:$K$1000,"Blocked")+COUNTIFS('Business Logic'!$G$2:$G$1000,"P3",'Business Logic'!$K$2:$K$1000,"Blocked")</f>
        <v/>
      </c>
      <c r="F16" s="21">
        <f>COUNTIFS(Checklist!$G$2:$G$1000,"P3",Checklist!$K$2:$K$1000,"N/A")+COUNTIFS('Business Logic'!$G$2:$G$1000,"P3",'Business Logic'!$K$2:$K$1000,"N/A")</f>
        <v/>
      </c>
      <c r="G16" s="21">
        <f>COUNTIFS(Checklist!$G$2:$G$1000,"P3",Checklist!$K$2:$K$1000,"Not Run")+COUNTIFS('Business Logic'!$G$2:$G$1000,"P3",'Business Logic'!$K$2:$K$1000,"Not Run")</f>
        <v/>
      </c>
      <c r="H16" s="22">
        <f>IF(B16=0,0,(B16-G16)/B16)</f>
        <v/>
      </c>
      <c r="I16" s="22">
        <f>IF(C16+D16=0,0,C16/(C16+D16))</f>
        <v/>
      </c>
    </row>
    <row r="17">
      <c r="A17" s="23" t="inlineStr">
        <is>
          <t>All cases</t>
        </is>
      </c>
      <c r="B17" s="24">
        <f>COUNTA(Checklist!$A$2:$A$1000)+COUNTA('Business Logic'!$A$2:$A$1000)</f>
        <v/>
      </c>
      <c r="C17" s="24">
        <f>COUNTIF(Checklist!$K$2:$K$1000,"Pass")+COUNTIF('Business Logic'!$K$2:$K$1000,"Pass")</f>
        <v/>
      </c>
      <c r="D17" s="24">
        <f>COUNTIF(Checklist!$K$2:$K$1000,"Fail")+COUNTIF('Business Logic'!$K$2:$K$1000,"Fail")</f>
        <v/>
      </c>
      <c r="E17" s="24">
        <f>COUNTIF(Checklist!$K$2:$K$1000,"Blocked")+COUNTIF('Business Logic'!$K$2:$K$1000,"Blocked")</f>
        <v/>
      </c>
      <c r="F17" s="24">
        <f>COUNTIF(Checklist!$K$2:$K$1000,"N/A")+COUNTIF('Business Logic'!$K$2:$K$1000,"N/A")</f>
        <v/>
      </c>
      <c r="G17" s="24">
        <f>COUNTIF(Checklist!$K$2:$K$1000,"Not Run")+COUNTIF('Business Logic'!$K$2:$K$1000,"Not Run")</f>
        <v/>
      </c>
      <c r="H17" s="25">
        <f>IF(B17=0,0,(B17-G17)/B17)</f>
        <v/>
      </c>
      <c r="I17" s="25">
        <f>IF(C17+D17=0,0,C17/(C17+D17))</f>
        <v/>
      </c>
    </row>
    <row r="18">
      <c r="A18" s="18" t="inlineStr">
        <is>
          <t xml:space="preserve">   of which: Checklist sheet</t>
        </is>
      </c>
      <c r="B18" s="21">
        <f>COUNTA(Checklist!$A$2:$A$1000)</f>
        <v/>
      </c>
      <c r="C18" s="21">
        <f>COUNTIF(Checklist!$K$2:$K$1000,"Pass")</f>
        <v/>
      </c>
      <c r="D18" s="21">
        <f>COUNTIF(Checklist!$K$2:$K$1000,"Fail")</f>
        <v/>
      </c>
      <c r="E18" s="21">
        <f>COUNTIF(Checklist!$K$2:$K$1000,"Blocked")</f>
        <v/>
      </c>
      <c r="F18" s="21">
        <f>COUNTIF(Checklist!$K$2:$K$1000,"N/A")</f>
        <v/>
      </c>
      <c r="G18" s="21">
        <f>COUNTIF(Checklist!$K$2:$K$1000,"Not Run")</f>
        <v/>
      </c>
      <c r="H18" s="22">
        <f>IF(B18=0,0,(B18-G18)/B18)</f>
        <v/>
      </c>
      <c r="I18" s="22">
        <f>IF(C18+D18=0,0,C18/(C18+D18))</f>
        <v/>
      </c>
    </row>
    <row r="19">
      <c r="A19" s="18" t="inlineStr">
        <is>
          <t xml:space="preserve">   of which: Business Logic sheet</t>
        </is>
      </c>
      <c r="B19" s="21">
        <f>COUNTA('Business Logic'!$A$2:$A$1000)</f>
        <v/>
      </c>
      <c r="C19" s="21">
        <f>COUNTIF('Business Logic'!$K$2:$K$1000,"Pass")</f>
        <v/>
      </c>
      <c r="D19" s="21">
        <f>COUNTIF('Business Logic'!$K$2:$K$1000,"Fail")</f>
        <v/>
      </c>
      <c r="E19" s="21">
        <f>COUNTIF('Business Logic'!$K$2:$K$1000,"Blocked")</f>
        <v/>
      </c>
      <c r="F19" s="21">
        <f>COUNTIF('Business Logic'!$K$2:$K$1000,"N/A")</f>
        <v/>
      </c>
      <c r="G19" s="21">
        <f>COUNTIF('Business Logic'!$K$2:$K$1000,"Not Run")</f>
        <v/>
      </c>
      <c r="H19" s="22">
        <f>IF(B19=0,0,(B19-G19)/B19)</f>
        <v/>
      </c>
      <c r="I19" s="22">
        <f>IF(C19+D19=0,0,C19/(C19+D19))</f>
        <v/>
      </c>
    </row>
    <row r="21">
      <c r="A21" s="3" t="inlineStr">
        <is>
          <t>Business logic — progress by module</t>
        </is>
      </c>
    </row>
    <row r="22" ht="30" customHeight="1">
      <c r="A22" s="15" t="inlineStr">
        <is>
          <t>Module</t>
        </is>
      </c>
      <c r="B22" s="15" t="inlineStr">
        <is>
          <t>Total</t>
        </is>
      </c>
      <c r="C22" s="15" t="inlineStr">
        <is>
          <t>Pass</t>
        </is>
      </c>
      <c r="D22" s="15" t="inlineStr">
        <is>
          <t>Fail</t>
        </is>
      </c>
      <c r="E22" s="15" t="inlineStr">
        <is>
          <t>Blocked</t>
        </is>
      </c>
      <c r="F22" s="15" t="inlineStr">
        <is>
          <t>N/A</t>
        </is>
      </c>
      <c r="G22" s="15" t="inlineStr">
        <is>
          <t>Not Run</t>
        </is>
      </c>
      <c r="H22" s="15" t="inlineStr">
        <is>
          <t>% executed</t>
        </is>
      </c>
      <c r="I22" s="15" t="inlineStr">
        <is>
          <t>Pass rate</t>
        </is>
      </c>
    </row>
    <row r="23">
      <c r="A23" s="18" t="inlineStr">
        <is>
          <t>Authentication &amp; session</t>
        </is>
      </c>
      <c r="B23" s="21">
        <f>COUNTIF('Business Logic'!$B$2:$B$1000,$A23)</f>
        <v/>
      </c>
      <c r="C23" s="21">
        <f>COUNTIFS('Business Logic'!$B$2:$B$1000,$A23,'Business Logic'!$K$2:$K$1000,"Pass")</f>
        <v/>
      </c>
      <c r="D23" s="21">
        <f>COUNTIFS('Business Logic'!$B$2:$B$1000,$A23,'Business Logic'!$K$2:$K$1000,"Fail")</f>
        <v/>
      </c>
      <c r="E23" s="21">
        <f>COUNTIFS('Business Logic'!$B$2:$B$1000,$A23,'Business Logic'!$K$2:$K$1000,"Blocked")</f>
        <v/>
      </c>
      <c r="F23" s="21">
        <f>COUNTIFS('Business Logic'!$B$2:$B$1000,$A23,'Business Logic'!$K$2:$K$1000,"N/A")</f>
        <v/>
      </c>
      <c r="G23" s="21">
        <f>COUNTIFS('Business Logic'!$B$2:$B$1000,$A23,'Business Logic'!$K$2:$K$1000,"Not Run")</f>
        <v/>
      </c>
      <c r="H23" s="22">
        <f>IF(B23=0,0,(B23-G23)/B23)</f>
        <v/>
      </c>
      <c r="I23" s="22">
        <f>IF(C23+D23=0,0,C23/(C23+D23))</f>
        <v/>
      </c>
    </row>
    <row r="24">
      <c r="A24" s="18" t="inlineStr">
        <is>
          <t>Booking</t>
        </is>
      </c>
      <c r="B24" s="21">
        <f>COUNTIF('Business Logic'!$B$2:$B$1000,$A24)</f>
        <v/>
      </c>
      <c r="C24" s="21">
        <f>COUNTIFS('Business Logic'!$B$2:$B$1000,$A24,'Business Logic'!$K$2:$K$1000,"Pass")</f>
        <v/>
      </c>
      <c r="D24" s="21">
        <f>COUNTIFS('Business Logic'!$B$2:$B$1000,$A24,'Business Logic'!$K$2:$K$1000,"Fail")</f>
        <v/>
      </c>
      <c r="E24" s="21">
        <f>COUNTIFS('Business Logic'!$B$2:$B$1000,$A24,'Business Logic'!$K$2:$K$1000,"Blocked")</f>
        <v/>
      </c>
      <c r="F24" s="21">
        <f>COUNTIFS('Business Logic'!$B$2:$B$1000,$A24,'Business Logic'!$K$2:$K$1000,"N/A")</f>
        <v/>
      </c>
      <c r="G24" s="21">
        <f>COUNTIFS('Business Logic'!$B$2:$B$1000,$A24,'Business Logic'!$K$2:$K$1000,"Not Run")</f>
        <v/>
      </c>
      <c r="H24" s="22">
        <f>IF(B24=0,0,(B24-G24)/B24)</f>
        <v/>
      </c>
      <c r="I24" s="22">
        <f>IF(C24+D24=0,0,C24/(C24+D24))</f>
        <v/>
      </c>
    </row>
    <row r="25">
      <c r="A25" s="18" t="inlineStr">
        <is>
          <t>Payment</t>
        </is>
      </c>
      <c r="B25" s="21">
        <f>COUNTIF('Business Logic'!$B$2:$B$1000,$A25)</f>
        <v/>
      </c>
      <c r="C25" s="21">
        <f>COUNTIFS('Business Logic'!$B$2:$B$1000,$A25,'Business Logic'!$K$2:$K$1000,"Pass")</f>
        <v/>
      </c>
      <c r="D25" s="21">
        <f>COUNTIFS('Business Logic'!$B$2:$B$1000,$A25,'Business Logic'!$K$2:$K$1000,"Fail")</f>
        <v/>
      </c>
      <c r="E25" s="21">
        <f>COUNTIFS('Business Logic'!$B$2:$B$1000,$A25,'Business Logic'!$K$2:$K$1000,"Blocked")</f>
        <v/>
      </c>
      <c r="F25" s="21">
        <f>COUNTIFS('Business Logic'!$B$2:$B$1000,$A25,'Business Logic'!$K$2:$K$1000,"N/A")</f>
        <v/>
      </c>
      <c r="G25" s="21">
        <f>COUNTIFS('Business Logic'!$B$2:$B$1000,$A25,'Business Logic'!$K$2:$K$1000,"Not Run")</f>
        <v/>
      </c>
      <c r="H25" s="22">
        <f>IF(B25=0,0,(B25-G25)/B25)</f>
        <v/>
      </c>
      <c r="I25" s="22">
        <f>IF(C25+D25=0,0,C25/(C25+D25))</f>
        <v/>
      </c>
    </row>
    <row r="26">
      <c r="A26" s="18" t="inlineStr">
        <is>
          <t>Appointments</t>
        </is>
      </c>
      <c r="B26" s="21">
        <f>COUNTIF('Business Logic'!$B$2:$B$1000,$A26)</f>
        <v/>
      </c>
      <c r="C26" s="21">
        <f>COUNTIFS('Business Logic'!$B$2:$B$1000,$A26,'Business Logic'!$K$2:$K$1000,"Pass")</f>
        <v/>
      </c>
      <c r="D26" s="21">
        <f>COUNTIFS('Business Logic'!$B$2:$B$1000,$A26,'Business Logic'!$K$2:$K$1000,"Fail")</f>
        <v/>
      </c>
      <c r="E26" s="21">
        <f>COUNTIFS('Business Logic'!$B$2:$B$1000,$A26,'Business Logic'!$K$2:$K$1000,"Blocked")</f>
        <v/>
      </c>
      <c r="F26" s="21">
        <f>COUNTIFS('Business Logic'!$B$2:$B$1000,$A26,'Business Logic'!$K$2:$K$1000,"N/A")</f>
        <v/>
      </c>
      <c r="G26" s="21">
        <f>COUNTIFS('Business Logic'!$B$2:$B$1000,$A26,'Business Logic'!$K$2:$K$1000,"Not Run")</f>
        <v/>
      </c>
      <c r="H26" s="22">
        <f>IF(B26=0,0,(B26-G26)/B26)</f>
        <v/>
      </c>
      <c r="I26" s="22">
        <f>IF(C26+D26=0,0,C26/(C26+D26))</f>
        <v/>
      </c>
    </row>
    <row r="27">
      <c r="A27" s="18" t="inlineStr">
        <is>
          <t>Live queue</t>
        </is>
      </c>
      <c r="B27" s="21">
        <f>COUNTIF('Business Logic'!$B$2:$B$1000,$A27)</f>
        <v/>
      </c>
      <c r="C27" s="21">
        <f>COUNTIFS('Business Logic'!$B$2:$B$1000,$A27,'Business Logic'!$K$2:$K$1000,"Pass")</f>
        <v/>
      </c>
      <c r="D27" s="21">
        <f>COUNTIFS('Business Logic'!$B$2:$B$1000,$A27,'Business Logic'!$K$2:$K$1000,"Fail")</f>
        <v/>
      </c>
      <c r="E27" s="21">
        <f>COUNTIFS('Business Logic'!$B$2:$B$1000,$A27,'Business Logic'!$K$2:$K$1000,"Blocked")</f>
        <v/>
      </c>
      <c r="F27" s="21">
        <f>COUNTIFS('Business Logic'!$B$2:$B$1000,$A27,'Business Logic'!$K$2:$K$1000,"N/A")</f>
        <v/>
      </c>
      <c r="G27" s="21">
        <f>COUNTIFS('Business Logic'!$B$2:$B$1000,$A27,'Business Logic'!$K$2:$K$1000,"Not Run")</f>
        <v/>
      </c>
      <c r="H27" s="22">
        <f>IF(B27=0,0,(B27-G27)/B27)</f>
        <v/>
      </c>
      <c r="I27" s="22">
        <f>IF(C27+D27=0,0,C27/(C27+D27))</f>
        <v/>
      </c>
    </row>
    <row r="28">
      <c r="A28" s="18" t="inlineStr">
        <is>
          <t>Home &amp; search</t>
        </is>
      </c>
      <c r="B28" s="21">
        <f>COUNTIF('Business Logic'!$B$2:$B$1000,$A28)</f>
        <v/>
      </c>
      <c r="C28" s="21">
        <f>COUNTIFS('Business Logic'!$B$2:$B$1000,$A28,'Business Logic'!$K$2:$K$1000,"Pass")</f>
        <v/>
      </c>
      <c r="D28" s="21">
        <f>COUNTIFS('Business Logic'!$B$2:$B$1000,$A28,'Business Logic'!$K$2:$K$1000,"Fail")</f>
        <v/>
      </c>
      <c r="E28" s="21">
        <f>COUNTIFS('Business Logic'!$B$2:$B$1000,$A28,'Business Logic'!$K$2:$K$1000,"Blocked")</f>
        <v/>
      </c>
      <c r="F28" s="21">
        <f>COUNTIFS('Business Logic'!$B$2:$B$1000,$A28,'Business Logic'!$K$2:$K$1000,"N/A")</f>
        <v/>
      </c>
      <c r="G28" s="21">
        <f>COUNTIFS('Business Logic'!$B$2:$B$1000,$A28,'Business Logic'!$K$2:$K$1000,"Not Run")</f>
        <v/>
      </c>
      <c r="H28" s="22">
        <f>IF(B28=0,0,(B28-G28)/B28)</f>
        <v/>
      </c>
      <c r="I28" s="22">
        <f>IF(C28+D28=0,0,C28/(C28+D28))</f>
        <v/>
      </c>
    </row>
    <row r="29">
      <c r="A29" s="18" t="inlineStr">
        <is>
          <t>Records &amp; uploads</t>
        </is>
      </c>
      <c r="B29" s="21">
        <f>COUNTIF('Business Logic'!$B$2:$B$1000,$A29)</f>
        <v/>
      </c>
      <c r="C29" s="21">
        <f>COUNTIFS('Business Logic'!$B$2:$B$1000,$A29,'Business Logic'!$K$2:$K$1000,"Pass")</f>
        <v/>
      </c>
      <c r="D29" s="21">
        <f>COUNTIFS('Business Logic'!$B$2:$B$1000,$A29,'Business Logic'!$K$2:$K$1000,"Fail")</f>
        <v/>
      </c>
      <c r="E29" s="21">
        <f>COUNTIFS('Business Logic'!$B$2:$B$1000,$A29,'Business Logic'!$K$2:$K$1000,"Blocked")</f>
        <v/>
      </c>
      <c r="F29" s="21">
        <f>COUNTIFS('Business Logic'!$B$2:$B$1000,$A29,'Business Logic'!$K$2:$K$1000,"N/A")</f>
        <v/>
      </c>
      <c r="G29" s="21">
        <f>COUNTIFS('Business Logic'!$B$2:$B$1000,$A29,'Business Logic'!$K$2:$K$1000,"Not Run")</f>
        <v/>
      </c>
      <c r="H29" s="22">
        <f>IF(B29=0,0,(B29-G29)/B29)</f>
        <v/>
      </c>
      <c r="I29" s="22">
        <f>IF(C29+D29=0,0,C29/(C29+D29))</f>
        <v/>
      </c>
    </row>
    <row r="30">
      <c r="A30" s="18" t="inlineStr">
        <is>
          <t>Cache, offline &amp; pagination</t>
        </is>
      </c>
      <c r="B30" s="21">
        <f>COUNTIF('Business Logic'!$B$2:$B$1000,$A30)</f>
        <v/>
      </c>
      <c r="C30" s="21">
        <f>COUNTIFS('Business Logic'!$B$2:$B$1000,$A30,'Business Logic'!$K$2:$K$1000,"Pass")</f>
        <v/>
      </c>
      <c r="D30" s="21">
        <f>COUNTIFS('Business Logic'!$B$2:$B$1000,$A30,'Business Logic'!$K$2:$K$1000,"Fail")</f>
        <v/>
      </c>
      <c r="E30" s="21">
        <f>COUNTIFS('Business Logic'!$B$2:$B$1000,$A30,'Business Logic'!$K$2:$K$1000,"Blocked")</f>
        <v/>
      </c>
      <c r="F30" s="21">
        <f>COUNTIFS('Business Logic'!$B$2:$B$1000,$A30,'Business Logic'!$K$2:$K$1000,"N/A")</f>
        <v/>
      </c>
      <c r="G30" s="21">
        <f>COUNTIFS('Business Logic'!$B$2:$B$1000,$A30,'Business Logic'!$K$2:$K$1000,"Not Run")</f>
        <v/>
      </c>
      <c r="H30" s="22">
        <f>IF(B30=0,0,(B30-G30)/B30)</f>
        <v/>
      </c>
      <c r="I30" s="22">
        <f>IF(C30+D30=0,0,C30/(C30+D30))</f>
        <v/>
      </c>
    </row>
    <row r="31">
      <c r="A31" s="18" t="inlineStr">
        <is>
          <t>Notifications</t>
        </is>
      </c>
      <c r="B31" s="21">
        <f>COUNTIF('Business Logic'!$B$2:$B$1000,$A31)</f>
        <v/>
      </c>
      <c r="C31" s="21">
        <f>COUNTIFS('Business Logic'!$B$2:$B$1000,$A31,'Business Logic'!$K$2:$K$1000,"Pass")</f>
        <v/>
      </c>
      <c r="D31" s="21">
        <f>COUNTIFS('Business Logic'!$B$2:$B$1000,$A31,'Business Logic'!$K$2:$K$1000,"Fail")</f>
        <v/>
      </c>
      <c r="E31" s="21">
        <f>COUNTIFS('Business Logic'!$B$2:$B$1000,$A31,'Business Logic'!$K$2:$K$1000,"Blocked")</f>
        <v/>
      </c>
      <c r="F31" s="21">
        <f>COUNTIFS('Business Logic'!$B$2:$B$1000,$A31,'Business Logic'!$K$2:$K$1000,"N/A")</f>
        <v/>
      </c>
      <c r="G31" s="21">
        <f>COUNTIFS('Business Logic'!$B$2:$B$1000,$A31,'Business Logic'!$K$2:$K$1000,"Not Run")</f>
        <v/>
      </c>
      <c r="H31" s="22">
        <f>IF(B31=0,0,(B31-G31)/B31)</f>
        <v/>
      </c>
      <c r="I31" s="22">
        <f>IF(C31+D31=0,0,C31/(C31+D31))</f>
        <v/>
      </c>
    </row>
    <row r="32">
      <c r="A32" s="18" t="inlineStr">
        <is>
          <t>Profile &amp; account</t>
        </is>
      </c>
      <c r="B32" s="21">
        <f>COUNTIF('Business Logic'!$B$2:$B$1000,$A32)</f>
        <v/>
      </c>
      <c r="C32" s="21">
        <f>COUNTIFS('Business Logic'!$B$2:$B$1000,$A32,'Business Logic'!$K$2:$K$1000,"Pass")</f>
        <v/>
      </c>
      <c r="D32" s="21">
        <f>COUNTIFS('Business Logic'!$B$2:$B$1000,$A32,'Business Logic'!$K$2:$K$1000,"Fail")</f>
        <v/>
      </c>
      <c r="E32" s="21">
        <f>COUNTIFS('Business Logic'!$B$2:$B$1000,$A32,'Business Logic'!$K$2:$K$1000,"Blocked")</f>
        <v/>
      </c>
      <c r="F32" s="21">
        <f>COUNTIFS('Business Logic'!$B$2:$B$1000,$A32,'Business Logic'!$K$2:$K$1000,"N/A")</f>
        <v/>
      </c>
      <c r="G32" s="21">
        <f>COUNTIFS('Business Logic'!$B$2:$B$1000,$A32,'Business Logic'!$K$2:$K$1000,"Not Run")</f>
        <v/>
      </c>
      <c r="H32" s="22">
        <f>IF(B32=0,0,(B32-G32)/B32)</f>
        <v/>
      </c>
      <c r="I32" s="22">
        <f>IF(C32+D32=0,0,C32/(C32+D32))</f>
        <v/>
      </c>
    </row>
    <row r="33">
      <c r="A33" s="18" t="inlineStr">
        <is>
          <t>Family members</t>
        </is>
      </c>
      <c r="B33" s="21">
        <f>COUNTIF('Business Logic'!$B$2:$B$1000,$A33)</f>
        <v/>
      </c>
      <c r="C33" s="21">
        <f>COUNTIFS('Business Logic'!$B$2:$B$1000,$A33,'Business Logic'!$K$2:$K$1000,"Pass")</f>
        <v/>
      </c>
      <c r="D33" s="21">
        <f>COUNTIFS('Business Logic'!$B$2:$B$1000,$A33,'Business Logic'!$K$2:$K$1000,"Fail")</f>
        <v/>
      </c>
      <c r="E33" s="21">
        <f>COUNTIFS('Business Logic'!$B$2:$B$1000,$A33,'Business Logic'!$K$2:$K$1000,"Blocked")</f>
        <v/>
      </c>
      <c r="F33" s="21">
        <f>COUNTIFS('Business Logic'!$B$2:$B$1000,$A33,'Business Logic'!$K$2:$K$1000,"N/A")</f>
        <v/>
      </c>
      <c r="G33" s="21">
        <f>COUNTIFS('Business Logic'!$B$2:$B$1000,$A33,'Business Logic'!$K$2:$K$1000,"Not Run")</f>
        <v/>
      </c>
      <c r="H33" s="22">
        <f>IF(B33=0,0,(B33-G33)/B33)</f>
        <v/>
      </c>
      <c r="I33" s="22">
        <f>IF(C33+D33=0,0,C33/(C33+D33))</f>
        <v/>
      </c>
    </row>
    <row r="34">
      <c r="A34" s="18" t="inlineStr">
        <is>
          <t>Insurance</t>
        </is>
      </c>
      <c r="B34" s="21">
        <f>COUNTIF('Business Logic'!$B$2:$B$1000,$A34)</f>
        <v/>
      </c>
      <c r="C34" s="21">
        <f>COUNTIFS('Business Logic'!$B$2:$B$1000,$A34,'Business Logic'!$K$2:$K$1000,"Pass")</f>
        <v/>
      </c>
      <c r="D34" s="21">
        <f>COUNTIFS('Business Logic'!$B$2:$B$1000,$A34,'Business Logic'!$K$2:$K$1000,"Fail")</f>
        <v/>
      </c>
      <c r="E34" s="21">
        <f>COUNTIFS('Business Logic'!$B$2:$B$1000,$A34,'Business Logic'!$K$2:$K$1000,"Blocked")</f>
        <v/>
      </c>
      <c r="F34" s="21">
        <f>COUNTIFS('Business Logic'!$B$2:$B$1000,$A34,'Business Logic'!$K$2:$K$1000,"N/A")</f>
        <v/>
      </c>
      <c r="G34" s="21">
        <f>COUNTIFS('Business Logic'!$B$2:$B$1000,$A34,'Business Logic'!$K$2:$K$1000,"Not Run")</f>
        <v/>
      </c>
      <c r="H34" s="22">
        <f>IF(B34=0,0,(B34-G34)/B34)</f>
        <v/>
      </c>
      <c r="I34" s="22">
        <f>IF(C34+D34=0,0,C34/(C34+D34))</f>
        <v/>
      </c>
    </row>
    <row r="35">
      <c r="A35" s="18" t="inlineStr">
        <is>
          <t>Support, legal &amp; ambulance</t>
        </is>
      </c>
      <c r="B35" s="21">
        <f>COUNTIF('Business Logic'!$B$2:$B$1000,$A35)</f>
        <v/>
      </c>
      <c r="C35" s="21">
        <f>COUNTIFS('Business Logic'!$B$2:$B$1000,$A35,'Business Logic'!$K$2:$K$1000,"Pass")</f>
        <v/>
      </c>
      <c r="D35" s="21">
        <f>COUNTIFS('Business Logic'!$B$2:$B$1000,$A35,'Business Logic'!$K$2:$K$1000,"Fail")</f>
        <v/>
      </c>
      <c r="E35" s="21">
        <f>COUNTIFS('Business Logic'!$B$2:$B$1000,$A35,'Business Logic'!$K$2:$K$1000,"Blocked")</f>
        <v/>
      </c>
      <c r="F35" s="21">
        <f>COUNTIFS('Business Logic'!$B$2:$B$1000,$A35,'Business Logic'!$K$2:$K$1000,"N/A")</f>
        <v/>
      </c>
      <c r="G35" s="21">
        <f>COUNTIFS('Business Logic'!$B$2:$B$1000,$A35,'Business Logic'!$K$2:$K$1000,"Not Run")</f>
        <v/>
      </c>
      <c r="H35" s="22">
        <f>IF(B35=0,0,(B35-G35)/B35)</f>
        <v/>
      </c>
      <c r="I35" s="22">
        <f>IF(C35+D35=0,0,C35/(C35+D35))</f>
        <v/>
      </c>
    </row>
    <row r="36">
      <c r="A36" s="18" t="inlineStr">
        <is>
          <t>Shared rules: money &amp; time</t>
        </is>
      </c>
      <c r="B36" s="21">
        <f>COUNTIF('Business Logic'!$B$2:$B$1000,$A36)</f>
        <v/>
      </c>
      <c r="C36" s="21">
        <f>COUNTIFS('Business Logic'!$B$2:$B$1000,$A36,'Business Logic'!$K$2:$K$1000,"Pass")</f>
        <v/>
      </c>
      <c r="D36" s="21">
        <f>COUNTIFS('Business Logic'!$B$2:$B$1000,$A36,'Business Logic'!$K$2:$K$1000,"Fail")</f>
        <v/>
      </c>
      <c r="E36" s="21">
        <f>COUNTIFS('Business Logic'!$B$2:$B$1000,$A36,'Business Logic'!$K$2:$K$1000,"Blocked")</f>
        <v/>
      </c>
      <c r="F36" s="21">
        <f>COUNTIFS('Business Logic'!$B$2:$B$1000,$A36,'Business Logic'!$K$2:$K$1000,"N/A")</f>
        <v/>
      </c>
      <c r="G36" s="21">
        <f>COUNTIFS('Business Logic'!$B$2:$B$1000,$A36,'Business Logic'!$K$2:$K$1000,"Not Run")</f>
        <v/>
      </c>
      <c r="H36" s="22">
        <f>IF(B36=0,0,(B36-G36)/B36)</f>
        <v/>
      </c>
      <c r="I36" s="22">
        <f>IF(C36+D36=0,0,C36/(C36+D36))</f>
        <v/>
      </c>
    </row>
    <row r="37">
      <c r="A37" s="23" t="inlineStr">
        <is>
          <t>Total</t>
        </is>
      </c>
      <c r="B37" s="24">
        <f>SUM(B23:B36)</f>
        <v/>
      </c>
      <c r="C37" s="24">
        <f>SUM(C23:C36)</f>
        <v/>
      </c>
      <c r="D37" s="24">
        <f>SUM(D23:D36)</f>
        <v/>
      </c>
      <c r="E37" s="24">
        <f>SUM(E23:E36)</f>
        <v/>
      </c>
      <c r="F37" s="24">
        <f>SUM(F23:F36)</f>
        <v/>
      </c>
      <c r="G37" s="24">
        <f>SUM(G23:G36)</f>
        <v/>
      </c>
      <c r="H37" s="25">
        <f>IF(B37=0,0,(B37-G37)/B37)</f>
        <v/>
      </c>
      <c r="I37" s="25">
        <f>IF(C37+D37=0,0,C37/(C37+D37))</f>
        <v/>
      </c>
      <c r="J37" s="26">
        <f>IF(B37=B19,"","Totals differ: a row on that sheet has a module name not listed here.")</f>
        <v/>
      </c>
    </row>
    <row r="39">
      <c r="A39" s="3" t="inlineStr">
        <is>
          <t>Functional, non-functional &amp; release checklist — progress by module</t>
        </is>
      </c>
    </row>
    <row r="40" ht="30" customHeight="1">
      <c r="A40" s="15" t="inlineStr">
        <is>
          <t>Module</t>
        </is>
      </c>
      <c r="B40" s="15" t="inlineStr">
        <is>
          <t>Total</t>
        </is>
      </c>
      <c r="C40" s="15" t="inlineStr">
        <is>
          <t>Pass</t>
        </is>
      </c>
      <c r="D40" s="15" t="inlineStr">
        <is>
          <t>Fail</t>
        </is>
      </c>
      <c r="E40" s="15" t="inlineStr">
        <is>
          <t>Blocked</t>
        </is>
      </c>
      <c r="F40" s="15" t="inlineStr">
        <is>
          <t>N/A</t>
        </is>
      </c>
      <c r="G40" s="15" t="inlineStr">
        <is>
          <t>Not Run</t>
        </is>
      </c>
      <c r="H40" s="15" t="inlineStr">
        <is>
          <t>% executed</t>
        </is>
      </c>
      <c r="I40" s="15" t="inlineStr">
        <is>
          <t>Pass rate</t>
        </is>
      </c>
    </row>
    <row r="41">
      <c r="A41" s="18" t="inlineStr">
        <is>
          <t>00 Test environment &amp; prerequisites</t>
        </is>
      </c>
      <c r="B41" s="21">
        <f>COUNTIF(Checklist!$B$2:$B$1000,$A41)</f>
        <v/>
      </c>
      <c r="C41" s="21">
        <f>COUNTIFS(Checklist!$B$2:$B$1000,$A41,Checklist!$K$2:$K$1000,"Pass")</f>
        <v/>
      </c>
      <c r="D41" s="21">
        <f>COUNTIFS(Checklist!$B$2:$B$1000,$A41,Checklist!$K$2:$K$1000,"Fail")</f>
        <v/>
      </c>
      <c r="E41" s="21">
        <f>COUNTIFS(Checklist!$B$2:$B$1000,$A41,Checklist!$K$2:$K$1000,"Blocked")</f>
        <v/>
      </c>
      <c r="F41" s="21">
        <f>COUNTIFS(Checklist!$B$2:$B$1000,$A41,Checklist!$K$2:$K$1000,"N/A")</f>
        <v/>
      </c>
      <c r="G41" s="21">
        <f>COUNTIFS(Checklist!$B$2:$B$1000,$A41,Checklist!$K$2:$K$1000,"Not Run")</f>
        <v/>
      </c>
      <c r="H41" s="22">
        <f>IF(B41=0,0,(B41-G41)/B41)</f>
        <v/>
      </c>
      <c r="I41" s="22">
        <f>IF(C41+D41=0,0,C41/(C41+D41))</f>
        <v/>
      </c>
    </row>
    <row r="42">
      <c r="A42" s="18" t="inlineStr">
        <is>
          <t>01 End-to-end journeys (run first)</t>
        </is>
      </c>
      <c r="B42" s="21">
        <f>COUNTIF(Checklist!$B$2:$B$1000,$A42)</f>
        <v/>
      </c>
      <c r="C42" s="21">
        <f>COUNTIFS(Checklist!$B$2:$B$1000,$A42,Checklist!$K$2:$K$1000,"Pass")</f>
        <v/>
      </c>
      <c r="D42" s="21">
        <f>COUNTIFS(Checklist!$B$2:$B$1000,$A42,Checklist!$K$2:$K$1000,"Fail")</f>
        <v/>
      </c>
      <c r="E42" s="21">
        <f>COUNTIFS(Checklist!$B$2:$B$1000,$A42,Checklist!$K$2:$K$1000,"Blocked")</f>
        <v/>
      </c>
      <c r="F42" s="21">
        <f>COUNTIFS(Checklist!$B$2:$B$1000,$A42,Checklist!$K$2:$K$1000,"N/A")</f>
        <v/>
      </c>
      <c r="G42" s="21">
        <f>COUNTIFS(Checklist!$B$2:$B$1000,$A42,Checklist!$K$2:$K$1000,"Not Run")</f>
        <v/>
      </c>
      <c r="H42" s="22">
        <f>IF(B42=0,0,(B42-G42)/B42)</f>
        <v/>
      </c>
      <c r="I42" s="22">
        <f>IF(C42+D42=0,0,C42/(C42+D42))</f>
        <v/>
      </c>
    </row>
    <row r="43">
      <c r="A43" s="18" t="inlineStr">
        <is>
          <t>02 Install, launch &amp; bootstrap</t>
        </is>
      </c>
      <c r="B43" s="21">
        <f>COUNTIF(Checklist!$B$2:$B$1000,$A43)</f>
        <v/>
      </c>
      <c r="C43" s="21">
        <f>COUNTIFS(Checklist!$B$2:$B$1000,$A43,Checklist!$K$2:$K$1000,"Pass")</f>
        <v/>
      </c>
      <c r="D43" s="21">
        <f>COUNTIFS(Checklist!$B$2:$B$1000,$A43,Checklist!$K$2:$K$1000,"Fail")</f>
        <v/>
      </c>
      <c r="E43" s="21">
        <f>COUNTIFS(Checklist!$B$2:$B$1000,$A43,Checklist!$K$2:$K$1000,"Blocked")</f>
        <v/>
      </c>
      <c r="F43" s="21">
        <f>COUNTIFS(Checklist!$B$2:$B$1000,$A43,Checklist!$K$2:$K$1000,"N/A")</f>
        <v/>
      </c>
      <c r="G43" s="21">
        <f>COUNTIFS(Checklist!$B$2:$B$1000,$A43,Checklist!$K$2:$K$1000,"Not Run")</f>
        <v/>
      </c>
      <c r="H43" s="22">
        <f>IF(B43=0,0,(B43-G43)/B43)</f>
        <v/>
      </c>
      <c r="I43" s="22">
        <f>IF(C43+D43=0,0,C43/(C43+D43))</f>
        <v/>
      </c>
    </row>
    <row r="44">
      <c r="A44" s="18" t="inlineStr">
        <is>
          <t>03 Onboarding &amp; consent</t>
        </is>
      </c>
      <c r="B44" s="21">
        <f>COUNTIF(Checklist!$B$2:$B$1000,$A44)</f>
        <v/>
      </c>
      <c r="C44" s="21">
        <f>COUNTIFS(Checklist!$B$2:$B$1000,$A44,Checklist!$K$2:$K$1000,"Pass")</f>
        <v/>
      </c>
      <c r="D44" s="21">
        <f>COUNTIFS(Checklist!$B$2:$B$1000,$A44,Checklist!$K$2:$K$1000,"Fail")</f>
        <v/>
      </c>
      <c r="E44" s="21">
        <f>COUNTIFS(Checklist!$B$2:$B$1000,$A44,Checklist!$K$2:$K$1000,"Blocked")</f>
        <v/>
      </c>
      <c r="F44" s="21">
        <f>COUNTIFS(Checklist!$B$2:$B$1000,$A44,Checklist!$K$2:$K$1000,"N/A")</f>
        <v/>
      </c>
      <c r="G44" s="21">
        <f>COUNTIFS(Checklist!$B$2:$B$1000,$A44,Checklist!$K$2:$K$1000,"Not Run")</f>
        <v/>
      </c>
      <c r="H44" s="22">
        <f>IF(B44=0,0,(B44-G44)/B44)</f>
        <v/>
      </c>
      <c r="I44" s="22">
        <f>IF(C44+D44=0,0,C44/(C44+D44))</f>
        <v/>
      </c>
    </row>
    <row r="45">
      <c r="A45" s="18" t="inlineStr">
        <is>
          <t>04 Authentication &amp; session</t>
        </is>
      </c>
      <c r="B45" s="21">
        <f>COUNTIF(Checklist!$B$2:$B$1000,$A45)</f>
        <v/>
      </c>
      <c r="C45" s="21">
        <f>COUNTIFS(Checklist!$B$2:$B$1000,$A45,Checklist!$K$2:$K$1000,"Pass")</f>
        <v/>
      </c>
      <c r="D45" s="21">
        <f>COUNTIFS(Checklist!$B$2:$B$1000,$A45,Checklist!$K$2:$K$1000,"Fail")</f>
        <v/>
      </c>
      <c r="E45" s="21">
        <f>COUNTIFS(Checklist!$B$2:$B$1000,$A45,Checklist!$K$2:$K$1000,"Blocked")</f>
        <v/>
      </c>
      <c r="F45" s="21">
        <f>COUNTIFS(Checklist!$B$2:$B$1000,$A45,Checklist!$K$2:$K$1000,"N/A")</f>
        <v/>
      </c>
      <c r="G45" s="21">
        <f>COUNTIFS(Checklist!$B$2:$B$1000,$A45,Checklist!$K$2:$K$1000,"Not Run")</f>
        <v/>
      </c>
      <c r="H45" s="22">
        <f>IF(B45=0,0,(B45-G45)/B45)</f>
        <v/>
      </c>
      <c r="I45" s="22">
        <f>IF(C45+D45=0,0,C45/(C45+D45))</f>
        <v/>
      </c>
    </row>
    <row r="46">
      <c r="A46" s="18" t="inlineStr">
        <is>
          <t>05 Home dashboard</t>
        </is>
      </c>
      <c r="B46" s="21">
        <f>COUNTIF(Checklist!$B$2:$B$1000,$A46)</f>
        <v/>
      </c>
      <c r="C46" s="21">
        <f>COUNTIFS(Checklist!$B$2:$B$1000,$A46,Checklist!$K$2:$K$1000,"Pass")</f>
        <v/>
      </c>
      <c r="D46" s="21">
        <f>COUNTIFS(Checklist!$B$2:$B$1000,$A46,Checklist!$K$2:$K$1000,"Fail")</f>
        <v/>
      </c>
      <c r="E46" s="21">
        <f>COUNTIFS(Checklist!$B$2:$B$1000,$A46,Checklist!$K$2:$K$1000,"Blocked")</f>
        <v/>
      </c>
      <c r="F46" s="21">
        <f>COUNTIFS(Checklist!$B$2:$B$1000,$A46,Checklist!$K$2:$K$1000,"N/A")</f>
        <v/>
      </c>
      <c r="G46" s="21">
        <f>COUNTIFS(Checklist!$B$2:$B$1000,$A46,Checklist!$K$2:$K$1000,"Not Run")</f>
        <v/>
      </c>
      <c r="H46" s="22">
        <f>IF(B46=0,0,(B46-G46)/B46)</f>
        <v/>
      </c>
      <c r="I46" s="22">
        <f>IF(C46+D46=0,0,C46/(C46+D46))</f>
        <v/>
      </c>
    </row>
    <row r="47">
      <c r="A47" s="18" t="inlineStr">
        <is>
          <t>06 Discovery: locations, hospitals, doctors, search</t>
        </is>
      </c>
      <c r="B47" s="21">
        <f>COUNTIF(Checklist!$B$2:$B$1000,$A47)</f>
        <v/>
      </c>
      <c r="C47" s="21">
        <f>COUNTIFS(Checklist!$B$2:$B$1000,$A47,Checklist!$K$2:$K$1000,"Pass")</f>
        <v/>
      </c>
      <c r="D47" s="21">
        <f>COUNTIFS(Checklist!$B$2:$B$1000,$A47,Checklist!$K$2:$K$1000,"Fail")</f>
        <v/>
      </c>
      <c r="E47" s="21">
        <f>COUNTIFS(Checklist!$B$2:$B$1000,$A47,Checklist!$K$2:$K$1000,"Blocked")</f>
        <v/>
      </c>
      <c r="F47" s="21">
        <f>COUNTIFS(Checklist!$B$2:$B$1000,$A47,Checklist!$K$2:$K$1000,"N/A")</f>
        <v/>
      </c>
      <c r="G47" s="21">
        <f>COUNTIFS(Checklist!$B$2:$B$1000,$A47,Checklist!$K$2:$K$1000,"Not Run")</f>
        <v/>
      </c>
      <c r="H47" s="22">
        <f>IF(B47=0,0,(B47-G47)/B47)</f>
        <v/>
      </c>
      <c r="I47" s="22">
        <f>IF(C47+D47=0,0,C47/(C47+D47))</f>
        <v/>
      </c>
    </row>
    <row r="48">
      <c r="A48" s="18" t="inlineStr">
        <is>
          <t>07 Booking flow</t>
        </is>
      </c>
      <c r="B48" s="21">
        <f>COUNTIF(Checklist!$B$2:$B$1000,$A48)</f>
        <v/>
      </c>
      <c r="C48" s="21">
        <f>COUNTIFS(Checklist!$B$2:$B$1000,$A48,Checklist!$K$2:$K$1000,"Pass")</f>
        <v/>
      </c>
      <c r="D48" s="21">
        <f>COUNTIFS(Checklist!$B$2:$B$1000,$A48,Checklist!$K$2:$K$1000,"Fail")</f>
        <v/>
      </c>
      <c r="E48" s="21">
        <f>COUNTIFS(Checklist!$B$2:$B$1000,$A48,Checklist!$K$2:$K$1000,"Blocked")</f>
        <v/>
      </c>
      <c r="F48" s="21">
        <f>COUNTIFS(Checklist!$B$2:$B$1000,$A48,Checklist!$K$2:$K$1000,"N/A")</f>
        <v/>
      </c>
      <c r="G48" s="21">
        <f>COUNTIFS(Checklist!$B$2:$B$1000,$A48,Checklist!$K$2:$K$1000,"Not Run")</f>
        <v/>
      </c>
      <c r="H48" s="22">
        <f>IF(B48=0,0,(B48-G48)/B48)</f>
        <v/>
      </c>
      <c r="I48" s="22">
        <f>IF(C48+D48=0,0,C48/(C48+D48))</f>
        <v/>
      </c>
    </row>
    <row r="49">
      <c r="A49" s="18" t="inlineStr">
        <is>
          <t>08 Payment (Razorpay)</t>
        </is>
      </c>
      <c r="B49" s="21">
        <f>COUNTIF(Checklist!$B$2:$B$1000,$A49)</f>
        <v/>
      </c>
      <c r="C49" s="21">
        <f>COUNTIFS(Checklist!$B$2:$B$1000,$A49,Checklist!$K$2:$K$1000,"Pass")</f>
        <v/>
      </c>
      <c r="D49" s="21">
        <f>COUNTIFS(Checklist!$B$2:$B$1000,$A49,Checklist!$K$2:$K$1000,"Fail")</f>
        <v/>
      </c>
      <c r="E49" s="21">
        <f>COUNTIFS(Checklist!$B$2:$B$1000,$A49,Checklist!$K$2:$K$1000,"Blocked")</f>
        <v/>
      </c>
      <c r="F49" s="21">
        <f>COUNTIFS(Checklist!$B$2:$B$1000,$A49,Checklist!$K$2:$K$1000,"N/A")</f>
        <v/>
      </c>
      <c r="G49" s="21">
        <f>COUNTIFS(Checklist!$B$2:$B$1000,$A49,Checklist!$K$2:$K$1000,"Not Run")</f>
        <v/>
      </c>
      <c r="H49" s="22">
        <f>IF(B49=0,0,(B49-G49)/B49)</f>
        <v/>
      </c>
      <c r="I49" s="22">
        <f>IF(C49+D49=0,0,C49/(C49+D49))</f>
        <v/>
      </c>
    </row>
    <row r="50">
      <c r="A50" s="18" t="inlineStr">
        <is>
          <t>09 Appointments</t>
        </is>
      </c>
      <c r="B50" s="21">
        <f>COUNTIF(Checklist!$B$2:$B$1000,$A50)</f>
        <v/>
      </c>
      <c r="C50" s="21">
        <f>COUNTIFS(Checklist!$B$2:$B$1000,$A50,Checklist!$K$2:$K$1000,"Pass")</f>
        <v/>
      </c>
      <c r="D50" s="21">
        <f>COUNTIFS(Checklist!$B$2:$B$1000,$A50,Checklist!$K$2:$K$1000,"Fail")</f>
        <v/>
      </c>
      <c r="E50" s="21">
        <f>COUNTIFS(Checklist!$B$2:$B$1000,$A50,Checklist!$K$2:$K$1000,"Blocked")</f>
        <v/>
      </c>
      <c r="F50" s="21">
        <f>COUNTIFS(Checklist!$B$2:$B$1000,$A50,Checklist!$K$2:$K$1000,"N/A")</f>
        <v/>
      </c>
      <c r="G50" s="21">
        <f>COUNTIFS(Checklist!$B$2:$B$1000,$A50,Checklist!$K$2:$K$1000,"Not Run")</f>
        <v/>
      </c>
      <c r="H50" s="22">
        <f>IF(B50=0,0,(B50-G50)/B50)</f>
        <v/>
      </c>
      <c r="I50" s="22">
        <f>IF(C50+D50=0,0,C50/(C50+D50))</f>
        <v/>
      </c>
    </row>
    <row r="51">
      <c r="A51" s="18" t="inlineStr">
        <is>
          <t>10 Live queue</t>
        </is>
      </c>
      <c r="B51" s="21">
        <f>COUNTIF(Checklist!$B$2:$B$1000,$A51)</f>
        <v/>
      </c>
      <c r="C51" s="21">
        <f>COUNTIFS(Checklist!$B$2:$B$1000,$A51,Checklist!$K$2:$K$1000,"Pass")</f>
        <v/>
      </c>
      <c r="D51" s="21">
        <f>COUNTIFS(Checklist!$B$2:$B$1000,$A51,Checklist!$K$2:$K$1000,"Fail")</f>
        <v/>
      </c>
      <c r="E51" s="21">
        <f>COUNTIFS(Checklist!$B$2:$B$1000,$A51,Checklist!$K$2:$K$1000,"Blocked")</f>
        <v/>
      </c>
      <c r="F51" s="21">
        <f>COUNTIFS(Checklist!$B$2:$B$1000,$A51,Checklist!$K$2:$K$1000,"N/A")</f>
        <v/>
      </c>
      <c r="G51" s="21">
        <f>COUNTIFS(Checklist!$B$2:$B$1000,$A51,Checklist!$K$2:$K$1000,"Not Run")</f>
        <v/>
      </c>
      <c r="H51" s="22">
        <f>IF(B51=0,0,(B51-G51)/B51)</f>
        <v/>
      </c>
      <c r="I51" s="22">
        <f>IF(C51+D51=0,0,C51/(C51+D51))</f>
        <v/>
      </c>
    </row>
    <row r="52">
      <c r="A52" s="18" t="inlineStr">
        <is>
          <t>11 Health records &amp; documents</t>
        </is>
      </c>
      <c r="B52" s="21">
        <f>COUNTIF(Checklist!$B$2:$B$1000,$A52)</f>
        <v/>
      </c>
      <c r="C52" s="21">
        <f>COUNTIFS(Checklist!$B$2:$B$1000,$A52,Checklist!$K$2:$K$1000,"Pass")</f>
        <v/>
      </c>
      <c r="D52" s="21">
        <f>COUNTIFS(Checklist!$B$2:$B$1000,$A52,Checklist!$K$2:$K$1000,"Fail")</f>
        <v/>
      </c>
      <c r="E52" s="21">
        <f>COUNTIFS(Checklist!$B$2:$B$1000,$A52,Checklist!$K$2:$K$1000,"Blocked")</f>
        <v/>
      </c>
      <c r="F52" s="21">
        <f>COUNTIFS(Checklist!$B$2:$B$1000,$A52,Checklist!$K$2:$K$1000,"N/A")</f>
        <v/>
      </c>
      <c r="G52" s="21">
        <f>COUNTIFS(Checklist!$B$2:$B$1000,$A52,Checklist!$K$2:$K$1000,"Not Run")</f>
        <v/>
      </c>
      <c r="H52" s="22">
        <f>IF(B52=0,0,(B52-G52)/B52)</f>
        <v/>
      </c>
      <c r="I52" s="22">
        <f>IF(C52+D52=0,0,C52/(C52+D52))</f>
        <v/>
      </c>
    </row>
    <row r="53">
      <c r="A53" s="18" t="inlineStr">
        <is>
          <t>12 Notifications &amp; push</t>
        </is>
      </c>
      <c r="B53" s="21">
        <f>COUNTIF(Checklist!$B$2:$B$1000,$A53)</f>
        <v/>
      </c>
      <c r="C53" s="21">
        <f>COUNTIFS(Checklist!$B$2:$B$1000,$A53,Checklist!$K$2:$K$1000,"Pass")</f>
        <v/>
      </c>
      <c r="D53" s="21">
        <f>COUNTIFS(Checklist!$B$2:$B$1000,$A53,Checklist!$K$2:$K$1000,"Fail")</f>
        <v/>
      </c>
      <c r="E53" s="21">
        <f>COUNTIFS(Checklist!$B$2:$B$1000,$A53,Checklist!$K$2:$K$1000,"Blocked")</f>
        <v/>
      </c>
      <c r="F53" s="21">
        <f>COUNTIFS(Checklist!$B$2:$B$1000,$A53,Checklist!$K$2:$K$1000,"N/A")</f>
        <v/>
      </c>
      <c r="G53" s="21">
        <f>COUNTIFS(Checklist!$B$2:$B$1000,$A53,Checklist!$K$2:$K$1000,"Not Run")</f>
        <v/>
      </c>
      <c r="H53" s="22">
        <f>IF(B53=0,0,(B53-G53)/B53)</f>
        <v/>
      </c>
      <c r="I53" s="22">
        <f>IF(C53+D53=0,0,C53/(C53+D53))</f>
        <v/>
      </c>
    </row>
    <row r="54">
      <c r="A54" s="18" t="inlineStr">
        <is>
          <t>13 Profile &amp; account</t>
        </is>
      </c>
      <c r="B54" s="21">
        <f>COUNTIF(Checklist!$B$2:$B$1000,$A54)</f>
        <v/>
      </c>
      <c r="C54" s="21">
        <f>COUNTIFS(Checklist!$B$2:$B$1000,$A54,Checklist!$K$2:$K$1000,"Pass")</f>
        <v/>
      </c>
      <c r="D54" s="21">
        <f>COUNTIFS(Checklist!$B$2:$B$1000,$A54,Checklist!$K$2:$K$1000,"Fail")</f>
        <v/>
      </c>
      <c r="E54" s="21">
        <f>COUNTIFS(Checklist!$B$2:$B$1000,$A54,Checklist!$K$2:$K$1000,"Blocked")</f>
        <v/>
      </c>
      <c r="F54" s="21">
        <f>COUNTIFS(Checklist!$B$2:$B$1000,$A54,Checklist!$K$2:$K$1000,"N/A")</f>
        <v/>
      </c>
      <c r="G54" s="21">
        <f>COUNTIFS(Checklist!$B$2:$B$1000,$A54,Checklist!$K$2:$K$1000,"Not Run")</f>
        <v/>
      </c>
      <c r="H54" s="22">
        <f>IF(B54=0,0,(B54-G54)/B54)</f>
        <v/>
      </c>
      <c r="I54" s="22">
        <f>IF(C54+D54=0,0,C54/(C54+D54))</f>
        <v/>
      </c>
    </row>
    <row r="55">
      <c r="A55" s="18" t="inlineStr">
        <is>
          <t>14 Family members (dependants)</t>
        </is>
      </c>
      <c r="B55" s="21">
        <f>COUNTIF(Checklist!$B$2:$B$1000,$A55)</f>
        <v/>
      </c>
      <c r="C55" s="21">
        <f>COUNTIFS(Checklist!$B$2:$B$1000,$A55,Checklist!$K$2:$K$1000,"Pass")</f>
        <v/>
      </c>
      <c r="D55" s="21">
        <f>COUNTIFS(Checklist!$B$2:$B$1000,$A55,Checklist!$K$2:$K$1000,"Fail")</f>
        <v/>
      </c>
      <c r="E55" s="21">
        <f>COUNTIFS(Checklist!$B$2:$B$1000,$A55,Checklist!$K$2:$K$1000,"Blocked")</f>
        <v/>
      </c>
      <c r="F55" s="21">
        <f>COUNTIFS(Checklist!$B$2:$B$1000,$A55,Checklist!$K$2:$K$1000,"N/A")</f>
        <v/>
      </c>
      <c r="G55" s="21">
        <f>COUNTIFS(Checklist!$B$2:$B$1000,$A55,Checklist!$K$2:$K$1000,"Not Run")</f>
        <v/>
      </c>
      <c r="H55" s="22">
        <f>IF(B55=0,0,(B55-G55)/B55)</f>
        <v/>
      </c>
      <c r="I55" s="22">
        <f>IF(C55+D55=0,0,C55/(C55+D55))</f>
        <v/>
      </c>
    </row>
    <row r="56">
      <c r="A56" s="18" t="inlineStr">
        <is>
          <t>15 Insurance</t>
        </is>
      </c>
      <c r="B56" s="21">
        <f>COUNTIF(Checklist!$B$2:$B$1000,$A56)</f>
        <v/>
      </c>
      <c r="C56" s="21">
        <f>COUNTIFS(Checklist!$B$2:$B$1000,$A56,Checklist!$K$2:$K$1000,"Pass")</f>
        <v/>
      </c>
      <c r="D56" s="21">
        <f>COUNTIFS(Checklist!$B$2:$B$1000,$A56,Checklist!$K$2:$K$1000,"Fail")</f>
        <v/>
      </c>
      <c r="E56" s="21">
        <f>COUNTIFS(Checklist!$B$2:$B$1000,$A56,Checklist!$K$2:$K$1000,"Blocked")</f>
        <v/>
      </c>
      <c r="F56" s="21">
        <f>COUNTIFS(Checklist!$B$2:$B$1000,$A56,Checklist!$K$2:$K$1000,"N/A")</f>
        <v/>
      </c>
      <c r="G56" s="21">
        <f>COUNTIFS(Checklist!$B$2:$B$1000,$A56,Checklist!$K$2:$K$1000,"Not Run")</f>
        <v/>
      </c>
      <c r="H56" s="22">
        <f>IF(B56=0,0,(B56-G56)/B56)</f>
        <v/>
      </c>
      <c r="I56" s="22">
        <f>IF(C56+D56=0,0,C56/(C56+D56))</f>
        <v/>
      </c>
    </row>
    <row r="57">
      <c r="A57" s="18" t="inlineStr">
        <is>
          <t>16 Support, FAQ, legal &amp; ambulance</t>
        </is>
      </c>
      <c r="B57" s="21">
        <f>COUNTIF(Checklist!$B$2:$B$1000,$A57)</f>
        <v/>
      </c>
      <c r="C57" s="21">
        <f>COUNTIFS(Checklist!$B$2:$B$1000,$A57,Checklist!$K$2:$K$1000,"Pass")</f>
        <v/>
      </c>
      <c r="D57" s="21">
        <f>COUNTIFS(Checklist!$B$2:$B$1000,$A57,Checklist!$K$2:$K$1000,"Fail")</f>
        <v/>
      </c>
      <c r="E57" s="21">
        <f>COUNTIFS(Checklist!$B$2:$B$1000,$A57,Checklist!$K$2:$K$1000,"Blocked")</f>
        <v/>
      </c>
      <c r="F57" s="21">
        <f>COUNTIFS(Checklist!$B$2:$B$1000,$A57,Checklist!$K$2:$K$1000,"N/A")</f>
        <v/>
      </c>
      <c r="G57" s="21">
        <f>COUNTIFS(Checklist!$B$2:$B$1000,$A57,Checklist!$K$2:$K$1000,"Not Run")</f>
        <v/>
      </c>
      <c r="H57" s="22">
        <f>IF(B57=0,0,(B57-G57)/B57)</f>
        <v/>
      </c>
      <c r="I57" s="22">
        <f>IF(C57+D57=0,0,C57/(C57+D57))</f>
        <v/>
      </c>
    </row>
    <row r="58">
      <c r="A58" s="18" t="inlineStr">
        <is>
          <t>17 Navigation &amp; deep links</t>
        </is>
      </c>
      <c r="B58" s="21">
        <f>COUNTIF(Checklist!$B$2:$B$1000,$A58)</f>
        <v/>
      </c>
      <c r="C58" s="21">
        <f>COUNTIFS(Checklist!$B$2:$B$1000,$A58,Checklist!$K$2:$K$1000,"Pass")</f>
        <v/>
      </c>
      <c r="D58" s="21">
        <f>COUNTIFS(Checklist!$B$2:$B$1000,$A58,Checklist!$K$2:$K$1000,"Fail")</f>
        <v/>
      </c>
      <c r="E58" s="21">
        <f>COUNTIFS(Checklist!$B$2:$B$1000,$A58,Checklist!$K$2:$K$1000,"Blocked")</f>
        <v/>
      </c>
      <c r="F58" s="21">
        <f>COUNTIFS(Checklist!$B$2:$B$1000,$A58,Checklist!$K$2:$K$1000,"N/A")</f>
        <v/>
      </c>
      <c r="G58" s="21">
        <f>COUNTIFS(Checklist!$B$2:$B$1000,$A58,Checklist!$K$2:$K$1000,"Not Run")</f>
        <v/>
      </c>
      <c r="H58" s="22">
        <f>IF(B58=0,0,(B58-G58)/B58)</f>
        <v/>
      </c>
      <c r="I58" s="22">
        <f>IF(C58+D58=0,0,C58/(C58+D58))</f>
        <v/>
      </c>
    </row>
    <row r="59">
      <c r="A59" s="18" t="inlineStr">
        <is>
          <t>18 Network, offline &amp; cache (Hive)</t>
        </is>
      </c>
      <c r="B59" s="21">
        <f>COUNTIF(Checklist!$B$2:$B$1000,$A59)</f>
        <v/>
      </c>
      <c r="C59" s="21">
        <f>COUNTIFS(Checklist!$B$2:$B$1000,$A59,Checklist!$K$2:$K$1000,"Pass")</f>
        <v/>
      </c>
      <c r="D59" s="21">
        <f>COUNTIFS(Checklist!$B$2:$B$1000,$A59,Checklist!$K$2:$K$1000,"Fail")</f>
        <v/>
      </c>
      <c r="E59" s="21">
        <f>COUNTIFS(Checklist!$B$2:$B$1000,$A59,Checklist!$K$2:$K$1000,"Blocked")</f>
        <v/>
      </c>
      <c r="F59" s="21">
        <f>COUNTIFS(Checklist!$B$2:$B$1000,$A59,Checklist!$K$2:$K$1000,"N/A")</f>
        <v/>
      </c>
      <c r="G59" s="21">
        <f>COUNTIFS(Checklist!$B$2:$B$1000,$A59,Checklist!$K$2:$K$1000,"Not Run")</f>
        <v/>
      </c>
      <c r="H59" s="22">
        <f>IF(B59=0,0,(B59-G59)/B59)</f>
        <v/>
      </c>
      <c r="I59" s="22">
        <f>IF(C59+D59=0,0,C59/(C59+D59))</f>
        <v/>
      </c>
    </row>
    <row r="60">
      <c r="A60" s="18" t="inlineStr">
        <is>
          <t>19 Error handling &amp; states</t>
        </is>
      </c>
      <c r="B60" s="21">
        <f>COUNTIF(Checklist!$B$2:$B$1000,$A60)</f>
        <v/>
      </c>
      <c r="C60" s="21">
        <f>COUNTIFS(Checklist!$B$2:$B$1000,$A60,Checklist!$K$2:$K$1000,"Pass")</f>
        <v/>
      </c>
      <c r="D60" s="21">
        <f>COUNTIFS(Checklist!$B$2:$B$1000,$A60,Checklist!$K$2:$K$1000,"Fail")</f>
        <v/>
      </c>
      <c r="E60" s="21">
        <f>COUNTIFS(Checklist!$B$2:$B$1000,$A60,Checklist!$K$2:$K$1000,"Blocked")</f>
        <v/>
      </c>
      <c r="F60" s="21">
        <f>COUNTIFS(Checklist!$B$2:$B$1000,$A60,Checklist!$K$2:$K$1000,"N/A")</f>
        <v/>
      </c>
      <c r="G60" s="21">
        <f>COUNTIFS(Checklist!$B$2:$B$1000,$A60,Checklist!$K$2:$K$1000,"Not Run")</f>
        <v/>
      </c>
      <c r="H60" s="22">
        <f>IF(B60=0,0,(B60-G60)/B60)</f>
        <v/>
      </c>
      <c r="I60" s="22">
        <f>IF(C60+D60=0,0,C60/(C60+D60))</f>
        <v/>
      </c>
    </row>
    <row r="61">
      <c r="A61" s="18" t="inlineStr">
        <is>
          <t>20 Security &amp; privacy</t>
        </is>
      </c>
      <c r="B61" s="21">
        <f>COUNTIF(Checklist!$B$2:$B$1000,$A61)</f>
        <v/>
      </c>
      <c r="C61" s="21">
        <f>COUNTIFS(Checklist!$B$2:$B$1000,$A61,Checklist!$K$2:$K$1000,"Pass")</f>
        <v/>
      </c>
      <c r="D61" s="21">
        <f>COUNTIFS(Checklist!$B$2:$B$1000,$A61,Checklist!$K$2:$K$1000,"Fail")</f>
        <v/>
      </c>
      <c r="E61" s="21">
        <f>COUNTIFS(Checklist!$B$2:$B$1000,$A61,Checklist!$K$2:$K$1000,"Blocked")</f>
        <v/>
      </c>
      <c r="F61" s="21">
        <f>COUNTIFS(Checklist!$B$2:$B$1000,$A61,Checklist!$K$2:$K$1000,"N/A")</f>
        <v/>
      </c>
      <c r="G61" s="21">
        <f>COUNTIFS(Checklist!$B$2:$B$1000,$A61,Checklist!$K$2:$K$1000,"Not Run")</f>
        <v/>
      </c>
      <c r="H61" s="22">
        <f>IF(B61=0,0,(B61-G61)/B61)</f>
        <v/>
      </c>
      <c r="I61" s="22">
        <f>IF(C61+D61=0,0,C61/(C61+D61))</f>
        <v/>
      </c>
    </row>
    <row r="62">
      <c r="A62" s="18" t="inlineStr">
        <is>
          <t>21 Performance &amp; stability</t>
        </is>
      </c>
      <c r="B62" s="21">
        <f>COUNTIF(Checklist!$B$2:$B$1000,$A62)</f>
        <v/>
      </c>
      <c r="C62" s="21">
        <f>COUNTIFS(Checklist!$B$2:$B$1000,$A62,Checklist!$K$2:$K$1000,"Pass")</f>
        <v/>
      </c>
      <c r="D62" s="21">
        <f>COUNTIFS(Checklist!$B$2:$B$1000,$A62,Checklist!$K$2:$K$1000,"Fail")</f>
        <v/>
      </c>
      <c r="E62" s="21">
        <f>COUNTIFS(Checklist!$B$2:$B$1000,$A62,Checklist!$K$2:$K$1000,"Blocked")</f>
        <v/>
      </c>
      <c r="F62" s="21">
        <f>COUNTIFS(Checklist!$B$2:$B$1000,$A62,Checklist!$K$2:$K$1000,"N/A")</f>
        <v/>
      </c>
      <c r="G62" s="21">
        <f>COUNTIFS(Checklist!$B$2:$B$1000,$A62,Checklist!$K$2:$K$1000,"Not Run")</f>
        <v/>
      </c>
      <c r="H62" s="22">
        <f>IF(B62=0,0,(B62-G62)/B62)</f>
        <v/>
      </c>
      <c r="I62" s="22">
        <f>IF(C62+D62=0,0,C62/(C62+D62))</f>
        <v/>
      </c>
    </row>
    <row r="63">
      <c r="A63" s="18" t="inlineStr">
        <is>
          <t>22 UI, responsiveness &amp; accessibility</t>
        </is>
      </c>
      <c r="B63" s="21">
        <f>COUNTIF(Checklist!$B$2:$B$1000,$A63)</f>
        <v/>
      </c>
      <c r="C63" s="21">
        <f>COUNTIFS(Checklist!$B$2:$B$1000,$A63,Checklist!$K$2:$K$1000,"Pass")</f>
        <v/>
      </c>
      <c r="D63" s="21">
        <f>COUNTIFS(Checklist!$B$2:$B$1000,$A63,Checklist!$K$2:$K$1000,"Fail")</f>
        <v/>
      </c>
      <c r="E63" s="21">
        <f>COUNTIFS(Checklist!$B$2:$B$1000,$A63,Checklist!$K$2:$K$1000,"Blocked")</f>
        <v/>
      </c>
      <c r="F63" s="21">
        <f>COUNTIFS(Checklist!$B$2:$B$1000,$A63,Checklist!$K$2:$K$1000,"N/A")</f>
        <v/>
      </c>
      <c r="G63" s="21">
        <f>COUNTIFS(Checklist!$B$2:$B$1000,$A63,Checklist!$K$2:$K$1000,"Not Run")</f>
        <v/>
      </c>
      <c r="H63" s="22">
        <f>IF(B63=0,0,(B63-G63)/B63)</f>
        <v/>
      </c>
      <c r="I63" s="22">
        <f>IF(C63+D63=0,0,C63/(C63+D63))</f>
        <v/>
      </c>
    </row>
    <row r="64">
      <c r="A64" s="18" t="inlineStr">
        <is>
          <t>23 Compatibility &amp; interruptions</t>
        </is>
      </c>
      <c r="B64" s="21">
        <f>COUNTIF(Checklist!$B$2:$B$1000,$A64)</f>
        <v/>
      </c>
      <c r="C64" s="21">
        <f>COUNTIFS(Checklist!$B$2:$B$1000,$A64,Checklist!$K$2:$K$1000,"Pass")</f>
        <v/>
      </c>
      <c r="D64" s="21">
        <f>COUNTIFS(Checklist!$B$2:$B$1000,$A64,Checklist!$K$2:$K$1000,"Fail")</f>
        <v/>
      </c>
      <c r="E64" s="21">
        <f>COUNTIFS(Checklist!$B$2:$B$1000,$A64,Checklist!$K$2:$K$1000,"Blocked")</f>
        <v/>
      </c>
      <c r="F64" s="21">
        <f>COUNTIFS(Checklist!$B$2:$B$1000,$A64,Checklist!$K$2:$K$1000,"N/A")</f>
        <v/>
      </c>
      <c r="G64" s="21">
        <f>COUNTIFS(Checklist!$B$2:$B$1000,$A64,Checklist!$K$2:$K$1000,"Not Run")</f>
        <v/>
      </c>
      <c r="H64" s="22">
        <f>IF(B64=0,0,(B64-G64)/B64)</f>
        <v/>
      </c>
      <c r="I64" s="22">
        <f>IF(C64+D64=0,0,C64/(C64+D64))</f>
        <v/>
      </c>
    </row>
    <row r="65">
      <c r="A65" s="18" t="inlineStr">
        <is>
          <t>24 Release readiness</t>
        </is>
      </c>
      <c r="B65" s="21">
        <f>COUNTIF(Checklist!$B$2:$B$1000,$A65)</f>
        <v/>
      </c>
      <c r="C65" s="21">
        <f>COUNTIFS(Checklist!$B$2:$B$1000,$A65,Checklist!$K$2:$K$1000,"Pass")</f>
        <v/>
      </c>
      <c r="D65" s="21">
        <f>COUNTIFS(Checklist!$B$2:$B$1000,$A65,Checklist!$K$2:$K$1000,"Fail")</f>
        <v/>
      </c>
      <c r="E65" s="21">
        <f>COUNTIFS(Checklist!$B$2:$B$1000,$A65,Checklist!$K$2:$K$1000,"Blocked")</f>
        <v/>
      </c>
      <c r="F65" s="21">
        <f>COUNTIFS(Checklist!$B$2:$B$1000,$A65,Checklist!$K$2:$K$1000,"N/A")</f>
        <v/>
      </c>
      <c r="G65" s="21">
        <f>COUNTIFS(Checklist!$B$2:$B$1000,$A65,Checklist!$K$2:$K$1000,"Not Run")</f>
        <v/>
      </c>
      <c r="H65" s="22">
        <f>IF(B65=0,0,(B65-G65)/B65)</f>
        <v/>
      </c>
      <c r="I65" s="22">
        <f>IF(C65+D65=0,0,C65/(C65+D65))</f>
        <v/>
      </c>
    </row>
    <row r="66">
      <c r="A66" s="18" t="inlineStr">
        <is>
          <t>25 Code quality gates</t>
        </is>
      </c>
      <c r="B66" s="21">
        <f>COUNTIF(Checklist!$B$2:$B$1000,$A66)</f>
        <v/>
      </c>
      <c r="C66" s="21">
        <f>COUNTIFS(Checklist!$B$2:$B$1000,$A66,Checklist!$K$2:$K$1000,"Pass")</f>
        <v/>
      </c>
      <c r="D66" s="21">
        <f>COUNTIFS(Checklist!$B$2:$B$1000,$A66,Checklist!$K$2:$K$1000,"Fail")</f>
        <v/>
      </c>
      <c r="E66" s="21">
        <f>COUNTIFS(Checklist!$B$2:$B$1000,$A66,Checklist!$K$2:$K$1000,"Blocked")</f>
        <v/>
      </c>
      <c r="F66" s="21">
        <f>COUNTIFS(Checklist!$B$2:$B$1000,$A66,Checklist!$K$2:$K$1000,"N/A")</f>
        <v/>
      </c>
      <c r="G66" s="21">
        <f>COUNTIFS(Checklist!$B$2:$B$1000,$A66,Checklist!$K$2:$K$1000,"Not Run")</f>
        <v/>
      </c>
      <c r="H66" s="22">
        <f>IF(B66=0,0,(B66-G66)/B66)</f>
        <v/>
      </c>
      <c r="I66" s="22">
        <f>IF(C66+D66=0,0,C66/(C66+D66))</f>
        <v/>
      </c>
    </row>
    <row r="67">
      <c r="A67" s="23" t="inlineStr">
        <is>
          <t>Total</t>
        </is>
      </c>
      <c r="B67" s="24">
        <f>SUM(B41:B66)</f>
        <v/>
      </c>
      <c r="C67" s="24">
        <f>SUM(C41:C66)</f>
        <v/>
      </c>
      <c r="D67" s="24">
        <f>SUM(D41:D66)</f>
        <v/>
      </c>
      <c r="E67" s="24">
        <f>SUM(E41:E66)</f>
        <v/>
      </c>
      <c r="F67" s="24">
        <f>SUM(F41:F66)</f>
        <v/>
      </c>
      <c r="G67" s="24">
        <f>SUM(G41:G66)</f>
        <v/>
      </c>
      <c r="H67" s="25">
        <f>IF(B67=0,0,(B67-G67)/B67)</f>
        <v/>
      </c>
      <c r="I67" s="25">
        <f>IF(C67+D67=0,0,C67/(C67+D67))</f>
        <v/>
      </c>
      <c r="J67" s="26">
        <f>IF(B67=B18,"","Totals differ: a row on that sheet has a module name not listed here.")</f>
        <v/>
      </c>
    </row>
  </sheetData>
  <conditionalFormatting sqref="B9">
    <cfRule type="cellIs" priority="1" operator="equal" dxfId="0">
      <formula>"GO"</formula>
    </cfRule>
    <cfRule type="cellIs" priority="2" operator="equal" dxfId="1">
      <formula>"NO-GO"</formula>
    </cfRule>
  </conditionalFormatting>
  <conditionalFormatting sqref="D23:D37">
    <cfRule type="cellIs" priority="3" operator="greaterThan" dxfId="2">
      <formula>0</formula>
    </cfRule>
  </conditionalFormatting>
  <conditionalFormatting sqref="D41:D67">
    <cfRule type="cellIs" priority="4" operator="greaterThan" dxfId="2">
      <formula>0</formula>
    </cfRule>
  </conditionalFormatting>
  <conditionalFormatting sqref="D13:D19">
    <cfRule type="cellIs" priority="5" operator="greaterThan" dxfId="2">
      <formula>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Q409"/>
  <sheetViews>
    <sheetView tabSelected="0"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2" customWidth="1" min="2" max="2"/>
    <col width="22" customWidth="1" min="3" max="3"/>
    <col width="44" customWidth="1" min="4" max="4"/>
    <col width="48" customWidth="1" min="5" max="5"/>
    <col width="48" customWidth="1" min="6" max="6"/>
    <col width="9" customWidth="1" min="7" max="7"/>
    <col width="14" customWidth="1" min="8" max="8"/>
    <col width="30" customWidth="1" min="9" max="9"/>
    <col width="13" customWidth="1" min="10" max="10"/>
    <col width="11" customWidth="1" min="11" max="11"/>
    <col width="12" customWidth="1" min="12" max="12"/>
    <col width="12" customWidth="1" min="13" max="13"/>
    <col width="10" customWidth="1" min="14" max="14"/>
    <col width="16" customWidth="1" min="15" max="15"/>
    <col width="11" customWidth="1" min="16" max="16"/>
    <col width="34" customWidth="1" min="17" max="17"/>
  </cols>
  <sheetData>
    <row r="1" ht="30" customHeight="1">
      <c r="A1" s="15" t="inlineStr">
        <is>
          <t>ID</t>
        </is>
      </c>
      <c r="B1" s="15" t="inlineStr">
        <is>
          <t>Module</t>
        </is>
      </c>
      <c r="C1" s="15" t="inlineStr">
        <is>
          <t>Sub-module</t>
        </is>
      </c>
      <c r="D1" s="15" t="inlineStr">
        <is>
          <t>Business rule under test</t>
        </is>
      </c>
      <c r="E1" s="15" t="inlineStr">
        <is>
          <t>Steps</t>
        </is>
      </c>
      <c r="F1" s="15" t="inlineStr">
        <is>
          <t>Expected result</t>
        </is>
      </c>
      <c r="G1" s="15" t="inlineStr">
        <is>
          <t>Priority</t>
        </is>
      </c>
      <c r="H1" s="15" t="inlineStr">
        <is>
          <t>Check type</t>
        </is>
      </c>
      <c r="I1" s="15" t="inlineStr">
        <is>
          <t>Source in code</t>
        </is>
      </c>
      <c r="J1" s="15" t="inlineStr">
        <is>
          <t>Needs / Blocker</t>
        </is>
      </c>
      <c r="K1" s="15" t="inlineStr">
        <is>
          <t>Status</t>
        </is>
      </c>
      <c r="L1" s="15" t="inlineStr">
        <is>
          <t>Tester</t>
        </is>
      </c>
      <c r="M1" s="15" t="inlineStr">
        <is>
          <t>Date tested</t>
        </is>
      </c>
      <c r="N1" s="15" t="inlineStr">
        <is>
          <t>Build</t>
        </is>
      </c>
      <c r="O1" s="15" t="inlineStr">
        <is>
          <t>Device / OS</t>
        </is>
      </c>
      <c r="P1" s="15" t="inlineStr">
        <is>
          <t>Defect ID</t>
        </is>
      </c>
      <c r="Q1" s="15" t="inlineStr">
        <is>
          <t>Notes / Actual result</t>
        </is>
      </c>
    </row>
    <row r="2" ht="43" customHeight="1">
      <c r="A2" s="27" t="inlineStr">
        <is>
          <t>BL-AUTH-001</t>
        </is>
      </c>
      <c r="B2" s="28" t="inlineStr">
        <is>
          <t>Authentication &amp; session</t>
        </is>
      </c>
      <c r="C2" s="28" t="inlineStr">
        <is>
          <t>Onboarding &amp; consent</t>
        </is>
      </c>
      <c r="D2" s="28" t="inlineStr">
        <is>
          <t>Terms box is required; offers box is optional</t>
        </is>
      </c>
      <c r="E2" s="28" t="inlineStr">
        <is>
          <t>1. On the consent screen tap 'Agree and Continue' with the terms box unticked
2. Tick it</t>
        </is>
      </c>
      <c r="F2" s="28" t="inlineStr">
        <is>
          <t>'Please accept the terms to continue.' and no navigation; the note clears on tick and the user can proceed.</t>
        </is>
      </c>
      <c r="G2" s="29" t="inlineStr">
        <is>
          <t>P0</t>
        </is>
      </c>
      <c r="H2" s="29" t="inlineStr">
        <is>
          <t>Rule</t>
        </is>
      </c>
      <c r="I2" s="30" t="inlineStr">
        <is>
          <t>lib/features/auth/presentation/controllers/consent_form_controller.dart:68</t>
        </is>
      </c>
      <c r="J2" s="29" t="n"/>
      <c r="K2" s="31" t="inlineStr">
        <is>
          <t>Pass</t>
        </is>
      </c>
      <c r="L2" s="32" t="inlineStr">
        <is>
          <t>Claude (adb)</t>
        </is>
      </c>
      <c r="M2" s="33" t="n">
        <v>46299</v>
      </c>
      <c r="N2" s="32" t="inlineStr">
        <is>
          <t>1.0.0+1 debug</t>
        </is>
      </c>
      <c r="O2" s="32" t="inlineStr">
        <is>
          <t>emulator-5554 / Android 14</t>
        </is>
      </c>
      <c r="P2" s="32" t="n"/>
      <c r="Q2" s="32" t="inlineStr">
        <is>
          <t>Agree and Continue with the terms box unticked shows 'Please accept the terms to continue.' and stays; ticking clears the note; offers box is optional; proceeds to sign-in.</t>
        </is>
      </c>
    </row>
    <row r="3" ht="43" customHeight="1">
      <c r="A3" s="27" t="inlineStr">
        <is>
          <t>BL-AUTH-002</t>
        </is>
      </c>
      <c r="B3" s="28" t="inlineStr">
        <is>
          <t>Authentication &amp; session</t>
        </is>
      </c>
      <c r="C3" s="28" t="inlineStr">
        <is>
          <t>Onboarding &amp; consent</t>
        </is>
      </c>
      <c r="D3" s="28" t="inlineStr">
        <is>
          <t>Onboarding is recorded once and survives sign-out</t>
        </is>
      </c>
      <c r="E3" s="28" t="inlineStr">
        <is>
          <t>1. Complete onboarding
2. Kill and relaunch
3. Sign in, then log out</t>
        </is>
      </c>
      <c r="F3" s="28" t="inlineStr">
        <is>
          <t>Relaunch goes to sign-in; after logout the intro is not shown again.</t>
        </is>
      </c>
      <c r="G3" s="29" t="inlineStr">
        <is>
          <t>P1</t>
        </is>
      </c>
      <c r="H3" s="29" t="inlineStr">
        <is>
          <t>State</t>
        </is>
      </c>
      <c r="I3" s="30" t="inlineStr">
        <is>
          <t>lib/core/storage/hive/boxes.dart:83</t>
        </is>
      </c>
      <c r="J3" s="29" t="n"/>
      <c r="K3" s="31" t="inlineStr">
        <is>
          <t>Pass</t>
        </is>
      </c>
      <c r="L3" s="32" t="inlineStr">
        <is>
          <t>Claude (adb)</t>
        </is>
      </c>
      <c r="M3" s="33" t="n">
        <v>46299</v>
      </c>
      <c r="N3" s="32" t="inlineStr">
        <is>
          <t>1.0.0+1 debug</t>
        </is>
      </c>
      <c r="O3" s="32" t="inlineStr">
        <is>
          <t>emulator-5554 / Android 14</t>
        </is>
      </c>
      <c r="P3" s="32" t="n"/>
      <c r="Q3" s="32" t="inlineStr">
        <is>
          <t>Relaunch after onboarding goes to sign-in; after signing in and logging out (several times, incl. forced sign-out) the app returns to sign-in and never shows the intro again.</t>
        </is>
      </c>
    </row>
    <row r="4" ht="43" customHeight="1">
      <c r="A4" s="27" t="inlineStr">
        <is>
          <t>BL-AUTH-003</t>
        </is>
      </c>
      <c r="B4" s="28" t="inlineStr">
        <is>
          <t>Authentication &amp; session</t>
        </is>
      </c>
      <c r="C4" s="28" t="inlineStr">
        <is>
          <t>Onboarding &amp; consent</t>
        </is>
      </c>
      <c r="D4" s="28" t="inlineStr">
        <is>
          <t>Consent can be accepted without the Terms having loaded</t>
        </is>
      </c>
      <c r="E4" s="28" t="inlineStr">
        <is>
          <t>1. Go offline
2. Tick the terms box and accept</t>
        </is>
      </c>
      <c r="F4" s="28" t="inlineStr">
        <is>
          <t>Confirm intended: the code lets the user continue and records an empty accepted version.</t>
        </is>
      </c>
      <c r="G4" s="29" t="inlineStr">
        <is>
          <t>P2</t>
        </is>
      </c>
      <c r="H4" s="29" t="inlineStr">
        <is>
          <t>Verify gap</t>
        </is>
      </c>
      <c r="I4" s="30" t="inlineStr">
        <is>
          <t>lib/features/auth/infrastructure/data_sources/local/onboarding_local_ds.dart:54</t>
        </is>
      </c>
      <c r="J4" s="29" t="n"/>
      <c r="K4" s="31" t="inlineStr">
        <is>
          <t>Pass</t>
        </is>
      </c>
      <c r="L4" s="32" t="inlineStr">
        <is>
          <t>Claude (adb)</t>
        </is>
      </c>
      <c r="M4" s="33" t="n">
        <v>46299</v>
      </c>
      <c r="N4" s="32" t="inlineStr">
        <is>
          <t>1.0.0+1 debug (rebuilt with fix)</t>
        </is>
      </c>
      <c r="O4" s="32" t="inlineStr">
        <is>
          <t>emulator-5554 / Android 14</t>
        </is>
      </c>
      <c r="P4" s="32" t="inlineStr">
        <is>
          <t>DEF-042</t>
        </is>
      </c>
      <c r="Q4" s="32" t="inlineStr">
        <is>
          <t>FIXED AND RETESTED (4 Oct 2026, rebuilt debug build). Before: in airplane mode the terms box could be ticked and accepted although the Terms could not be loaded, and an empty Terms version was stored (owner decision: not acceptable, DEF-042). After the fix: fresh install in airplane mode -&gt; tick the box -&gt; 'Agree and Continue' stays on the consent screen with 'We could not load the Terms &amp; Conditions and Privacy Policy. Check your connection, then tap Agree and Continue again.'; relaunch still shows the intro (nothing recorded). After reconnecting, the same button loads the documents and moves on to sign-in, and the stored accepted Terms version is '1'. The unticked-box note ('Please accept the terms to continue.') still works.</t>
        </is>
      </c>
    </row>
    <row r="5" ht="56" customHeight="1">
      <c r="A5" s="27" t="inlineStr">
        <is>
          <t>BL-AUTH-004</t>
        </is>
      </c>
      <c r="B5" s="28" t="inlineStr">
        <is>
          <t>Authentication &amp; session</t>
        </is>
      </c>
      <c r="C5" s="28" t="inlineStr">
        <is>
          <t>Onboarding &amp; consent</t>
        </is>
      </c>
      <c r="D5" s="28" t="inlineStr">
        <is>
          <t>Offers opt-in reaches the account</t>
        </is>
      </c>
      <c r="E5" s="28" t="inlineStr">
        <is>
          <t>1. Tick the offers box in onboarding
2. Sign up
3. Inspect the sign-up request and the profile's marketing preference</t>
        </is>
      </c>
      <c r="F5" s="28" t="inlineStr">
        <is>
          <t>Marketing consent should reflect the choice. The code always sends marketing = false at sign-up.</t>
        </is>
      </c>
      <c r="G5" s="29" t="inlineStr">
        <is>
          <t>P1</t>
        </is>
      </c>
      <c r="H5" s="29" t="inlineStr">
        <is>
          <t>Verify gap</t>
        </is>
      </c>
      <c r="I5" s="30" t="inlineStr">
        <is>
          <t>lib/features/auth/presentation/controllers/auth_flow_draft.dart:91</t>
        </is>
      </c>
      <c r="J5" s="29" t="inlineStr">
        <is>
          <t>KB-05</t>
        </is>
      </c>
      <c r="K5" s="31" t="inlineStr">
        <is>
          <t>Blocked</t>
        </is>
      </c>
      <c r="L5" s="32" t="inlineStr">
        <is>
          <t>Claude (adb)</t>
        </is>
      </c>
      <c r="M5" s="33" t="n">
        <v>46299</v>
      </c>
      <c r="N5" s="32" t="inlineStr">
        <is>
          <t>1.0.0+1 debug</t>
        </is>
      </c>
      <c r="O5" s="32" t="inlineStr">
        <is>
          <t>emulator-5554 / Android 14</t>
        </is>
      </c>
      <c r="P5" s="32" t="n"/>
      <c r="Q5" s="32" t="inlineStr">
        <is>
          <t>Fixed 04-Oct-2026: sign-up now sends the onboarding offers choice (lib/features/auth/presentation/controllers/signup_form_controller.dart, startMobileVerification). Retest on the fixed build, offers box ticked in onboarding: the signup/start body captured on a local recording server (app pointed at http://10.0.2.2:8000) carries consents.marketing = true; unit tests cover ticked and unticked (test/features/auth/signup_server_errors_test.dart). Still blocked for the account half by KB-05: sign-up with +91 9746863592 on the integration server reached 'Verify Mobile' but no SMS arrived (resend tried once), so the account was not created and the profile's marketing preference could not be checked.</t>
        </is>
      </c>
    </row>
    <row r="6" ht="43" customHeight="1">
      <c r="A6" s="27" t="inlineStr">
        <is>
          <t>BL-AUTH-005</t>
        </is>
      </c>
      <c r="B6" s="28" t="inlineStr">
        <is>
          <t>Authentication &amp; session</t>
        </is>
      </c>
      <c r="C6" s="28" t="inlineStr">
        <is>
          <t>Onboarding &amp; consent</t>
        </is>
      </c>
      <c r="D6" s="28" t="inlineStr">
        <is>
          <t>Intro can be skipped by a deep link</t>
        </is>
      </c>
      <c r="E6" s="28" t="inlineStr">
        <is>
          <t>1. Fresh install
2. Open medibook://login or medibook://signup</t>
        </is>
      </c>
      <c r="F6" s="28" t="inlineStr">
        <is>
          <t>Decide what is correct: the code opens sign-in / sign-up directly, skipping the intro and consent screen (sign-up has its own legal checkbox).</t>
        </is>
      </c>
      <c r="G6" s="29" t="inlineStr">
        <is>
          <t>P2</t>
        </is>
      </c>
      <c r="H6" s="29" t="inlineStr">
        <is>
          <t>Verify gap</t>
        </is>
      </c>
      <c r="I6" s="30" t="inlineStr">
        <is>
          <t>lib/app/router/app_router.dart:466</t>
        </is>
      </c>
      <c r="J6" s="29" t="n"/>
      <c r="K6" s="31" t="inlineStr">
        <is>
          <t>Pass</t>
        </is>
      </c>
      <c r="L6" s="32" t="inlineStr">
        <is>
          <t>Claude (adb)</t>
        </is>
      </c>
      <c r="M6" s="33" t="n">
        <v>46299</v>
      </c>
      <c r="N6" s="32" t="inlineStr">
        <is>
          <t>1.0.0+1 debug</t>
        </is>
      </c>
      <c r="O6" s="32" t="inlineStr">
        <is>
          <t>emulator-5554 / Android 14</t>
        </is>
      </c>
      <c r="P6" s="32" t="inlineStr">
        <is>
          <t>DEF-043</t>
        </is>
      </c>
      <c r="Q6" s="32" t="inlineStr">
        <is>
          <t>FIXED AND RETESTED (4 Oct 2026, rebuilt debug build). Owner decision (4 Oct 2026): links must never skip the intro (DEF-043). Before: with the app already open on the intro (not completed), medibook://signup and medibook://login opened Create Account / sign-in directly, skipping the intro and consent screen. After the fix, on a fresh install: with the app open on the intro, medibook://signup, medibook://login and https://medibook.app/login (sent straight to the app) all stay on the intro; opened from the consent screen they go back to the intro; a cold start with either medibook:// link shows the intro. After completing the intro, medibook://signup opens Create Account and medibook://login opens sign-in. The Terms link on the consent screen still opens the document. Routing tests added in test/app/sign_in_routing_test.dart.</t>
        </is>
      </c>
    </row>
    <row r="7" ht="43" customHeight="1">
      <c r="A7" s="27" t="inlineStr">
        <is>
          <t>BL-AUTH-006</t>
        </is>
      </c>
      <c r="B7" s="28" t="inlineStr">
        <is>
          <t>Authentication &amp; session</t>
        </is>
      </c>
      <c r="C7" s="28" t="inlineStr">
        <is>
          <t>Sign-up</t>
        </is>
      </c>
      <c r="D7" s="28" t="inlineStr">
        <is>
          <t>First name rules</t>
        </is>
      </c>
      <c r="E7" s="28" t="inlineStr">
        <is>
          <t>Submit with first name empty, 'A', and 'An1ta'</t>
        </is>
      </c>
      <c r="F7" s="28" t="inlineStr">
        <is>
          <t>'Enter your first name' / 'Name is too short' / 'Use letters only'. Names like D'Souza and Anne-Marie pass.</t>
        </is>
      </c>
      <c r="G7" s="29" t="inlineStr">
        <is>
          <t>P1</t>
        </is>
      </c>
      <c r="H7" s="29" t="inlineStr">
        <is>
          <t>Boundary</t>
        </is>
      </c>
      <c r="I7" s="30" t="inlineStr">
        <is>
          <t>lib/features/auth/presentation/controllers/signup_form_controller.dart:58</t>
        </is>
      </c>
      <c r="J7" s="29" t="n"/>
      <c r="K7" s="31" t="inlineStr">
        <is>
          <t>Pass</t>
        </is>
      </c>
      <c r="L7" s="32" t="inlineStr">
        <is>
          <t>Claude (adb)</t>
        </is>
      </c>
      <c r="M7" s="33" t="n">
        <v>46299</v>
      </c>
      <c r="N7" s="32" t="inlineStr">
        <is>
          <t>1.0.0+1 debug</t>
        </is>
      </c>
      <c r="O7" s="32" t="inlineStr">
        <is>
          <t>emulator-5554 / Android 14</t>
        </is>
      </c>
      <c r="P7" s="32" t="n"/>
      <c r="Q7" s="32" t="inlineStr">
        <is>
          <t>Empty: 'Enter your first name'; 'A': 'Name is too short'; 'An1ta': 'Use letters only'; D'Souza accepted.</t>
        </is>
      </c>
    </row>
    <row r="8" ht="30" customHeight="1">
      <c r="A8" s="27" t="inlineStr">
        <is>
          <t>BL-AUTH-007</t>
        </is>
      </c>
      <c r="B8" s="28" t="inlineStr">
        <is>
          <t>Authentication &amp; session</t>
        </is>
      </c>
      <c r="C8" s="28" t="inlineStr">
        <is>
          <t>Sign-up</t>
        </is>
      </c>
      <c r="D8" s="28" t="inlineStr">
        <is>
          <t>Mobile number is an Indian mobile: 10 digits starting 6–9</t>
        </is>
      </c>
      <c r="E8" s="28" t="inlineStr">
        <is>
          <t>Submit empty, 9 digits, and a number starting with 5</t>
        </is>
      </c>
      <c r="F8" s="28" t="inlineStr">
        <is>
          <t>'Enter your mobile number' / 'Mobile number must be 10 digits' / 'Mobile number must start with 6-9'.</t>
        </is>
      </c>
      <c r="G8" s="29" t="inlineStr">
        <is>
          <t>P0</t>
        </is>
      </c>
      <c r="H8" s="29" t="inlineStr">
        <is>
          <t>Boundary</t>
        </is>
      </c>
      <c r="I8" s="30" t="inlineStr">
        <is>
          <t>lib/core/utils/validators.dart:54</t>
        </is>
      </c>
      <c r="J8" s="29" t="n"/>
      <c r="K8" s="31" t="inlineStr">
        <is>
          <t>Pass</t>
        </is>
      </c>
      <c r="L8" s="32" t="inlineStr">
        <is>
          <t>Claude (adb)</t>
        </is>
      </c>
      <c r="M8" s="33" t="n">
        <v>46299</v>
      </c>
      <c r="N8" s="32" t="inlineStr">
        <is>
          <t>1.0.0+1 debug</t>
        </is>
      </c>
      <c r="O8" s="32" t="inlineStr">
        <is>
          <t>emulator-5554 / Android 14</t>
        </is>
      </c>
      <c r="P8" s="32" t="n"/>
      <c r="Q8" s="32" t="inlineStr">
        <is>
          <t>Empty: 'Enter your mobile number'; 9 digits: 'Mobile number must be 10 digits'; starting 5: 'Mobile number must start with 6-9' (same on sign-in Mobile tab).</t>
        </is>
      </c>
    </row>
    <row r="9" ht="43" customHeight="1">
      <c r="A9" s="27" t="inlineStr">
        <is>
          <t>BL-AUTH-008</t>
        </is>
      </c>
      <c r="B9" s="28" t="inlineStr">
        <is>
          <t>Authentication &amp; session</t>
        </is>
      </c>
      <c r="C9" s="28" t="inlineStr">
        <is>
          <t>Sign-up</t>
        </is>
      </c>
      <c r="D9" s="28" t="inlineStr">
        <is>
          <t>Non-Indian country codes</t>
        </is>
      </c>
      <c r="E9" s="28" t="inlineStr">
        <is>
          <t>1. Pick +971 in the country picker
2. Enter a valid 9-digit UAE number</t>
        </is>
      </c>
      <c r="F9" s="28" t="inlineStr">
        <is>
          <t>Decide what is correct: the picker offers other countries, but validation is always the Indian rule, so the number is rejected.</t>
        </is>
      </c>
      <c r="G9" s="29" t="inlineStr">
        <is>
          <t>P2</t>
        </is>
      </c>
      <c r="H9" s="29" t="inlineStr">
        <is>
          <t>Verify gap</t>
        </is>
      </c>
      <c r="I9" s="30" t="inlineStr">
        <is>
          <t>lib/core/widgets/app_phone_field.dart:68</t>
        </is>
      </c>
      <c r="J9" s="29" t="n"/>
      <c r="K9" s="31" t="inlineStr">
        <is>
          <t>Pass</t>
        </is>
      </c>
      <c r="L9" s="32" t="inlineStr">
        <is>
          <t>Claude (adb)</t>
        </is>
      </c>
      <c r="M9" s="33" t="n">
        <v>46300</v>
      </c>
      <c r="N9" s="32" t="inlineStr">
        <is>
          <t>1.0.0+1 debug</t>
        </is>
      </c>
      <c r="O9" s="32" t="inlineStr">
        <is>
          <t>emulator-5554 / Android 14</t>
        </is>
      </c>
      <c r="P9" s="32" t="inlineStr">
        <is>
          <t>DEF-001</t>
        </is>
      </c>
      <c r="Q9" s="32" t="inlineStr">
        <is>
          <t>FIXED AND RETESTED (5 Oct 2026, rebuilt debug build; DEF-001). The API takes only Indian mobiles for sign-in, sign-up, password reset, number change and family hand-over (§2: ^\+91[6-9]\d{9}$), so those screens are now fixed to +91: the country chip is not tappable and no picker opens (login_screen, signup_screen, forgot_password_screen, phone_change_screen, dependant_edit_screen release sheet). Emergency contacts, the alternate number and a family member's own phone keep the picker - the API accepts any E.164 there and those fields already validate foreign numbers. Emulator: signed out, Mobile tab shows 'Country code +91 India' (not clickable); tapping it opens nothing (+971 not shown). Test added (sign_in_routing_test.dart). First observed: Country picker offers +971 (and 8 other non-Indian codes); with +971 selected a valid 9-digit UAE mobile (501234567) is rejected with 'Mobile number must be 10 digits'. The non-Indian options can never be used.</t>
        </is>
      </c>
    </row>
    <row r="10" ht="43" customHeight="1">
      <c r="A10" s="27" t="inlineStr">
        <is>
          <t>BL-AUTH-009</t>
        </is>
      </c>
      <c r="B10" s="28" t="inlineStr">
        <is>
          <t>Authentication &amp; session</t>
        </is>
      </c>
      <c r="C10" s="28" t="inlineStr">
        <is>
          <t>Sign-up</t>
        </is>
      </c>
      <c r="D10" s="28" t="inlineStr">
        <is>
          <t>Account holder must be 18 or older</t>
        </is>
      </c>
      <c r="E10" s="28" t="inlineStr">
        <is>
          <t>1. Open the date picker and look for dates under 18 years ago
2. Force an under-age date via the server</t>
        </is>
      </c>
      <c r="F10" s="28" t="inlineStr">
        <is>
          <t>Picker stops at today minus 18 years; a server refusal shows the 18+ message under Date of birth.</t>
        </is>
      </c>
      <c r="G10" s="29" t="inlineStr">
        <is>
          <t>P0</t>
        </is>
      </c>
      <c r="H10" s="29" t="inlineStr">
        <is>
          <t>Boundary</t>
        </is>
      </c>
      <c r="I10" s="30" t="inlineStr">
        <is>
          <t>lib/features/auth/presentation/controllers/signup_form_controller.dart:97</t>
        </is>
      </c>
      <c r="J10" s="29" t="n"/>
      <c r="K10" s="31" t="inlineStr">
        <is>
          <t>Pass</t>
        </is>
      </c>
      <c r="L10" s="32" t="inlineStr">
        <is>
          <t>Claude (adb)</t>
        </is>
      </c>
      <c r="M10" s="33" t="n">
        <v>46299</v>
      </c>
      <c r="N10" s="32" t="inlineStr">
        <is>
          <t>1.0.0+1 debug</t>
        </is>
      </c>
      <c r="O10" s="32" t="inlineStr">
        <is>
          <t>emulator-5554 / Android 14</t>
        </is>
      </c>
      <c r="P10" s="32" t="n"/>
      <c r="Q10" s="32" t="inlineStr">
        <is>
          <t>Date picker opens on 4 Oct 2008 (today minus 18 years); 5 Oct 2008 onward is 'Out of range' and Next month/year are disabled. Server-side under-age refusal not exercised (cannot bypass the picker). Note: the Date of Birth label, placeholder and its error 'Select a date of birth' are drawn on screen but missing from the accessibility tree.</t>
        </is>
      </c>
    </row>
    <row r="11" ht="43" customHeight="1">
      <c r="A11" s="27" t="inlineStr">
        <is>
          <t>BL-AUTH-010</t>
        </is>
      </c>
      <c r="B11" s="28" t="inlineStr">
        <is>
          <t>Authentication &amp; session</t>
        </is>
      </c>
      <c r="C11" s="28" t="inlineStr">
        <is>
          <t>Sign-up</t>
        </is>
      </c>
      <c r="D11" s="28" t="inlineStr">
        <is>
          <t>Password is optional; if given, at least 10 characters and confirmed</t>
        </is>
      </c>
      <c r="E11" s="28" t="inlineStr">
        <is>
          <t>1. Leave both password fields empty
2. Enter 9 characters
3. Enter 10 with a different confirmation</t>
        </is>
      </c>
      <c r="F11" s="28" t="inlineStr">
        <is>
          <t>Empty is accepted (code-only account); 'At least 10 characters'; 'Passwords do not match'.</t>
        </is>
      </c>
      <c r="G11" s="29" t="inlineStr">
        <is>
          <t>P0</t>
        </is>
      </c>
      <c r="H11" s="29" t="inlineStr">
        <is>
          <t>Boundary</t>
        </is>
      </c>
      <c r="I11" s="30" t="inlineStr">
        <is>
          <t>lib/features/auth/presentation/controllers/signup_form_controller.dart:71</t>
        </is>
      </c>
      <c r="J11" s="29" t="n"/>
      <c r="K11" s="31" t="inlineStr">
        <is>
          <t>Pass</t>
        </is>
      </c>
      <c r="L11" s="32" t="inlineStr">
        <is>
          <t>Claude (adb)</t>
        </is>
      </c>
      <c r="M11" s="33" t="n">
        <v>46299</v>
      </c>
      <c r="N11" s="32" t="inlineStr">
        <is>
          <t>1.0.0+1 debug</t>
        </is>
      </c>
      <c r="O11" s="32" t="inlineStr">
        <is>
          <t>emulator-5554 / Android 14</t>
        </is>
      </c>
      <c r="P11" s="32" t="n"/>
      <c r="Q11" s="32" t="inlineStr">
        <is>
          <t>Both empty: no password error on submit. 9 chars: 'At least 10 characters'. 10 chars with different confirmation: 'Passwords do not match'.</t>
        </is>
      </c>
    </row>
    <row r="12" ht="30" customHeight="1">
      <c r="A12" s="27" t="inlineStr">
        <is>
          <t>BL-AUTH-011</t>
        </is>
      </c>
      <c r="B12" s="28" t="inlineStr">
        <is>
          <t>Authentication &amp; session</t>
        </is>
      </c>
      <c r="C12" s="28" t="inlineStr">
        <is>
          <t>Sign-up</t>
        </is>
      </c>
      <c r="D12" s="28" t="inlineStr">
        <is>
          <t>Password containing personal details</t>
        </is>
      </c>
      <c r="E12" s="28" t="inlineStr">
        <is>
          <t>Use a 10+ character password containing your first name or phone number</t>
        </is>
      </c>
      <c r="F12" s="28" t="inlineStr">
        <is>
          <t>Server refuses it and the message appears under the password field (the app does not pre-check this).</t>
        </is>
      </c>
      <c r="G12" s="29" t="inlineStr">
        <is>
          <t>P2</t>
        </is>
      </c>
      <c r="H12" s="29" t="inlineStr">
        <is>
          <t>Error handling</t>
        </is>
      </c>
      <c r="I12" s="30" t="inlineStr">
        <is>
          <t>lib/core/utils/validators.dart:30</t>
        </is>
      </c>
      <c r="J12" s="29" t="n"/>
      <c r="K12" s="31" t="inlineStr">
        <is>
          <t>Pass</t>
        </is>
      </c>
      <c r="L12" s="32" t="inlineStr">
        <is>
          <t>Claude (adb)</t>
        </is>
      </c>
      <c r="M12" s="33" t="n">
        <v>46299</v>
      </c>
      <c r="N12" s="32" t="inlineStr">
        <is>
          <t>1.0.0+1 debug</t>
        </is>
      </c>
      <c r="O12" s="32" t="inlineStr">
        <is>
          <t>emulator-5554 / Android 14</t>
        </is>
      </c>
      <c r="P12" s="32" t="n"/>
      <c r="Q12" s="32" t="inlineStr">
        <is>
          <t>Password containing the phone number (9123456791ab) passes the app's checks; the server refuses and 'The password must not contain your name, email or phone number.' is shown under the password field.</t>
        </is>
      </c>
    </row>
    <row r="13" ht="43" customHeight="1">
      <c r="A13" s="27" t="inlineStr">
        <is>
          <t>BL-AUTH-012</t>
        </is>
      </c>
      <c r="B13" s="28" t="inlineStr">
        <is>
          <t>Authentication &amp; session</t>
        </is>
      </c>
      <c r="C13" s="28" t="inlineStr">
        <is>
          <t>Sign-up</t>
        </is>
      </c>
      <c r="D13" s="28" t="inlineStr">
        <is>
          <t>Address is all-or-nothing</t>
        </is>
      </c>
      <c r="E13" s="28" t="inlineStr">
        <is>
          <t>1. Fill only City and submit
2. Enter PIN 012345
3. Enter line 1 'abc'</t>
        </is>
      </c>
      <c r="F13" s="28" t="inlineStr">
        <is>
          <t>Once any of line 1 / city / state / PIN is filled all four are required; 'Enter a valid PIN code'; 'Address looks too short'. Label alone does not trigger it.</t>
        </is>
      </c>
      <c r="G13" s="29" t="inlineStr">
        <is>
          <t>P2</t>
        </is>
      </c>
      <c r="H13" s="29" t="inlineStr">
        <is>
          <t>Rule</t>
        </is>
      </c>
      <c r="I13" s="30" t="inlineStr">
        <is>
          <t>lib/features/auth/presentation/controllers/signup_form_controller.dart:166</t>
        </is>
      </c>
      <c r="J13" s="29" t="n"/>
      <c r="K13" s="31" t="inlineStr">
        <is>
          <t>Pass</t>
        </is>
      </c>
      <c r="L13" s="32" t="inlineStr">
        <is>
          <t>Claude (adb)</t>
        </is>
      </c>
      <c r="M13" s="33" t="n">
        <v>46299</v>
      </c>
      <c r="N13" s="32" t="inlineStr">
        <is>
          <t>1.0.0+1 debug</t>
        </is>
      </c>
      <c r="O13" s="32" t="inlineStr">
        <is>
          <t>emulator-5554 / Android 14</t>
        </is>
      </c>
      <c r="P13" s="32" t="n"/>
      <c r="Q13" s="32" t="inlineStr">
        <is>
          <t>With only City filled: 'Enter a street address', 'Enter a state', 'Enter a PIN code'. PIN 012345: 'Enter a valid PIN code'; 5 digits: 'PIN code must be 6 digits'; line 1 'abc': 'Address looks too short'. Label alone ('Home' prefilled) does not trigger it.</t>
        </is>
      </c>
    </row>
    <row r="14" ht="43" customHeight="1">
      <c r="A14" s="27" t="inlineStr">
        <is>
          <t>BL-AUTH-013</t>
        </is>
      </c>
      <c r="B14" s="28" t="inlineStr">
        <is>
          <t>Authentication &amp; session</t>
        </is>
      </c>
      <c r="C14" s="28" t="inlineStr">
        <is>
          <t>Sign-up</t>
        </is>
      </c>
      <c r="D14" s="28" t="inlineStr">
        <is>
          <t>Legal checkbox is required</t>
        </is>
      </c>
      <c r="E14" s="28" t="inlineStr">
        <is>
          <t>Submit with the box unticked</t>
        </is>
      </c>
      <c r="F14" s="28" t="inlineStr">
        <is>
          <t>'Accept the Terms, Privacy Policy and User Guidelines to continue'.</t>
        </is>
      </c>
      <c r="G14" s="29" t="inlineStr">
        <is>
          <t>P0</t>
        </is>
      </c>
      <c r="H14" s="29" t="inlineStr">
        <is>
          <t>Rule</t>
        </is>
      </c>
      <c r="I14" s="30" t="inlineStr">
        <is>
          <t>lib/features/auth/presentation/controllers/signup_form_controller.dart:89</t>
        </is>
      </c>
      <c r="J14" s="29" t="n"/>
      <c r="K14" s="31" t="inlineStr">
        <is>
          <t>Pass</t>
        </is>
      </c>
      <c r="L14" s="32" t="inlineStr">
        <is>
          <t>Claude (adb)</t>
        </is>
      </c>
      <c r="M14" s="33" t="n">
        <v>46299</v>
      </c>
      <c r="N14" s="32" t="inlineStr">
        <is>
          <t>1.0.0+1 debug</t>
        </is>
      </c>
      <c r="O14" s="32" t="inlineStr">
        <is>
          <t>emulator-5554 / Android 14</t>
        </is>
      </c>
      <c r="P14" s="32" t="n"/>
      <c r="Q14" s="32" t="inlineStr">
        <is>
          <t>Submitting with the legal box unticked shows 'Accept the Terms, Privacy Policy and User Guidelines to continue'.</t>
        </is>
      </c>
    </row>
    <row r="15" ht="43" customHeight="1">
      <c r="A15" s="27" t="inlineStr">
        <is>
          <t>BL-AUTH-014</t>
        </is>
      </c>
      <c r="B15" s="28" t="inlineStr">
        <is>
          <t>Authentication &amp; session</t>
        </is>
      </c>
      <c r="C15" s="28" t="inlineStr">
        <is>
          <t>Sign-up</t>
        </is>
      </c>
      <c r="D15" s="28" t="inlineStr">
        <is>
          <t>No account exists until the code is verified</t>
        </is>
      </c>
      <c r="E15" s="28" t="inlineStr">
        <is>
          <t>1. Submit a valid form
2. On the verify screen press Back
3. Try to sign in with those details</t>
        </is>
      </c>
      <c r="F15" s="28" t="inlineStr">
        <is>
          <t>Form is refilled except the password fields; sign-in fails because no account was created yet.</t>
        </is>
      </c>
      <c r="G15" s="29" t="inlineStr">
        <is>
          <t>P1</t>
        </is>
      </c>
      <c r="H15" s="29" t="inlineStr">
        <is>
          <t>State</t>
        </is>
      </c>
      <c r="I15" s="30" t="inlineStr">
        <is>
          <t>lib/features/auth/presentation/controllers/signup_form_controller.dart:200</t>
        </is>
      </c>
      <c r="J15" s="29" t="inlineStr">
        <is>
          <t>KB-05</t>
        </is>
      </c>
      <c r="K15" s="31" t="inlineStr">
        <is>
          <t>Pass</t>
        </is>
      </c>
      <c r="L15" s="32" t="inlineStr">
        <is>
          <t>Claude (adb)</t>
        </is>
      </c>
      <c r="M15" s="33" t="n">
        <v>46299</v>
      </c>
      <c r="N15" s="32" t="inlineStr">
        <is>
          <t>1.0.0+1 debug</t>
        </is>
      </c>
      <c r="O15" s="32" t="inlineStr">
        <is>
          <t>emulator-5554 / Android 14</t>
        </is>
      </c>
      <c r="P15" s="32" t="n"/>
      <c r="Q15" s="32" t="inlineStr">
        <is>
          <t>Valid form -&gt; 'Verify Mobile … Verify &amp; Create Account'. Back returns to the form with name, mobile, date of birth and address refilled and both password fields empty. API sign-in with those details: AUTH_INVALID_CREDENTIALS (no account created).</t>
        </is>
      </c>
    </row>
    <row r="16" ht="43" customHeight="1">
      <c r="A16" s="27" t="inlineStr">
        <is>
          <t>BL-AUTH-015</t>
        </is>
      </c>
      <c r="B16" s="28" t="inlineStr">
        <is>
          <t>Authentication &amp; session</t>
        </is>
      </c>
      <c r="C16" s="28" t="inlineStr">
        <is>
          <t>Sign-up</t>
        </is>
      </c>
      <c r="D16" s="28" t="inlineStr">
        <is>
          <t>Server errors land on their fields</t>
        </is>
      </c>
      <c r="E16" s="28" t="inlineStr">
        <is>
          <t>1. Use an already-registered number
2. Trigger server errors on email and address fields</t>
        </is>
      </c>
      <c r="F16" s="28" t="inlineStr">
        <is>
          <t>Each message under its own field (phone, email, date of birth, password, address lines, consents); anything else in the form banner.</t>
        </is>
      </c>
      <c r="G16" s="29" t="inlineStr">
        <is>
          <t>P1</t>
        </is>
      </c>
      <c r="H16" s="29" t="inlineStr">
        <is>
          <t>Error handling</t>
        </is>
      </c>
      <c r="I16" s="30" t="inlineStr">
        <is>
          <t>lib/features/auth/presentation/controllers/signup_form_controller.dart:225</t>
        </is>
      </c>
      <c r="J16" s="29" t="n"/>
      <c r="K16" s="31" t="inlineStr">
        <is>
          <t>Pass</t>
        </is>
      </c>
      <c r="L16" s="32" t="inlineStr">
        <is>
          <t>Claude (adb)</t>
        </is>
      </c>
      <c r="M16" s="33" t="n">
        <v>46299</v>
      </c>
      <c r="N16" s="32" t="inlineStr">
        <is>
          <t>1.0.0+1 debug</t>
        </is>
      </c>
      <c r="O16" s="32" t="inlineStr">
        <is>
          <t>emulator-5554 / Android 14</t>
        </is>
      </c>
      <c r="P16" s="32" t="n"/>
      <c r="Q16" s="32" t="inlineStr">
        <is>
          <t>Registered number: 'This mobile number is already registered. Log in instead.' under the mobile field. Server password refusal appears under the password field. (Email/address server errors not triggered.)</t>
        </is>
      </c>
    </row>
    <row r="17" ht="30" customHeight="1">
      <c r="A17" s="27" t="inlineStr">
        <is>
          <t>BL-AUTH-016</t>
        </is>
      </c>
      <c r="B17" s="28" t="inlineStr">
        <is>
          <t>Authentication &amp; session</t>
        </is>
      </c>
      <c r="C17" s="28" t="inlineStr">
        <is>
          <t>Sign-up</t>
        </is>
      </c>
      <c r="D17" s="28" t="inlineStr">
        <is>
          <t>Successful sign-up signs the user in</t>
        </is>
      </c>
      <c r="E17" s="28" t="inlineStr">
        <is>
          <t>Enter the correct code</t>
        </is>
      </c>
      <c r="F17" s="28" t="inlineStr">
        <is>
          <t>'Welcome to Medibook, &lt;first name&gt;!' and Home; booking 'for myself' works immediately.</t>
        </is>
      </c>
      <c r="G17" s="29" t="inlineStr">
        <is>
          <t>P0</t>
        </is>
      </c>
      <c r="H17" s="29" t="inlineStr">
        <is>
          <t>State</t>
        </is>
      </c>
      <c r="I17" s="30" t="inlineStr">
        <is>
          <t>lib/features/auth/presentation/screen/verify_code_screen.dart:125</t>
        </is>
      </c>
      <c r="J17" s="29" t="inlineStr">
        <is>
          <t>KB-05</t>
        </is>
      </c>
      <c r="K17" s="31" t="inlineStr">
        <is>
          <t>Blocked</t>
        </is>
      </c>
      <c r="L17" s="32" t="inlineStr">
        <is>
          <t>Claude (adb)</t>
        </is>
      </c>
      <c r="M17" s="33" t="n">
        <v>46299</v>
      </c>
      <c r="N17" s="32" t="inlineStr">
        <is>
          <t>1.0.0+1 debug</t>
        </is>
      </c>
      <c r="O17" s="32" t="inlineStr">
        <is>
          <t>emulator-5554 / Android 14</t>
        </is>
      </c>
      <c r="P17" s="32" t="n"/>
      <c r="Q17" s="32" t="inlineStr">
        <is>
          <t>KB-05: the server sends no SMS, so a correct sign-up code cannot be entered.</t>
        </is>
      </c>
    </row>
    <row r="18" ht="43" customHeight="1">
      <c r="A18" s="27" t="inlineStr">
        <is>
          <t>BL-AUTH-017</t>
        </is>
      </c>
      <c r="B18" s="28" t="inlineStr">
        <is>
          <t>Authentication &amp; session</t>
        </is>
      </c>
      <c r="C18" s="28" t="inlineStr">
        <is>
          <t>OTP verification</t>
        </is>
      </c>
      <c r="D18" s="28" t="inlineStr">
        <is>
          <t>Local checks before any request</t>
        </is>
      </c>
      <c r="E18" s="28" t="inlineStr">
        <is>
          <t>Tap Verify with nothing entered and with fewer digits</t>
        </is>
      </c>
      <c r="F18" s="28" t="inlineStr">
        <is>
          <t>'Enter the code' / 'Enter all N digits'; no request is sent. The number of boxes equals the server's code length.</t>
        </is>
      </c>
      <c r="G18" s="29" t="inlineStr">
        <is>
          <t>P1</t>
        </is>
      </c>
      <c r="H18" s="29" t="inlineStr">
        <is>
          <t>Boundary</t>
        </is>
      </c>
      <c r="I18" s="30" t="inlineStr">
        <is>
          <t>lib/features/auth/presentation/controllers/verify_controller.dart:64</t>
        </is>
      </c>
      <c r="J18" s="29" t="n"/>
      <c r="K18" s="31" t="inlineStr">
        <is>
          <t>Pass</t>
        </is>
      </c>
      <c r="L18" s="32" t="inlineStr">
        <is>
          <t>Claude (adb)</t>
        </is>
      </c>
      <c r="M18" s="33" t="n">
        <v>46299</v>
      </c>
      <c r="N18" s="32" t="inlineStr">
        <is>
          <t>1.0.0+1 debug</t>
        </is>
      </c>
      <c r="O18" s="32" t="inlineStr">
        <is>
          <t>emulator-5554 / Android 14</t>
        </is>
      </c>
      <c r="P18" s="32" t="n"/>
      <c r="Q18" s="32" t="inlineStr">
        <is>
          <t>Verify with nothing entered: 'Enter the code'; with 2 digits: 'Enter all 4 digits'. 4 boxes match the server's otp_length (4).</t>
        </is>
      </c>
    </row>
    <row r="19" ht="56" customHeight="1">
      <c r="A19" s="27" t="inlineStr">
        <is>
          <t>BL-AUTH-018</t>
        </is>
      </c>
      <c r="B19" s="28" t="inlineStr">
        <is>
          <t>Authentication &amp; session</t>
        </is>
      </c>
      <c r="C19" s="28" t="inlineStr">
        <is>
          <t>OTP verification</t>
        </is>
      </c>
      <c r="D19" s="28" t="inlineStr">
        <is>
          <t>Wrong, expired and exhausted codes</t>
        </is>
      </c>
      <c r="E19" s="28" t="inlineStr">
        <is>
          <t>1. Enter a wrong code
2. Wait over 180 s and enter the code
3. Enter 3 wrong codes</t>
        </is>
      </c>
      <c r="F19" s="28" t="inlineStr">
        <is>
          <t>'That code is not right. Check it and try again. 2 attempts left.' / 'That code has expired. Request a new one.' / 'Too many wrong codes. Request a new code to continue.'</t>
        </is>
      </c>
      <c r="G19" s="29" t="inlineStr">
        <is>
          <t>P0</t>
        </is>
      </c>
      <c r="H19" s="29" t="inlineStr">
        <is>
          <t>Error handling</t>
        </is>
      </c>
      <c r="I19" s="30" t="inlineStr">
        <is>
          <t>lib/core/network/network_exceptions.dart:478</t>
        </is>
      </c>
      <c r="J19" s="29" t="inlineStr">
        <is>
          <t>KB-05</t>
        </is>
      </c>
      <c r="K19" s="31" t="inlineStr">
        <is>
          <t>Pass</t>
        </is>
      </c>
      <c r="L19" s="32" t="inlineStr">
        <is>
          <t>Claude (adb)</t>
        </is>
      </c>
      <c r="M19" s="33" t="n">
        <v>46299</v>
      </c>
      <c r="N19" s="32" t="inlineStr">
        <is>
          <t>1.0.0+1 debug</t>
        </is>
      </c>
      <c r="O19" s="32" t="inlineStr">
        <is>
          <t>emulator-5554 / Android 14</t>
        </is>
      </c>
      <c r="P19" s="32" t="n"/>
      <c r="Q19" s="32" t="inlineStr">
        <is>
          <t>Wrong codes: 'That code is not right. Check it and try again. 2 attempts left.' -&gt; '1 attempt left.' -&gt; 'Too many wrong codes. Request a new code to continue.' After 186 s: 'The code has expired.' (Minor: after 'Resend code' the old 'Too many wrong codes' error stays on screen.)</t>
        </is>
      </c>
    </row>
    <row r="20" ht="30" customHeight="1">
      <c r="A20" s="27" t="inlineStr">
        <is>
          <t>BL-AUTH-019</t>
        </is>
      </c>
      <c r="B20" s="28" t="inlineStr">
        <is>
          <t>Authentication &amp; session</t>
        </is>
      </c>
      <c r="C20" s="28" t="inlineStr">
        <is>
          <t>OTP verification</t>
        </is>
      </c>
      <c r="D20" s="28" t="inlineStr">
        <is>
          <t>Resend replaces the challenge</t>
        </is>
      </c>
      <c r="E20" s="28" t="inlineStr">
        <is>
          <t>1. Tap 'Resend Code'
2. Enter the old code, then the new one</t>
        </is>
      </c>
      <c r="F20" s="28" t="inlineStr">
        <is>
          <t>'Code re-sent to your mobile number'; the old code fails, the new one works.</t>
        </is>
      </c>
      <c r="G20" s="29" t="inlineStr">
        <is>
          <t>P1</t>
        </is>
      </c>
      <c r="H20" s="29" t="inlineStr">
        <is>
          <t>State</t>
        </is>
      </c>
      <c r="I20" s="30" t="inlineStr">
        <is>
          <t>lib/features/auth/presentation/controllers/verify_controller.dart:92</t>
        </is>
      </c>
      <c r="J20" s="29" t="inlineStr">
        <is>
          <t>KB-05</t>
        </is>
      </c>
      <c r="K20" s="31" t="inlineStr">
        <is>
          <t>Blocked</t>
        </is>
      </c>
      <c r="L20" s="32" t="inlineStr">
        <is>
          <t>Claude (adb)</t>
        </is>
      </c>
      <c r="M20" s="33" t="n">
        <v>46299</v>
      </c>
      <c r="N20" s="32" t="inlineStr">
        <is>
          <t>1.0.0+1 debug</t>
        </is>
      </c>
      <c r="O20" s="32" t="inlineStr">
        <is>
          <t>emulator-5554 / Android 14</t>
        </is>
      </c>
      <c r="P20" s="32" t="n"/>
      <c r="Q20" s="32" t="inlineStr">
        <is>
          <t>KB-05: no SMS on this server, so old-vs-new code cannot be compared. Verified only that 'Resend code' shows the toast 'Code re-sent to your mobile number'.</t>
        </is>
      </c>
    </row>
    <row r="21" ht="43" customHeight="1">
      <c r="A21" s="27" t="inlineStr">
        <is>
          <t>BL-AUTH-020</t>
        </is>
      </c>
      <c r="B21" s="28" t="inlineStr">
        <is>
          <t>Authentication &amp; session</t>
        </is>
      </c>
      <c r="C21" s="28" t="inlineStr">
        <is>
          <t>OTP verification</t>
        </is>
      </c>
      <c r="D21" s="28" t="inlineStr">
        <is>
          <t>Resend cooldown and code-expiry countdown</t>
        </is>
      </c>
      <c r="E21" s="28" t="inlineStr">
        <is>
          <t>Arrive on the verify screen and tap 'Resend Code' immediately, several times</t>
        </is>
      </c>
      <c r="F21" s="28" t="inlineStr">
        <is>
          <t>A 30 s cooldown / countdown is expected. The code leaves the button always tappable and relies on the server's 'too many attempts' answer.</t>
        </is>
      </c>
      <c r="G21" s="29" t="inlineStr">
        <is>
          <t>P1</t>
        </is>
      </c>
      <c r="H21" s="29" t="inlineStr">
        <is>
          <t>Verify gap</t>
        </is>
      </c>
      <c r="I21" s="30" t="inlineStr">
        <is>
          <t>lib/features/auth/presentation/screen/verify_code_screen.dart:283</t>
        </is>
      </c>
      <c r="J21" s="29" t="inlineStr">
        <is>
          <t>KB-05</t>
        </is>
      </c>
      <c r="K21" s="31" t="inlineStr">
        <is>
          <t>Pass</t>
        </is>
      </c>
      <c r="L21" s="32" t="inlineStr">
        <is>
          <t>Claude (adb)</t>
        </is>
      </c>
      <c r="M21" s="33" t="n">
        <v>46300</v>
      </c>
      <c r="N21" s="32" t="inlineStr">
        <is>
          <t>1.0.0+1 debug</t>
        </is>
      </c>
      <c r="O21" s="32" t="inlineStr">
        <is>
          <t>emulator-5554 / Android 14</t>
        </is>
      </c>
      <c r="P21" s="32" t="inlineStr">
        <is>
          <t>DEF-002</t>
        </is>
      </c>
      <c r="Q21" s="32" t="inlineStr">
        <is>
          <t>FIXED AND RETESTED (5 Oct 2026, rebuilt debug build; DEF-002). The code screen now counts down to the challenge's resend_after_seconds before Resend is offered ('Resend in 00:15', not tappable), and shows the code's own life from expires_at ('Code expires in 02:46'; after expiry 'This code has expired. Tap Resend Code for a new one.'). A resend restarts both. Emulator: mobile sign-in for Sanjay -&gt; 'Code expires in 02:46' and 'Didn't get the code? Resend in 00:15'. Test added (sign_in_routing_test.dart). First observed: No resend cooldown or countdown on the verify screen: 'Resend code' is tappable immediately on arrival; tapping it at once gave the server banner 'Too many attempts. Please wait a moment and try again.' No expiry countdown for the 180 s code either.</t>
        </is>
      </c>
    </row>
    <row r="22" ht="30" customHeight="1">
      <c r="A22" s="27" t="inlineStr">
        <is>
          <t>BL-AUTH-021</t>
        </is>
      </c>
      <c r="B22" s="28" t="inlineStr">
        <is>
          <t>Authentication &amp; session</t>
        </is>
      </c>
      <c r="C22" s="28" t="inlineStr">
        <is>
          <t>OTP verification</t>
        </is>
      </c>
      <c r="D22" s="28" t="inlineStr">
        <is>
          <t>Verify screen opened without a code request</t>
        </is>
      </c>
      <c r="E22" s="28" t="inlineStr">
        <is>
          <t>1. Open the verify deep link with no parameters
2. Enter a code</t>
        </is>
      </c>
      <c r="F22" s="28" t="inlineStr">
        <is>
          <t>'This code request has expired. Go back and ask for a new code.'</t>
        </is>
      </c>
      <c r="G22" s="29" t="inlineStr">
        <is>
          <t>P2</t>
        </is>
      </c>
      <c r="H22" s="29" t="inlineStr">
        <is>
          <t>Error handling</t>
        </is>
      </c>
      <c r="I22" s="30" t="inlineStr">
        <is>
          <t>lib/features/auth/presentation/controllers/verify_controller.dart:53</t>
        </is>
      </c>
      <c r="J22" s="29" t="n"/>
      <c r="K22" s="31" t="inlineStr">
        <is>
          <t>Pass</t>
        </is>
      </c>
      <c r="L22" s="32" t="inlineStr">
        <is>
          <t>Claude (adb)</t>
        </is>
      </c>
      <c r="M22" s="33" t="n">
        <v>46300</v>
      </c>
      <c r="N22" s="32" t="inlineStr">
        <is>
          <t>1.0.0+1 debug</t>
        </is>
      </c>
      <c r="O22" s="32" t="inlineStr">
        <is>
          <t>emulator-5554 / Android 14</t>
        </is>
      </c>
      <c r="P22" s="32" t="n"/>
      <c r="Q22" s="32" t="inlineStr">
        <is>
          <t>PASS (5 Oct 2026, debug build). Still not reachable from outside the app, which is intended: medibook://verify opens 'Page not found' and every in-app path passes a code request. The guard itself is covered by test/features/auth/verify_purpose_test.dart: opened with no code request, entering 1234 shows 'This code request has expired. Go back and ask for a new code.' and nothing is sent to the server. Earlier note: Not reachable by a user: medibook://verify (no parameters) opens 'Page not found', so the orphan verify screen cannot be opened from outside the app.</t>
        </is>
      </c>
    </row>
    <row r="23" ht="43" customHeight="1">
      <c r="A23" s="27" t="inlineStr">
        <is>
          <t>BL-AUTH-022</t>
        </is>
      </c>
      <c r="B23" s="28" t="inlineStr">
        <is>
          <t>Authentication &amp; session</t>
        </is>
      </c>
      <c r="C23" s="28" t="inlineStr">
        <is>
          <t>OTP verification</t>
        </is>
      </c>
      <c r="D23" s="28" t="inlineStr">
        <is>
          <t>Phone-change purpose on the generic verify screen</t>
        </is>
      </c>
      <c r="E23" s="28" t="inlineStr">
        <is>
          <t>1. While signed in open /verify?purpose=phone-change&amp;ch=x&amp;len=4
2. Enter any 4 digits</t>
        </is>
      </c>
      <c r="F23" s="28" t="inlineStr">
        <is>
          <t>Nothing should be 'verified'. The code accepts any well-formed code with no server call and opens Edit Profile (no number actually changes).</t>
        </is>
      </c>
      <c r="G23" s="29" t="inlineStr">
        <is>
          <t>P2</t>
        </is>
      </c>
      <c r="H23" s="29" t="inlineStr">
        <is>
          <t>Verify gap</t>
        </is>
      </c>
      <c r="I23" s="30" t="inlineStr">
        <is>
          <t>lib/features/auth/presentation/controllers/verify_controller.dart:149</t>
        </is>
      </c>
      <c r="J23" s="29" t="n"/>
      <c r="K23" s="31" t="inlineStr">
        <is>
          <t>Pass</t>
        </is>
      </c>
      <c r="L23" s="32" t="inlineStr">
        <is>
          <t>Claude (adb)</t>
        </is>
      </c>
      <c r="M23" s="33" t="n">
        <v>46300</v>
      </c>
      <c r="N23" s="32" t="inlineStr">
        <is>
          <t>1.0.0+1 debug</t>
        </is>
      </c>
      <c r="O23" s="32" t="inlineStr">
        <is>
          <t>emulator-5554 / Android 14</t>
        </is>
      </c>
      <c r="P23" s="32" t="inlineStr">
        <is>
          <t>DEF-072</t>
        </is>
      </c>
      <c r="Q23" s="32" t="inlineStr">
        <is>
          <t>PASS (5 Oct 2026, debug build). FIXED (DEF-072): the generic verify screen no longer has a phone-change purpose (the number change confirms both codes on its own /profile/phone screen, which nothing else used). A /verify?purpose=phone-change&amp;ch=x&amp;len=4 link is now checked by the server like any other code, so a made-up code is refused and nothing is 'verified'. Covered by test/features/auth/verify_purpose_test.dart; the route is still not open to external links. Earlier note: Not reachable by a user: the verify route is not exposed to external links (medibook://verify -&gt; 'Page not found'); no in-app path opens /verify with purpose=phone-change.</t>
        </is>
      </c>
    </row>
    <row r="24" ht="43" customHeight="1">
      <c r="A24" s="27" t="inlineStr">
        <is>
          <t>BL-AUTH-023</t>
        </is>
      </c>
      <c r="B24" s="28" t="inlineStr">
        <is>
          <t>Authentication &amp; session</t>
        </is>
      </c>
      <c r="C24" s="28" t="inlineStr">
        <is>
          <t>OTP verification</t>
        </is>
      </c>
      <c r="D24" s="28" t="inlineStr">
        <is>
          <t>What a correct code does depends on the flow</t>
        </is>
      </c>
      <c r="E24" s="28" t="inlineStr">
        <is>
          <t>Complete sign-up, mobile sign-in and password reset</t>
        </is>
      </c>
      <c r="F24" s="28" t="inlineStr">
        <is>
          <t>Buttons read 'Verify &amp; Create Account' / 'Verify &amp; Log In' / 'Verify'; destinations are Home, Home and the new-password screen.</t>
        </is>
      </c>
      <c r="G24" s="29" t="inlineStr">
        <is>
          <t>P1</t>
        </is>
      </c>
      <c r="H24" s="29" t="inlineStr">
        <is>
          <t>Rule</t>
        </is>
      </c>
      <c r="I24" s="30" t="inlineStr">
        <is>
          <t>lib/features/auth/presentation/screen/verify_code_screen.dart:124</t>
        </is>
      </c>
      <c r="J24" s="29" t="inlineStr">
        <is>
          <t>KB-05</t>
        </is>
      </c>
      <c r="K24" s="31" t="inlineStr">
        <is>
          <t>Blocked</t>
        </is>
      </c>
      <c r="L24" s="32" t="inlineStr">
        <is>
          <t>Claude (adb)</t>
        </is>
      </c>
      <c r="M24" s="33" t="n">
        <v>46299</v>
      </c>
      <c r="N24" s="32" t="inlineStr">
        <is>
          <t>1.0.0+1 debug</t>
        </is>
      </c>
      <c r="O24" s="32" t="inlineStr">
        <is>
          <t>emulator-5554 / Android 14</t>
        </is>
      </c>
      <c r="P24" s="32" t="n"/>
      <c r="Q24" s="32" t="inlineStr">
        <is>
          <t>KB-05: correct codes are not obtainable. Observed only the mobile sign-in label 'Verify &amp; Log In' and title 'Verify Mobile'.</t>
        </is>
      </c>
    </row>
    <row r="25" ht="43" customHeight="1">
      <c r="A25" s="27" t="inlineStr">
        <is>
          <t>BL-AUTH-024</t>
        </is>
      </c>
      <c r="B25" s="28" t="inlineStr">
        <is>
          <t>Authentication &amp; session</t>
        </is>
      </c>
      <c r="C25" s="28" t="inlineStr">
        <is>
          <t>Password sign-in</t>
        </is>
      </c>
      <c r="D25" s="28" t="inlineStr">
        <is>
          <t>Identifier must be an email or a full +91 number</t>
        </is>
      </c>
      <c r="E25" s="28" t="inlineStr">
        <is>
          <t>1. Submit empty
2. Submit '9845658525' on the email/mobile field
3. Submit with an empty password</t>
        </is>
      </c>
      <c r="F25" s="28" t="inlineStr">
        <is>
          <t>'Enter your email or mobile number' / 'Enter a valid email address or mobile number' / 'Enter your password'. Confirm a bare 10-digit number should be rejected here.</t>
        </is>
      </c>
      <c r="G25" s="29" t="inlineStr">
        <is>
          <t>P1</t>
        </is>
      </c>
      <c r="H25" s="29" t="inlineStr">
        <is>
          <t>Boundary</t>
        </is>
      </c>
      <c r="I25" s="30" t="inlineStr">
        <is>
          <t>lib/features/auth/presentation/controllers/login_form_controller.dart:49</t>
        </is>
      </c>
      <c r="J25" s="29" t="n"/>
      <c r="K25" s="31" t="inlineStr">
        <is>
          <t>Pass</t>
        </is>
      </c>
      <c r="L25" s="32" t="inlineStr">
        <is>
          <t>Claude (adb)</t>
        </is>
      </c>
      <c r="M25" s="33" t="n">
        <v>46299</v>
      </c>
      <c r="N25" s="32" t="inlineStr">
        <is>
          <t>1.0.0+1 debug</t>
        </is>
      </c>
      <c r="O25" s="32" t="inlineStr">
        <is>
          <t>emulator-5554 / Android 14</t>
        </is>
      </c>
      <c r="P25" s="32" t="n"/>
      <c r="Q25" s="32" t="inlineStr">
        <is>
          <t>Empty: 'Enter your email or mobile number' + 'Enter your password'. Bare 10-digit number: 'Enter a valid email address or mobile number' (a +91 prefix is required on this tab — confirm intended).</t>
        </is>
      </c>
    </row>
    <row r="26" ht="30" customHeight="1">
      <c r="A26" s="27" t="inlineStr">
        <is>
          <t>BL-AUTH-025</t>
        </is>
      </c>
      <c r="B26" s="28" t="inlineStr">
        <is>
          <t>Authentication &amp; session</t>
        </is>
      </c>
      <c r="C26" s="28" t="inlineStr">
        <is>
          <t>Password sign-in</t>
        </is>
      </c>
      <c r="D26" s="28" t="inlineStr">
        <is>
          <t>Malformed input never spends a server attempt</t>
        </is>
      </c>
      <c r="E26" s="28" t="inlineStr">
        <is>
          <t>Submit a malformed identifier with a proxy attached</t>
        </is>
      </c>
      <c r="F26" s="28" t="inlineStr">
        <is>
          <t>No sign-in request is sent; attempts remaining is unchanged.</t>
        </is>
      </c>
      <c r="G26" s="29" t="inlineStr">
        <is>
          <t>P1</t>
        </is>
      </c>
      <c r="H26" s="29" t="inlineStr">
        <is>
          <t>Rule</t>
        </is>
      </c>
      <c r="I26" s="30" t="inlineStr">
        <is>
          <t>lib/features/auth/application/usecases/login.dart:116</t>
        </is>
      </c>
      <c r="J26" s="29" t="n"/>
      <c r="K26" s="31" t="inlineStr">
        <is>
          <t>Pass</t>
        </is>
      </c>
      <c r="L26" s="32" t="inlineStr">
        <is>
          <t>Claude (adb)</t>
        </is>
      </c>
      <c r="M26" s="33" t="n">
        <v>46299</v>
      </c>
      <c r="N26" s="32" t="inlineStr">
        <is>
          <t>1.0.0+1 debug</t>
        </is>
      </c>
      <c r="O26" s="32" t="inlineStr">
        <is>
          <t>emulator-5554 / Android 14</t>
        </is>
      </c>
      <c r="P26" s="32" t="n"/>
      <c r="Q26" s="32" t="inlineStr">
        <is>
          <t>No proxy available; verified indirectly: after two malformed submissions the first real wrong password still reported '4 attempts left', so no server attempt was spent.</t>
        </is>
      </c>
    </row>
    <row r="27" ht="43" customHeight="1">
      <c r="A27" s="27" t="inlineStr">
        <is>
          <t>BL-AUTH-026</t>
        </is>
      </c>
      <c r="B27" s="28" t="inlineStr">
        <is>
          <t>Authentication &amp; session</t>
        </is>
      </c>
      <c r="C27" s="28" t="inlineStr">
        <is>
          <t>Password sign-in</t>
        </is>
      </c>
      <c r="D27" s="28" t="inlineStr">
        <is>
          <t>Wrong password shows attempts left</t>
        </is>
      </c>
      <c r="E27" s="28" t="inlineStr">
        <is>
          <t>Enter wrong passwords one at a time</t>
        </is>
      </c>
      <c r="F27" s="28" t="inlineStr">
        <is>
          <t>'That email or number and password do not match an account. 4 attempts left.' counting down to '1 attempt left.'</t>
        </is>
      </c>
      <c r="G27" s="29" t="inlineStr">
        <is>
          <t>P0</t>
        </is>
      </c>
      <c r="H27" s="29" t="inlineStr">
        <is>
          <t>Error handling</t>
        </is>
      </c>
      <c r="I27" s="30" t="inlineStr">
        <is>
          <t>lib/core/network/network_exceptions.dart:330</t>
        </is>
      </c>
      <c r="J27" s="29" t="n"/>
      <c r="K27" s="31" t="inlineStr">
        <is>
          <t>Pass</t>
        </is>
      </c>
      <c r="L27" s="32" t="inlineStr">
        <is>
          <t>Claude (adb)</t>
        </is>
      </c>
      <c r="M27" s="33" t="n">
        <v>46299</v>
      </c>
      <c r="N27" s="32" t="inlineStr">
        <is>
          <t>1.0.0+1 debug</t>
        </is>
      </c>
      <c r="O27" s="32" t="inlineStr">
        <is>
          <t>emulator-5554 / Android 14</t>
        </is>
      </c>
      <c r="P27" s="32" t="n"/>
      <c r="Q27" s="32" t="inlineStr">
        <is>
          <t>Wrong passwords on a spare account: 'That email or number and password do not match an account. 3 attempts left.' -&gt; '2 attempts left.' -&gt; '1 attempt left.' (the count started at 4 on the first attempt earlier in the run).</t>
        </is>
      </c>
    </row>
    <row r="28" ht="30" customHeight="1">
      <c r="A28" s="27" t="inlineStr">
        <is>
          <t>BL-AUTH-027</t>
        </is>
      </c>
      <c r="B28" s="28" t="inlineStr">
        <is>
          <t>Authentication &amp; session</t>
        </is>
      </c>
      <c r="C28" s="28" t="inlineStr">
        <is>
          <t>Password sign-in</t>
        </is>
      </c>
      <c r="D28" s="28" t="inlineStr">
        <is>
          <t>Blocked account</t>
        </is>
      </c>
      <c r="E28" s="28" t="inlineStr">
        <is>
          <t>Sign in to a blocked account</t>
        </is>
      </c>
      <c r="F28" s="28" t="inlineStr">
        <is>
          <t>'This account has been blocked. Contact Medibook support.'; attempts counter unchanged.</t>
        </is>
      </c>
      <c r="G28" s="29" t="inlineStr">
        <is>
          <t>P1</t>
        </is>
      </c>
      <c r="H28" s="29" t="inlineStr">
        <is>
          <t>Error handling</t>
        </is>
      </c>
      <c r="I28" s="30" t="inlineStr">
        <is>
          <t>lib/core/network/network_exceptions.dart:330</t>
        </is>
      </c>
      <c r="J28" s="29" t="n"/>
      <c r="K28" s="31" t="inlineStr">
        <is>
          <t>Blocked</t>
        </is>
      </c>
      <c r="L28" s="32" t="inlineStr">
        <is>
          <t>Claude (adb)</t>
        </is>
      </c>
      <c r="M28" s="33" t="n">
        <v>46299</v>
      </c>
      <c r="N28" s="32" t="inlineStr">
        <is>
          <t>1.0.0+1 debug</t>
        </is>
      </c>
      <c r="O28" s="32" t="inlineStr">
        <is>
          <t>emulator-5554 / Android 14</t>
        </is>
      </c>
      <c r="P28" s="32" t="n"/>
      <c r="Q28" s="32" t="inlineStr">
        <is>
          <t>Seed data: every seeded patient account is active; no blocked account to sign in to.</t>
        </is>
      </c>
    </row>
    <row r="29" ht="43" customHeight="1">
      <c r="A29" s="27" t="inlineStr">
        <is>
          <t>BL-AUTH-028</t>
        </is>
      </c>
      <c r="B29" s="28" t="inlineStr">
        <is>
          <t>Authentication &amp; session</t>
        </is>
      </c>
      <c r="C29" s="28" t="inlineStr">
        <is>
          <t>Password sign-in</t>
        </is>
      </c>
      <c r="D29" s="28" t="inlineStr">
        <is>
          <t>What is stored after sign-in</t>
        </is>
      </c>
      <c r="E29" s="28" t="inlineStr">
        <is>
          <t>1. Sign in
2. Inspect secure storage and the Hive auth box on a debug build</t>
        </is>
      </c>
      <c r="F29" s="28" t="inlineStr">
        <is>
          <t>Tokens and session id only in secure storage; the Hive box holds id, name, phone and flags — no tokens.</t>
        </is>
      </c>
      <c r="G29" s="29" t="inlineStr">
        <is>
          <t>P0</t>
        </is>
      </c>
      <c r="H29" s="29" t="inlineStr">
        <is>
          <t>Rule</t>
        </is>
      </c>
      <c r="I29" s="30" t="inlineStr">
        <is>
          <t>lib/features/auth/infrastructure/repositories/auth_repository_impl.dart:246</t>
        </is>
      </c>
      <c r="J29" s="29" t="n"/>
      <c r="K29" s="31" t="inlineStr">
        <is>
          <t>Pass</t>
        </is>
      </c>
      <c r="L29" s="32" t="inlineStr">
        <is>
          <t>Claude (adb)</t>
        </is>
      </c>
      <c r="M29" s="33" t="n">
        <v>46299</v>
      </c>
      <c r="N29" s="32" t="inlineStr">
        <is>
          <t>1.0.0+1 debug</t>
        </is>
      </c>
      <c r="O29" s="32" t="inlineStr">
        <is>
          <t>emulator-5554 / Android 14</t>
        </is>
      </c>
      <c r="P29" s="32" t="n"/>
      <c r="Q29" s="32" t="inlineStr">
        <is>
          <t>On-device inspection (run-as): no JWT in any Hive file or plain prefs; tokens live only in FlutterSecureStorage (encrypted values). Hive auth box holds user id, first/last name, phone, has_password, version, last_login_at.</t>
        </is>
      </c>
    </row>
    <row r="30" ht="43" customHeight="1">
      <c r="A30" s="27" t="inlineStr">
        <is>
          <t>BL-AUTH-029</t>
        </is>
      </c>
      <c r="B30" s="28" t="inlineStr">
        <is>
          <t>Authentication &amp; session</t>
        </is>
      </c>
      <c r="C30" s="28" t="inlineStr">
        <is>
          <t>OTP sign-in</t>
        </is>
      </c>
      <c r="D30" s="28" t="inlineStr">
        <is>
          <t>Unregistered number is indistinguishable at 'Send Code'</t>
        </is>
      </c>
      <c r="E30" s="28" t="inlineStr">
        <is>
          <t>1. Request a code for a number with no account
2. Enter any code</t>
        </is>
      </c>
      <c r="F30" s="28" t="inlineStr">
        <is>
          <t>Verify screen opens normally; 'That code is not right. Check it and try again.'</t>
        </is>
      </c>
      <c r="G30" s="29" t="inlineStr">
        <is>
          <t>P1</t>
        </is>
      </c>
      <c r="H30" s="29" t="inlineStr">
        <is>
          <t>Rule</t>
        </is>
      </c>
      <c r="I30" s="30" t="inlineStr">
        <is>
          <t>lib/features/auth/infrastructure/repositories/auth_repository_impl.dart:63</t>
        </is>
      </c>
      <c r="J30" s="29" t="n"/>
      <c r="K30" s="31" t="inlineStr">
        <is>
          <t>Pass</t>
        </is>
      </c>
      <c r="L30" s="32" t="inlineStr">
        <is>
          <t>Claude (adb)</t>
        </is>
      </c>
      <c r="M30" s="33" t="n">
        <v>46299</v>
      </c>
      <c r="N30" s="32" t="inlineStr">
        <is>
          <t>1.0.0+1 debug</t>
        </is>
      </c>
      <c r="O30" s="32" t="inlineStr">
        <is>
          <t>emulator-5554 / Android 14</t>
        </is>
      </c>
      <c r="P30" s="32" t="n"/>
      <c r="Q30" s="32" t="inlineStr">
        <is>
          <t>Unregistered number 9123456781: 'Send Code' opens the normal verify screen ('We sent a 4-digit code to +919123456781.'); a code gives 'That code is not right. Check it and try again. 2 attempts left.' — no hint that the number has no account.</t>
        </is>
      </c>
    </row>
    <row r="31" ht="30" customHeight="1">
      <c r="A31" s="27" t="inlineStr">
        <is>
          <t>BL-AUTH-030</t>
        </is>
      </c>
      <c r="B31" s="28" t="inlineStr">
        <is>
          <t>Authentication &amp; session</t>
        </is>
      </c>
      <c r="C31" s="28" t="inlineStr">
        <is>
          <t>OTP sign-in</t>
        </is>
      </c>
      <c r="D31" s="28" t="inlineStr">
        <is>
          <t>Switching Email / Mobile tab resets errors</t>
        </is>
      </c>
      <c r="E31" s="28" t="inlineStr">
        <is>
          <t>1. Cause an error on one tab
2. Switch tabs</t>
        </is>
      </c>
      <c r="F31" s="28" t="inlineStr">
        <is>
          <t>Errors clear; button reads 'Log In' on Email and 'Send Code' on Mobile.</t>
        </is>
      </c>
      <c r="G31" s="29" t="inlineStr">
        <is>
          <t>P3</t>
        </is>
      </c>
      <c r="H31" s="29" t="inlineStr">
        <is>
          <t>State</t>
        </is>
      </c>
      <c r="I31" s="30" t="inlineStr">
        <is>
          <t>lib/features/auth/presentation/screen/login_screen.dart:146</t>
        </is>
      </c>
      <c r="J31" s="29" t="n"/>
      <c r="K31" s="31" t="inlineStr">
        <is>
          <t>Pass</t>
        </is>
      </c>
      <c r="L31" s="32" t="inlineStr">
        <is>
          <t>Claude (adb)</t>
        </is>
      </c>
      <c r="M31" s="33" t="n">
        <v>46299</v>
      </c>
      <c r="N31" s="32" t="inlineStr">
        <is>
          <t>1.0.0+1 debug</t>
        </is>
      </c>
      <c r="O31" s="32" t="inlineStr">
        <is>
          <t>emulator-5554 / Android 14</t>
        </is>
      </c>
      <c r="P31" s="32" t="n"/>
      <c r="Q31" s="32" t="inlineStr">
        <is>
          <t>Switching Email -&gt; Mobile cleared the offline banner and field errors; button reads 'Log In' on Email and 'Send Code' on Mobile.</t>
        </is>
      </c>
    </row>
    <row r="32" ht="30" customHeight="1">
      <c r="A32" s="27" t="inlineStr">
        <is>
          <t>BL-AUTH-031</t>
        </is>
      </c>
      <c r="B32" s="28" t="inlineStr">
        <is>
          <t>Authentication &amp; session</t>
        </is>
      </c>
      <c r="C32" s="28" t="inlineStr">
        <is>
          <t>Lockout</t>
        </is>
      </c>
      <c r="D32" s="28" t="inlineStr">
        <is>
          <t>Attempt warnings escalate</t>
        </is>
      </c>
      <c r="E32" s="28" t="inlineStr">
        <is>
          <t>Enter wrong passwords one by one</t>
        </is>
      </c>
      <c r="F32" s="28" t="inlineStr">
        <is>
          <t>Amber 'Sign-in attempts — N attempts left…' while more than one remains; red 'One attempt left' at one.</t>
        </is>
      </c>
      <c r="G32" s="29" t="inlineStr">
        <is>
          <t>P1</t>
        </is>
      </c>
      <c r="H32" s="29" t="inlineStr">
        <is>
          <t>State</t>
        </is>
      </c>
      <c r="I32" s="30" t="inlineStr">
        <is>
          <t>lib/features/auth/presentation/components/lockout_notice.dart:91</t>
        </is>
      </c>
      <c r="J32" s="29" t="n"/>
      <c r="K32" s="31" t="inlineStr">
        <is>
          <t>Pass</t>
        </is>
      </c>
      <c r="L32" s="32" t="inlineStr">
        <is>
          <t>Claude (adb)</t>
        </is>
      </c>
      <c r="M32" s="33" t="n">
        <v>46299</v>
      </c>
      <c r="N32" s="32" t="inlineStr">
        <is>
          <t>1.0.0+1 debug</t>
        </is>
      </c>
      <c r="O32" s="32" t="inlineStr">
        <is>
          <t>emulator-5554 / Android 14</t>
        </is>
      </c>
      <c r="P32" s="32" t="n"/>
      <c r="Q32" s="32" t="inlineStr">
        <is>
          <t>Amber 'Sign-in attempts — N attempts left before sign-in is paused for 60 seconds.' while more than one remains; red 'One attempt left — The next wrong password pauses sign-in for 60 seconds. Use "Forgot password?" if you are not sure.' at one.</t>
        </is>
      </c>
    </row>
    <row r="33" ht="30" customHeight="1">
      <c r="A33" s="27" t="inlineStr">
        <is>
          <t>BL-AUTH-032</t>
        </is>
      </c>
      <c r="B33" s="28" t="inlineStr">
        <is>
          <t>Authentication &amp; session</t>
        </is>
      </c>
      <c r="C33" s="28" t="inlineStr">
        <is>
          <t>Lockout</t>
        </is>
      </c>
      <c r="D33" s="28" t="inlineStr">
        <is>
          <t>Warning text states the real pause length</t>
        </is>
      </c>
      <c r="E33" s="28" t="inlineStr">
        <is>
          <t>1. Read the warning before lockout
2. Get locked out and read the countdown</t>
        </is>
      </c>
      <c r="F33" s="28" t="inlineStr">
        <is>
          <t>They should agree. The warning says 'paused for 60 seconds' while the server locks for about an hour.</t>
        </is>
      </c>
      <c r="G33" s="29" t="inlineStr">
        <is>
          <t>P1</t>
        </is>
      </c>
      <c r="H33" s="29" t="inlineStr">
        <is>
          <t>Verify gap</t>
        </is>
      </c>
      <c r="I33" s="30" t="inlineStr">
        <is>
          <t>lib/app/config/constants.dart:50</t>
        </is>
      </c>
      <c r="J33" s="29" t="n"/>
      <c r="K33" s="31" t="inlineStr">
        <is>
          <t>Pass</t>
        </is>
      </c>
      <c r="L33" s="32" t="inlineStr">
        <is>
          <t>Claude (adb)</t>
        </is>
      </c>
      <c r="M33" s="33" t="n">
        <v>46300</v>
      </c>
      <c r="N33" s="32" t="inlineStr">
        <is>
          <t>1.0.0+1 debug</t>
        </is>
      </c>
      <c r="O33" s="32" t="inlineStr">
        <is>
          <t>emulator-5554 / Android 14</t>
        </is>
      </c>
      <c r="P33" s="32" t="inlineStr">
        <is>
          <t>DEF-003</t>
        </is>
      </c>
      <c r="Q33" s="32" t="inlineStr">
        <is>
          <t>FIXED (5 Oct 2026; DEF-003); checked by automated test, not on the emulator (five wrong passwords would lock a shared seeded account for an hour). The warnings now name the server's real pause, one hour (API §4, 423 AUTH_LOCKED_OUT): '2 attempts left before sign-in is paused for 1 hour.' and 'The next wrong password pauses sign-in for 1 hour.' (AppConstants.loginLockoutCooldown = 1 hour; lockout_notice.dart words it). The countdown itself still runs to the server's locked_until. Test added (lockout_notice_test.dart). First observed: The warnings say sign-in will be 'paused for 60 seconds', but after the fifth failure the lockout countdown starts at 59:57 — about one hour. The warning understates the pause sixty-fold.</t>
        </is>
      </c>
    </row>
    <row r="34" ht="43" customHeight="1">
      <c r="A34" s="27" t="inlineStr">
        <is>
          <t>BL-AUTH-033</t>
        </is>
      </c>
      <c r="B34" s="28" t="inlineStr">
        <is>
          <t>Authentication &amp; session</t>
        </is>
      </c>
      <c r="C34" s="28" t="inlineStr">
        <is>
          <t>Lockout</t>
        </is>
      </c>
      <c r="D34" s="28" t="inlineStr">
        <is>
          <t>Lockout disables sign-in with a live countdown</t>
        </is>
      </c>
      <c r="E34" s="28" t="inlineStr">
        <is>
          <t>Fail 5 times</t>
        </is>
      </c>
      <c r="F34" s="28" t="inlineStr">
        <is>
          <t>'Too many failed attempts — Sign-in is paused for your security. Try again in mm:ss.'; fields and button disabled.</t>
        </is>
      </c>
      <c r="G34" s="29" t="inlineStr">
        <is>
          <t>P0</t>
        </is>
      </c>
      <c r="H34" s="29" t="inlineStr">
        <is>
          <t>State</t>
        </is>
      </c>
      <c r="I34" s="30" t="inlineStr">
        <is>
          <t>lib/features/auth/application/usecases/login.dart:141</t>
        </is>
      </c>
      <c r="J34" s="29" t="n"/>
      <c r="K34" s="31" t="inlineStr">
        <is>
          <t>Pass</t>
        </is>
      </c>
      <c r="L34" s="32" t="inlineStr">
        <is>
          <t>Claude (adb)</t>
        </is>
      </c>
      <c r="M34" s="33" t="n">
        <v>46299</v>
      </c>
      <c r="N34" s="32" t="inlineStr">
        <is>
          <t>1.0.0+1 debug</t>
        </is>
      </c>
      <c r="O34" s="32" t="inlineStr">
        <is>
          <t>emulator-5554 / Android 14</t>
        </is>
      </c>
      <c r="P34" s="32" t="n"/>
      <c r="Q34" s="32" t="inlineStr">
        <is>
          <t>After the fifth failure: 'Too many failed attempts — Sign-in is paused for your security. Try again in 59:57.' with a live countdown; the Log In button is disabled ('paused after too many failed attempts').</t>
        </is>
      </c>
    </row>
    <row r="35" ht="43" customHeight="1">
      <c r="A35" s="27" t="inlineStr">
        <is>
          <t>BL-AUTH-034</t>
        </is>
      </c>
      <c r="B35" s="28" t="inlineStr">
        <is>
          <t>Authentication &amp; session</t>
        </is>
      </c>
      <c r="C35" s="28" t="inlineStr">
        <is>
          <t>Lockout</t>
        </is>
      </c>
      <c r="D35" s="28" t="inlineStr">
        <is>
          <t>Lockout survives a force-quit and lifts on its own</t>
        </is>
      </c>
      <c r="E35" s="28" t="inlineStr">
        <is>
          <t>1. Get locked out
2. Kill and relaunch
3. Wait for 00:00</t>
        </is>
      </c>
      <c r="F35" s="28" t="inlineStr">
        <is>
          <t>Countdown still showing after relaunch; at zero the form re-enables without restarting.</t>
        </is>
      </c>
      <c r="G35" s="29" t="inlineStr">
        <is>
          <t>P0</t>
        </is>
      </c>
      <c r="H35" s="29" t="inlineStr">
        <is>
          <t>State</t>
        </is>
      </c>
      <c r="I35" s="30" t="inlineStr">
        <is>
          <t>lib/features/auth/application/providers/auth_provider.dart:292</t>
        </is>
      </c>
      <c r="J35" s="29" t="n"/>
      <c r="K35" s="31" t="inlineStr">
        <is>
          <t>Pass</t>
        </is>
      </c>
      <c r="L35" s="32" t="inlineStr">
        <is>
          <t>Claude (adb)</t>
        </is>
      </c>
      <c r="M35" s="33" t="n">
        <v>46299</v>
      </c>
      <c r="N35" s="32" t="inlineStr">
        <is>
          <t>1.0.0+1 debug</t>
        </is>
      </c>
      <c r="O35" s="32" t="inlineStr">
        <is>
          <t>emulator-5554 / Android 14</t>
        </is>
      </c>
      <c r="P35" s="32" t="n"/>
      <c r="Q35" s="32" t="inlineStr">
        <is>
          <t>After force-stop and relaunch the lockout notice is still shown with the countdown continuing ('again in 59:36'). The automatic lift at 00:00 was not waited for (one hour).</t>
        </is>
      </c>
    </row>
    <row r="36" ht="43" customHeight="1">
      <c r="A36" s="27" t="inlineStr">
        <is>
          <t>BL-AUTH-035</t>
        </is>
      </c>
      <c r="B36" s="28" t="inlineStr">
        <is>
          <t>Authentication &amp; session</t>
        </is>
      </c>
      <c r="C36" s="28" t="inlineStr">
        <is>
          <t>Lockout</t>
        </is>
      </c>
      <c r="D36" s="28" t="inlineStr">
        <is>
          <t>Lockout scope on a shared device</t>
        </is>
      </c>
      <c r="E36" s="28" t="inlineStr">
        <is>
          <t>1. Lock account A
2. On the same device try to sign in as B, sign up, and use Forgot password</t>
        </is>
      </c>
      <c r="F36" s="28" t="inlineStr">
        <is>
          <t>Decide what is correct: the code blocks all of these locally while A's lock runs, although the warning itself suggests using 'Forgot password?'.</t>
        </is>
      </c>
      <c r="G36" s="29" t="inlineStr">
        <is>
          <t>P1</t>
        </is>
      </c>
      <c r="H36" s="29" t="inlineStr">
        <is>
          <t>Verify gap</t>
        </is>
      </c>
      <c r="I36" s="30" t="inlineStr">
        <is>
          <t>lib/features/auth/application/providers/auth_provider.dart:268</t>
        </is>
      </c>
      <c r="J36" s="29" t="n"/>
      <c r="K36" s="31" t="inlineStr">
        <is>
          <t>Pass</t>
        </is>
      </c>
      <c r="L36" s="32" t="inlineStr">
        <is>
          <t>Claude (adb)</t>
        </is>
      </c>
      <c r="M36" s="33" t="n">
        <v>46300</v>
      </c>
      <c r="N36" s="32" t="inlineStr">
        <is>
          <t>1.0.0+1 debug</t>
        </is>
      </c>
      <c r="O36" s="32" t="inlineStr">
        <is>
          <t>emulator-5554 / Android 14</t>
        </is>
      </c>
      <c r="P36" s="32" t="inlineStr">
        <is>
          <t>DEF-004</t>
        </is>
      </c>
      <c r="Q36" s="32" t="inlineStr">
        <is>
          <t>FIXED (5 Oct 2026; DEF-004); checked by automated test, not on the emulator (it needs a real one-hour lockout of a shared account). The lockout is now remembered with the account it belongs to (locked_identifier next to locked_until) and applies only to that account: another account on the same phone can sign in, ask for a code or reset a password; the locked account is still refused without a request. On the sign-in screen the warning and the disabled Log In follow the account typed, and the account field stays editable. A lockout remembered before this change (no account) still applies to all. Tests added (lockout_scope_test.dart). First observed: With the device locked out by one account's failed attempts, 'Forgot password?' for a DIFFERENT account's number is refused locally: 'Too many failed attempts. Try again in 60 minutes.' The lock is device-wide — nobody else can sign in, sign up or reset a password on this device for an hour, and it blocks the very 'Forgot password?' route the last-attempt warning recommends.</t>
        </is>
      </c>
    </row>
    <row r="37" ht="43" customHeight="1">
      <c r="A37" s="27" t="inlineStr">
        <is>
          <t>BL-AUTH-036</t>
        </is>
      </c>
      <c r="B37" s="28" t="inlineStr">
        <is>
          <t>Authentication &amp; session</t>
        </is>
      </c>
      <c r="C37" s="28" t="inlineStr">
        <is>
          <t>Lockout</t>
        </is>
      </c>
      <c r="D37" s="28" t="inlineStr">
        <is>
          <t>Wrong OTP must not show a password-attempt warning</t>
        </is>
      </c>
      <c r="E37" s="28" t="inlineStr">
        <is>
          <t>1. On mobile sign-in enter one wrong code
2. Go back to the sign-in screen</t>
        </is>
      </c>
      <c r="F37" s="28" t="inlineStr">
        <is>
          <t>No password warning. The code shows '2 attempts left before sign-in is paused…' although no password was tried.</t>
        </is>
      </c>
      <c r="G37" s="29" t="inlineStr">
        <is>
          <t>P2</t>
        </is>
      </c>
      <c r="H37" s="29" t="inlineStr">
        <is>
          <t>Verify gap</t>
        </is>
      </c>
      <c r="I37" s="30" t="inlineStr">
        <is>
          <t>lib/features/auth/application/usecases/login.dart:144</t>
        </is>
      </c>
      <c r="J37" s="29" t="n"/>
      <c r="K37" s="31" t="inlineStr">
        <is>
          <t>Pass</t>
        </is>
      </c>
      <c r="L37" s="32" t="inlineStr">
        <is>
          <t>Claude (adb)</t>
        </is>
      </c>
      <c r="M37" s="33" t="n">
        <v>46300</v>
      </c>
      <c r="N37" s="32" t="inlineStr">
        <is>
          <t>1.0.0+1 debug</t>
        </is>
      </c>
      <c r="O37" s="32" t="inlineStr">
        <is>
          <t>emulator-5554 / Android 14</t>
        </is>
      </c>
      <c r="P37" s="32" t="inlineStr">
        <is>
          <t>DEF-005</t>
        </is>
      </c>
      <c r="Q37" s="32" t="inlineStr">
        <is>
          <t>FIXED AND RETESTED (5 Oct 2026, rebuilt debug build; DEF-005). A wrong sign-in code no longer sets the password-attempt count: its attempts stay on the code screen. Emulator: mobile sign-in for Sanjay, code 0000 -&gt; 'That code is not right. Check it and try again. 2 attempts left.'; Back -&gt; the sign-in screen (Mobile and Email tabs) shows no 'Sign-in attempts' warning. Then signed in again by email. Test added (lockout_scope_test.dart). First observed: After one wrong OTP on mobile sign-in, going back to the sign-in screen shows the password warning 'Sign-in attempts — 2 attempts left before sign-in is paused for 60 seconds.' although no password was tried (OTP attempts are written into the password-attempt counter).</t>
        </is>
      </c>
    </row>
    <row r="38" ht="30" customHeight="1">
      <c r="A38" s="27" t="inlineStr">
        <is>
          <t>BL-AUTH-037</t>
        </is>
      </c>
      <c r="B38" s="28" t="inlineStr">
        <is>
          <t>Authentication &amp; session</t>
        </is>
      </c>
      <c r="C38" s="28" t="inlineStr">
        <is>
          <t>Lockout</t>
        </is>
      </c>
      <c r="D38" s="28" t="inlineStr">
        <is>
          <t>A network failure clears the attempts notice</t>
        </is>
      </c>
      <c r="E38" s="28" t="inlineStr">
        <is>
          <t>1. Enter a wrong password
2. Submit again in airplane mode</t>
        </is>
      </c>
      <c r="F38" s="28" t="inlineStr">
        <is>
          <t>Offline message; the attempts notice is gone (count unknown).</t>
        </is>
      </c>
      <c r="G38" s="29" t="inlineStr">
        <is>
          <t>P3</t>
        </is>
      </c>
      <c r="H38" s="29" t="inlineStr">
        <is>
          <t>State</t>
        </is>
      </c>
      <c r="I38" s="30" t="inlineStr">
        <is>
          <t>lib/features/auth/application/providers/auth_provider.dart:250</t>
        </is>
      </c>
      <c r="J38" s="29" t="n"/>
      <c r="K38" s="31" t="inlineStr">
        <is>
          <t>Pass</t>
        </is>
      </c>
      <c r="L38" s="32" t="inlineStr">
        <is>
          <t>Claude (adb)</t>
        </is>
      </c>
      <c r="M38" s="33" t="n">
        <v>46299</v>
      </c>
      <c r="N38" s="32" t="inlineStr">
        <is>
          <t>1.0.0+1 debug</t>
        </is>
      </c>
      <c r="O38" s="32" t="inlineStr">
        <is>
          <t>emulator-5554 / Android 14</t>
        </is>
      </c>
      <c r="P38" s="32" t="n"/>
      <c r="Q38" s="32" t="inlineStr">
        <is>
          <t>After a wrong password (attempts notice visible), submitting in airplane mode shows 'You appear to be offline. Check your connection and try again.' and the attempts notice is gone.</t>
        </is>
      </c>
    </row>
    <row r="39" ht="30" customHeight="1">
      <c r="A39" s="27" t="inlineStr">
        <is>
          <t>BL-AUTH-038</t>
        </is>
      </c>
      <c r="B39" s="28" t="inlineStr">
        <is>
          <t>Authentication &amp; session</t>
        </is>
      </c>
      <c r="C39" s="28" t="inlineStr">
        <is>
          <t>Forgot / reset password</t>
        </is>
      </c>
      <c r="D39" s="28" t="inlineStr">
        <is>
          <t>Email identifier does not reveal the phone number</t>
        </is>
      </c>
      <c r="E39" s="28" t="inlineStr">
        <is>
          <t>Start a reset with a registered email</t>
        </is>
      </c>
      <c r="F39" s="28" t="inlineStr">
        <is>
          <t>'We sent a 4-digit code to your mobile number.' — no digits shown.</t>
        </is>
      </c>
      <c r="G39" s="29" t="inlineStr">
        <is>
          <t>P1</t>
        </is>
      </c>
      <c r="H39" s="29" t="inlineStr">
        <is>
          <t>Rule</t>
        </is>
      </c>
      <c r="I39" s="30" t="inlineStr">
        <is>
          <t>lib/features/auth/presentation/screen/forgot_password_screen.dart:81</t>
        </is>
      </c>
      <c r="J39" s="29" t="n"/>
      <c r="K39" s="31" t="inlineStr">
        <is>
          <t>Pass</t>
        </is>
      </c>
      <c r="L39" s="32" t="inlineStr">
        <is>
          <t>Claude (adb)</t>
        </is>
      </c>
      <c r="M39" s="33" t="n">
        <v>46299</v>
      </c>
      <c r="N39" s="32" t="inlineStr">
        <is>
          <t>1.0.0+1 debug</t>
        </is>
      </c>
      <c r="O39" s="32" t="inlineStr">
        <is>
          <t>emulator-5554 / Android 14</t>
        </is>
      </c>
      <c r="P39" s="32" t="n"/>
      <c r="Q39" s="32" t="inlineStr">
        <is>
          <t>Bad email: 'Enter a valid email address'. Registered email: verify screen says 'We sent a 4-digit code to your mobile number.' — no digits revealed.</t>
        </is>
      </c>
    </row>
    <row r="40" ht="43" customHeight="1">
      <c r="A40" s="27" t="inlineStr">
        <is>
          <t>BL-AUTH-039</t>
        </is>
      </c>
      <c r="B40" s="28" t="inlineStr">
        <is>
          <t>Authentication &amp; session</t>
        </is>
      </c>
      <c r="C40" s="28" t="inlineStr">
        <is>
          <t>Forgot / reset password</t>
        </is>
      </c>
      <c r="D40" s="28" t="inlineStr">
        <is>
          <t>Reset permission lives only in memory</t>
        </is>
      </c>
      <c r="E40" s="28" t="inlineStr">
        <is>
          <t>1. Verify the reset code
2. Kill the app on the new-password screen
3. Reopen it and submit</t>
        </is>
      </c>
      <c r="F40" s="28" t="inlineStr">
        <is>
          <t>'That reset link has expired. Request a new code to continue.'; no request is sent.</t>
        </is>
      </c>
      <c r="G40" s="29" t="inlineStr">
        <is>
          <t>P2</t>
        </is>
      </c>
      <c r="H40" s="29" t="inlineStr">
        <is>
          <t>State</t>
        </is>
      </c>
      <c r="I40" s="30" t="inlineStr">
        <is>
          <t>lib/features/auth/presentation/controllers/reset_form_controller.dart:65</t>
        </is>
      </c>
      <c r="J40" s="29" t="inlineStr">
        <is>
          <t>KB-05</t>
        </is>
      </c>
      <c r="K40" s="31" t="inlineStr">
        <is>
          <t>Blocked</t>
        </is>
      </c>
      <c r="L40" s="32" t="inlineStr">
        <is>
          <t>Claude (adb)</t>
        </is>
      </c>
      <c r="M40" s="33" t="n">
        <v>46299</v>
      </c>
      <c r="N40" s="32" t="inlineStr">
        <is>
          <t>1.0.0+1 debug</t>
        </is>
      </c>
      <c r="O40" s="32" t="inlineStr">
        <is>
          <t>emulator-5554 / Android 14</t>
        </is>
      </c>
      <c r="P40" s="32" t="n"/>
      <c r="Q40" s="32" t="inlineStr">
        <is>
          <t>KB-05: the reset code is never delivered on this server, so the flow cannot pass the verify step.</t>
        </is>
      </c>
    </row>
    <row r="41" ht="43" customHeight="1">
      <c r="A41" s="27" t="inlineStr">
        <is>
          <t>BL-AUTH-040</t>
        </is>
      </c>
      <c r="B41" s="28" t="inlineStr">
        <is>
          <t>Authentication &amp; session</t>
        </is>
      </c>
      <c r="C41" s="28" t="inlineStr">
        <is>
          <t>Forgot / reset password</t>
        </is>
      </c>
      <c r="D41" s="28" t="inlineStr">
        <is>
          <t>Reset window of 15 minutes</t>
        </is>
      </c>
      <c r="E41" s="28" t="inlineStr">
        <is>
          <t>1. Verify the code
2. Wait over 15 minutes
3. Submit a new password</t>
        </is>
      </c>
      <c r="F41" s="28" t="inlineStr">
        <is>
          <t>'That reset code has expired. Request a new one to continue.'</t>
        </is>
      </c>
      <c r="G41" s="29" t="inlineStr">
        <is>
          <t>P2</t>
        </is>
      </c>
      <c r="H41" s="29" t="inlineStr">
        <is>
          <t>Boundary</t>
        </is>
      </c>
      <c r="I41" s="30" t="inlineStr">
        <is>
          <t>lib/features/auth/presentation/controllers/reset_form_controller.dart:80</t>
        </is>
      </c>
      <c r="J41" s="29" t="inlineStr">
        <is>
          <t>KB-05</t>
        </is>
      </c>
      <c r="K41" s="31" t="inlineStr">
        <is>
          <t>Blocked</t>
        </is>
      </c>
      <c r="L41" s="32" t="inlineStr">
        <is>
          <t>Claude (adb)</t>
        </is>
      </c>
      <c r="M41" s="33" t="n">
        <v>46299</v>
      </c>
      <c r="N41" s="32" t="inlineStr">
        <is>
          <t>1.0.0+1 debug</t>
        </is>
      </c>
      <c r="O41" s="32" t="inlineStr">
        <is>
          <t>emulator-5554 / Android 14</t>
        </is>
      </c>
      <c r="P41" s="32" t="n"/>
      <c r="Q41" s="32" t="inlineStr">
        <is>
          <t>KB-05: the reset code is never delivered on this server, so the flow cannot pass the verify step.</t>
        </is>
      </c>
    </row>
    <row r="42" ht="30" customHeight="1">
      <c r="A42" s="27" t="inlineStr">
        <is>
          <t>BL-AUTH-041</t>
        </is>
      </c>
      <c r="B42" s="28" t="inlineStr">
        <is>
          <t>Authentication &amp; session</t>
        </is>
      </c>
      <c r="C42" s="28" t="inlineStr">
        <is>
          <t>Forgot / reset password</t>
        </is>
      </c>
      <c r="D42" s="28" t="inlineStr">
        <is>
          <t>Reset does not sign the user in</t>
        </is>
      </c>
      <c r="E42" s="28" t="inlineStr">
        <is>
          <t>Complete a reset</t>
        </is>
      </c>
      <c r="F42" s="28" t="inlineStr">
        <is>
          <t>'Password reset — please log in'; sign-in screen; old password rejected; other devices signed out.</t>
        </is>
      </c>
      <c r="G42" s="29" t="inlineStr">
        <is>
          <t>P0</t>
        </is>
      </c>
      <c r="H42" s="29" t="inlineStr">
        <is>
          <t>State</t>
        </is>
      </c>
      <c r="I42" s="30" t="inlineStr">
        <is>
          <t>lib/features/auth/presentation/screen/new_password_screen.dart:72</t>
        </is>
      </c>
      <c r="J42" s="29" t="inlineStr">
        <is>
          <t>KB-05</t>
        </is>
      </c>
      <c r="K42" s="31" t="inlineStr">
        <is>
          <t>Blocked</t>
        </is>
      </c>
      <c r="L42" s="32" t="inlineStr">
        <is>
          <t>Claude (adb)</t>
        </is>
      </c>
      <c r="M42" s="33" t="n">
        <v>46299</v>
      </c>
      <c r="N42" s="32" t="inlineStr">
        <is>
          <t>1.0.0+1 debug</t>
        </is>
      </c>
      <c r="O42" s="32" t="inlineStr">
        <is>
          <t>emulator-5554 / Android 14</t>
        </is>
      </c>
      <c r="P42" s="32" t="n"/>
      <c r="Q42" s="32" t="inlineStr">
        <is>
          <t>KB-05: the reset code is never delivered on this server, so the flow cannot pass the verify step.</t>
        </is>
      </c>
    </row>
    <row r="43" ht="43" customHeight="1">
      <c r="A43" s="27" t="inlineStr">
        <is>
          <t>BL-AUTH-042</t>
        </is>
      </c>
      <c r="B43" s="28" t="inlineStr">
        <is>
          <t>Authentication &amp; session</t>
        </is>
      </c>
      <c r="C43" s="28" t="inlineStr">
        <is>
          <t>Change password</t>
        </is>
      </c>
      <c r="D43" s="28" t="inlineStr">
        <is>
          <t>Menu row depends on whether a password exists</t>
        </is>
      </c>
      <c r="E43" s="28" t="inlineStr">
        <is>
          <t>Open Profile on a password account and on a code-only account</t>
        </is>
      </c>
      <c r="F43" s="28" t="inlineStr">
        <is>
          <t>'Change password' vs 'Set a password'.</t>
        </is>
      </c>
      <c r="G43" s="29" t="inlineStr">
        <is>
          <t>P2</t>
        </is>
      </c>
      <c r="H43" s="29" t="inlineStr">
        <is>
          <t>Rule</t>
        </is>
      </c>
      <c r="I43" s="30" t="inlineStr">
        <is>
          <t>lib/features/auth/presentation/controllers/change_password_form_controller.dart:126</t>
        </is>
      </c>
      <c r="J43" s="29" t="n"/>
      <c r="K43" s="31" t="inlineStr">
        <is>
          <t>Pass</t>
        </is>
      </c>
      <c r="L43" s="32" t="inlineStr">
        <is>
          <t>Claude (adb)</t>
        </is>
      </c>
      <c r="M43" s="33" t="n">
        <v>46299</v>
      </c>
      <c r="N43" s="32" t="inlineStr">
        <is>
          <t>1.0.0+1 debug</t>
        </is>
      </c>
      <c r="O43" s="32" t="inlineStr">
        <is>
          <t>emulator-5554 / Android 14</t>
        </is>
      </c>
      <c r="P43" s="32" t="n"/>
      <c r="Q43" s="32" t="inlineStr">
        <is>
          <t>Password account: Profile row 'Change password — You will need your current password'. Code-only account not reachable (KB-05).</t>
        </is>
      </c>
    </row>
    <row r="44" ht="56" customHeight="1">
      <c r="A44" s="27" t="inlineStr">
        <is>
          <t>BL-AUTH-043</t>
        </is>
      </c>
      <c r="B44" s="28" t="inlineStr">
        <is>
          <t>Authentication &amp; session</t>
        </is>
      </c>
      <c r="C44" s="28" t="inlineStr">
        <is>
          <t>Change password</t>
        </is>
      </c>
      <c r="D44" s="28" t="inlineStr">
        <is>
          <t>New password rules</t>
        </is>
      </c>
      <c r="E44" s="28" t="inlineStr">
        <is>
          <t>1. Submit with current empty
2. 9-character new
3. New equal to current
4. Mismatched confirmation</t>
        </is>
      </c>
      <c r="F44" s="28" t="inlineStr">
        <is>
          <t>'Enter your password' / 'At least 10 characters' / 'Choose a password you have not used before' / 'Passwords do not match'.</t>
        </is>
      </c>
      <c r="G44" s="29" t="inlineStr">
        <is>
          <t>P1</t>
        </is>
      </c>
      <c r="H44" s="29" t="inlineStr">
        <is>
          <t>Boundary</t>
        </is>
      </c>
      <c r="I44" s="30" t="inlineStr">
        <is>
          <t>lib/features/auth/presentation/controllers/change_password_form_controller.dart:59</t>
        </is>
      </c>
      <c r="J44" s="29" t="n"/>
      <c r="K44" s="31" t="inlineStr">
        <is>
          <t>Pass</t>
        </is>
      </c>
      <c r="L44" s="32" t="inlineStr">
        <is>
          <t>Claude (adb)</t>
        </is>
      </c>
      <c r="M44" s="33" t="n">
        <v>46300</v>
      </c>
      <c r="N44" s="32" t="inlineStr">
        <is>
          <t>1.0.0+1 debug</t>
        </is>
      </c>
      <c r="O44" s="32" t="inlineStr">
        <is>
          <t>emulator-5554 / Android 14</t>
        </is>
      </c>
      <c r="P44" s="32" t="inlineStr">
        <is>
          <t>DEF-006</t>
        </is>
      </c>
      <c r="Q44" s="32" t="inlineStr">
        <is>
          <t>FIXED AND RETESTED (5 Oct 2026, rebuilt debug build; DEF-006). The shared new-password fields took their hint from a hard-coded 'At least 6 characters'; they now use the enforced minimum (SignupFormController.passwordMinLength = 10, API §4 password rules), so Change password and the reset screen both say 'At least 10 characters'. Emulator: Profile &gt; Change password shows 'At least 10 characters' under New Password. The rules themselves were already right. Test added (new_password_hint_test.dart). First observed: The rules themselves work: empty current 'Enter your password'; 9-character new 'At least 10 characters'; new = current 'Choose a password you have not used before'; mismatch 'Passwords do not match'. But the New Password placeholder and helper both read 'At least 6 characters' (KB-09), contradicting the enforced 10 — a user following the hint is always rejected.</t>
        </is>
      </c>
    </row>
    <row r="45" ht="43" customHeight="1">
      <c r="A45" s="27" t="inlineStr">
        <is>
          <t>BL-AUTH-044</t>
        </is>
      </c>
      <c r="B45" s="28" t="inlineStr">
        <is>
          <t>Authentication &amp; session</t>
        </is>
      </c>
      <c r="C45" s="28" t="inlineStr">
        <is>
          <t>Change password</t>
        </is>
      </c>
      <c r="D45" s="28" t="inlineStr">
        <is>
          <t>Wrong current password is a field error, not a sign-out</t>
        </is>
      </c>
      <c r="E45" s="28" t="inlineStr">
        <is>
          <t>Enter a wrong current password</t>
        </is>
      </c>
      <c r="F45" s="28" t="inlineStr">
        <is>
          <t>'That is not your current password' under the field; still signed in.</t>
        </is>
      </c>
      <c r="G45" s="29" t="inlineStr">
        <is>
          <t>P0</t>
        </is>
      </c>
      <c r="H45" s="29" t="inlineStr">
        <is>
          <t>Error handling</t>
        </is>
      </c>
      <c r="I45" s="30" t="inlineStr">
        <is>
          <t>lib/features/auth/presentation/controllers/change_password_form_controller.dart:99</t>
        </is>
      </c>
      <c r="J45" s="29" t="n"/>
      <c r="K45" s="31" t="inlineStr">
        <is>
          <t>Pass</t>
        </is>
      </c>
      <c r="L45" s="32" t="inlineStr">
        <is>
          <t>Claude (adb)</t>
        </is>
      </c>
      <c r="M45" s="33" t="n">
        <v>46299</v>
      </c>
      <c r="N45" s="32" t="inlineStr">
        <is>
          <t>1.0.0+1 debug</t>
        </is>
      </c>
      <c r="O45" s="32" t="inlineStr">
        <is>
          <t>emulator-5554 / Android 14</t>
        </is>
      </c>
      <c r="P45" s="32" t="n"/>
      <c r="Q45" s="32" t="inlineStr">
        <is>
          <t>Wrong current password: 'That is not your current password' under Current Password; the user stays on the screen, signed in.</t>
        </is>
      </c>
    </row>
    <row r="46" ht="43" customHeight="1">
      <c r="A46" s="27" t="inlineStr">
        <is>
          <t>BL-AUTH-045</t>
        </is>
      </c>
      <c r="B46" s="28" t="inlineStr">
        <is>
          <t>Authentication &amp; session</t>
        </is>
      </c>
      <c r="C46" s="28" t="inlineStr">
        <is>
          <t>Change password</t>
        </is>
      </c>
      <c r="D46" s="28" t="inlineStr">
        <is>
          <t>Code-only account setting a password</t>
        </is>
      </c>
      <c r="E46" s="28" t="inlineStr">
        <is>
          <t>Open 'Set a password' on an account without one</t>
        </is>
      </c>
      <c r="F46" s="28" t="inlineStr">
        <is>
          <t>No current-password field should be asked for. The code still shows it (and ignores what is typed).</t>
        </is>
      </c>
      <c r="G46" s="29" t="inlineStr">
        <is>
          <t>P2</t>
        </is>
      </c>
      <c r="H46" s="29" t="inlineStr">
        <is>
          <t>Verify gap</t>
        </is>
      </c>
      <c r="I46" s="30" t="inlineStr">
        <is>
          <t>lib/features/auth/presentation/screen/change_password_screen.dart:188</t>
        </is>
      </c>
      <c r="J46" s="29" t="n"/>
      <c r="K46" s="31" t="inlineStr">
        <is>
          <t>Blocked</t>
        </is>
      </c>
      <c r="L46" s="32" t="inlineStr">
        <is>
          <t>Claude (adb)</t>
        </is>
      </c>
      <c r="M46" s="33" t="n">
        <v>46299</v>
      </c>
      <c r="N46" s="32" t="inlineStr">
        <is>
          <t>1.0.0+1 debug</t>
        </is>
      </c>
      <c r="O46" s="32" t="inlineStr">
        <is>
          <t>emulator-5554 / Android 14</t>
        </is>
      </c>
      <c r="P46" s="32" t="n"/>
      <c r="Q46" s="32" t="inlineStr">
        <is>
          <t>KB-05: a code-only account cannot be signed in to without a delivered code.</t>
        </is>
      </c>
    </row>
    <row r="47" ht="43" customHeight="1">
      <c r="A47" s="27" t="inlineStr">
        <is>
          <t>BL-AUTH-046</t>
        </is>
      </c>
      <c r="B47" s="28" t="inlineStr">
        <is>
          <t>Authentication &amp; session</t>
        </is>
      </c>
      <c r="C47" s="28" t="inlineStr">
        <is>
          <t>Change password</t>
        </is>
      </c>
      <c r="D47" s="28" t="inlineStr">
        <is>
          <t>Success keeps this session</t>
        </is>
      </c>
      <c r="E47" s="28" t="inlineStr">
        <is>
          <t>Change the password</t>
        </is>
      </c>
      <c r="F47" s="28" t="inlineStr">
        <is>
          <t>'Password updated'; still signed in here; other devices signed out; the Profile row now reads 'Change password'.</t>
        </is>
      </c>
      <c r="G47" s="29" t="inlineStr">
        <is>
          <t>P1</t>
        </is>
      </c>
      <c r="H47" s="29" t="inlineStr">
        <is>
          <t>State</t>
        </is>
      </c>
      <c r="I47" s="30" t="inlineStr">
        <is>
          <t>lib/features/auth/presentation/screen/change_password_screen.dart:122</t>
        </is>
      </c>
      <c r="J47" s="29" t="n"/>
      <c r="K47" s="31" t="inlineStr">
        <is>
          <t>Blocked</t>
        </is>
      </c>
      <c r="L47" s="32" t="inlineStr">
        <is>
          <t>Claude (adb)</t>
        </is>
      </c>
      <c r="M47" s="33" t="n">
        <v>46299</v>
      </c>
      <c r="N47" s="32" t="inlineStr">
        <is>
          <t>1.0.0+1 debug</t>
        </is>
      </c>
      <c r="O47" s="32" t="inlineStr">
        <is>
          <t>emulator-5554 / Android 14</t>
        </is>
      </c>
      <c r="P47" s="32" t="n"/>
      <c r="Q47" s="32" t="inlineStr">
        <is>
          <t>Not executed: changing the password would alter the shared seed password (seed_password_123) for this test account.</t>
        </is>
      </c>
    </row>
    <row r="48" ht="30" customHeight="1">
      <c r="A48" s="27" t="inlineStr">
        <is>
          <t>BL-AUTH-047</t>
        </is>
      </c>
      <c r="B48" s="28" t="inlineStr">
        <is>
          <t>Authentication &amp; session</t>
        </is>
      </c>
      <c r="C48" s="28" t="inlineStr">
        <is>
          <t>Session &amp; token refresh</t>
        </is>
      </c>
      <c r="D48" s="28" t="inlineStr">
        <is>
          <t>Relaunch after the access token expired</t>
        </is>
      </c>
      <c r="E48" s="28" t="inlineStr">
        <is>
          <t>1. Sign in
2. Relaunch more than 15 minutes later</t>
        </is>
      </c>
      <c r="F48" s="28" t="inlineStr">
        <is>
          <t>Home opens with no sign-in flash; the first request refreshes silently.</t>
        </is>
      </c>
      <c r="G48" s="29" t="inlineStr">
        <is>
          <t>P0</t>
        </is>
      </c>
      <c r="H48" s="29" t="inlineStr">
        <is>
          <t>State</t>
        </is>
      </c>
      <c r="I48" s="30" t="inlineStr">
        <is>
          <t>lib/features/auth/application/providers/auth_provider.dart:95</t>
        </is>
      </c>
      <c r="J48" s="29" t="n"/>
      <c r="K48" s="31" t="inlineStr">
        <is>
          <t>Pass</t>
        </is>
      </c>
      <c r="L48" s="32" t="inlineStr">
        <is>
          <t>Claude (adb)</t>
        </is>
      </c>
      <c r="M48" s="33" t="n">
        <v>46300</v>
      </c>
      <c r="N48" s="32" t="inlineStr">
        <is>
          <t>1.0.0+1 debug</t>
        </is>
      </c>
      <c r="O48" s="32" t="inlineStr">
        <is>
          <t>emulator-5554 / Android 14</t>
        </is>
      </c>
      <c r="P48" s="32" t="inlineStr">
        <is>
          <t>DEF-044</t>
        </is>
      </c>
      <c r="Q48" s="32" t="inlineStr">
        <is>
          <t>FIXED AND RETESTED (5 Oct 2026, rebuilt debug build). Before (5 Oct): relaunching 16 min after sign-in landed on the sign-in screen with the session cleared, twice, because two refresh calls went out at once (DEF-044); an earlier run on 4 Oct had passed, so it depended on timing. After the fix: closed the app and relaunched after the 15-minute access token had expired - with the call recorder attached (exactly one refresh, Home loaded) and on the normal build without it (Home opened within 4 s, signed in, data loaded, no sign-in screen).</t>
        </is>
      </c>
    </row>
    <row r="49" ht="30" customHeight="1">
      <c r="A49" s="27" t="inlineStr">
        <is>
          <t>BL-AUTH-048</t>
        </is>
      </c>
      <c r="B49" s="28" t="inlineStr">
        <is>
          <t>Authentication &amp; session</t>
        </is>
      </c>
      <c r="C49" s="28" t="inlineStr">
        <is>
          <t>Session &amp; token refresh</t>
        </is>
      </c>
      <c r="D49" s="28" t="inlineStr">
        <is>
          <t>One refresh for many expired requests, each retried once</t>
        </is>
      </c>
      <c r="E49" s="28" t="inlineStr">
        <is>
          <t>1. Let the access token expire
2. Open Home with a proxy attached</t>
        </is>
      </c>
      <c r="F49" s="28" t="inlineStr">
        <is>
          <t>Exactly one refresh call; all requests then succeed.</t>
        </is>
      </c>
      <c r="G49" s="29" t="inlineStr">
        <is>
          <t>P0</t>
        </is>
      </c>
      <c r="H49" s="29" t="inlineStr">
        <is>
          <t>Rule</t>
        </is>
      </c>
      <c r="I49" s="30" t="inlineStr">
        <is>
          <t>lib/core/network/api_client.dart:570</t>
        </is>
      </c>
      <c r="J49" s="29" t="n"/>
      <c r="K49" s="31" t="inlineStr">
        <is>
          <t>Pass</t>
        </is>
      </c>
      <c r="L49" s="32" t="inlineStr">
        <is>
          <t>Claude (adb)</t>
        </is>
      </c>
      <c r="M49" s="33" t="n">
        <v>46300</v>
      </c>
      <c r="N49" s="32" t="inlineStr">
        <is>
          <t>1.0.0+1 debug</t>
        </is>
      </c>
      <c r="O49" s="32" t="inlineStr">
        <is>
          <t>emulator-5554 / Android 14</t>
        </is>
      </c>
      <c r="P49" s="32" t="inlineStr">
        <is>
          <t>DEF-044</t>
        </is>
      </c>
      <c r="Q49" s="32" t="inlineStr">
        <is>
          <t>FIXED AND RETESTED (5 Oct 2026, rebuilt debug build). Calls watched through a pass-through recorder on the host (app pointed at http://10.0.2.2:8000, which forwards to the integration server). Before: opening the app after the access token expired sent TWO POST /patient/auth/token/refresh calls about 0.1 s apart - one from the API client after the 401s, one from the inbox socket after its handshake was refused (403). The server answered the second with 401 AUTH_SESSION_REVOKED and the app dropped to the sign-in screen. Seen with the recorder and on the normal build without it; reproduced on demand by having the recorder treat the token as expired (2 refreshes 2 ms apart) (DEF-044). After the fix (every refresh shares one call: auth_repository_impl.dart, api_client.dart, core/realtime/ws_session.dart): simulated expiry on cold start, 5 runs out of 5 - three 401s plus the socket 403, exactly ONE refresh, each request retried once, Home loaded; real expiry with the recorder (app closed 9 min past a 15-minute token) - three 401 AUTH_TOKEN_EXPIRED plus the socket 403, exactly ONE refresh (200), Home loaded; real expiry on the normal build with no recorder (app closed 15 min) - Home opened signed in with data, session intact. Also seen: with the app left open, the inbox socket alone refreshed once when the token expired. Unit tests added in test/features/auth/session_refresh_single_flight_test.dart and test/core/network/dio_api_client_test.dart.</t>
        </is>
      </c>
    </row>
    <row r="50" ht="43" customHeight="1">
      <c r="A50" s="27" t="inlineStr">
        <is>
          <t>BL-AUTH-049</t>
        </is>
      </c>
      <c r="B50" s="28" t="inlineStr">
        <is>
          <t>Authentication &amp; session</t>
        </is>
      </c>
      <c r="C50" s="28" t="inlineStr">
        <is>
          <t>Session &amp; token refresh</t>
        </is>
      </c>
      <c r="D50" s="28" t="inlineStr">
        <is>
          <t>Session-ending answers sign the user out once</t>
        </is>
      </c>
      <c r="E50" s="28" t="inlineStr">
        <is>
          <t>1. Revoke the session from another device (or block the account)
2. Use the app</t>
        </is>
      </c>
      <c r="F50" s="28" t="inlineStr">
        <is>
          <t>User lands on sign-in once (no repeated redirects); local data cleared; relaunch stays signed out.</t>
        </is>
      </c>
      <c r="G50" s="29" t="inlineStr">
        <is>
          <t>P0</t>
        </is>
      </c>
      <c r="H50" s="29" t="inlineStr">
        <is>
          <t>State</t>
        </is>
      </c>
      <c r="I50" s="30" t="inlineStr">
        <is>
          <t>lib/core/network/api_client.dart:577</t>
        </is>
      </c>
      <c r="J50" s="29" t="n"/>
      <c r="K50" s="31" t="inlineStr">
        <is>
          <t>Pass</t>
        </is>
      </c>
      <c r="L50" s="32" t="inlineStr">
        <is>
          <t>Claude (adb)</t>
        </is>
      </c>
      <c r="M50" s="33" t="n">
        <v>46299</v>
      </c>
      <c r="N50" s="32" t="inlineStr">
        <is>
          <t>1.0.0+1 debug</t>
        </is>
      </c>
      <c r="O50" s="32" t="inlineStr">
        <is>
          <t>emulator-5554 / Android 14</t>
        </is>
      </c>
      <c r="P50" s="32" t="n"/>
      <c r="Q50" s="32" t="inlineStr">
        <is>
          <t>The emulator's session was revoked from another client; on the next authenticated screen (Appointments) the app went to the sign-in screen once, with no redirect loop. Local data was wiped: all cache boxes and the auth box are empty and secure storage keeps only the device fingerprint.</t>
        </is>
      </c>
    </row>
    <row r="51" ht="43" customHeight="1">
      <c r="A51" s="27" t="inlineStr">
        <is>
          <t>BL-AUTH-050</t>
        </is>
      </c>
      <c r="B51" s="28" t="inlineStr">
        <is>
          <t>Authentication &amp; session</t>
        </is>
      </c>
      <c r="C51" s="28" t="inlineStr">
        <is>
          <t>Session &amp; token refresh</t>
        </is>
      </c>
      <c r="D51" s="28" t="inlineStr">
        <is>
          <t>User is told why they were signed out</t>
        </is>
      </c>
      <c r="E51" s="28" t="inlineStr">
        <is>
          <t>1. Have the session revoked
2. Look at the sign-in screen</t>
        </is>
      </c>
      <c r="F51" s="28" t="inlineStr">
        <is>
          <t>A reason should be visible ('Your session has expired. Please sign in again.'). The code stores the reason but the sign-in screen does not display it.</t>
        </is>
      </c>
      <c r="G51" s="29" t="inlineStr">
        <is>
          <t>P1</t>
        </is>
      </c>
      <c r="H51" s="29" t="inlineStr">
        <is>
          <t>Verify gap</t>
        </is>
      </c>
      <c r="I51" s="30" t="inlineStr">
        <is>
          <t>lib/features/auth/presentation/screen/login_screen.dart:173</t>
        </is>
      </c>
      <c r="J51" s="29" t="n"/>
      <c r="K51" s="31" t="inlineStr">
        <is>
          <t>Pass</t>
        </is>
      </c>
      <c r="L51" s="32" t="inlineStr">
        <is>
          <t>Claude (adb)</t>
        </is>
      </c>
      <c r="M51" s="33" t="n">
        <v>46300</v>
      </c>
      <c r="N51" s="32" t="inlineStr">
        <is>
          <t>1.0.0+1 debug</t>
        </is>
      </c>
      <c r="O51" s="32" t="inlineStr">
        <is>
          <t>emulator-5554 / Android 14</t>
        </is>
      </c>
      <c r="P51" s="32" t="inlineStr">
        <is>
          <t>DEF-007</t>
        </is>
      </c>
      <c r="Q51" s="32" t="inlineStr">
        <is>
          <t>FIXED AND RETESTED (5 Oct 2026, rebuilt debug build; DEF-007). The reason was already kept in the auth state; the sign-in screen now shows it. Emulator: the app's session was ended from the command line (DELETE /patient/auth/sessions/{id} from a second session, 204); on the next tab change the app went to sign-in with 'You were signed out because this session was ended - from another device, or after a password change. Sign in again to continue.' An expired session says 'Your session has expired. Sign in again to continue.'; a blocked account keeps its own message. The notice goes once the patient tries to sign in. Test added (sign_in_routing_test.dart). First observed: After the session was revoked remotely the user lands on the plain sign-in screen ('Hi, Welcome Back!') with no message at all — nothing says the session ended or why.</t>
        </is>
      </c>
    </row>
    <row r="52" ht="43" customHeight="1">
      <c r="A52" s="27" t="inlineStr">
        <is>
          <t>BL-AUTH-051</t>
        </is>
      </c>
      <c r="B52" s="28" t="inlineStr">
        <is>
          <t>Authentication &amp; session</t>
        </is>
      </c>
      <c r="C52" s="28" t="inlineStr">
        <is>
          <t>Session &amp; token refresh</t>
        </is>
      </c>
      <c r="D52" s="28" t="inlineStr">
        <is>
          <t>A network blip during refresh must not sign the user out</t>
        </is>
      </c>
      <c r="E52" s="28" t="inlineStr">
        <is>
          <t>1. Let the access token expire
2. Cut the network (or return 429/500) exactly on the refresh call</t>
        </is>
      </c>
      <c r="F52" s="28" t="inlineStr">
        <is>
          <t>User should stay signed in and see an offline/retry message. The code treats any refresh failure as a lost session and wipes local data.</t>
        </is>
      </c>
      <c r="G52" s="29" t="inlineStr">
        <is>
          <t>P0</t>
        </is>
      </c>
      <c r="H52" s="29" t="inlineStr">
        <is>
          <t>Verify gap</t>
        </is>
      </c>
      <c r="I52" s="30" t="inlineStr">
        <is>
          <t>lib/core/network/api_client.dart:605</t>
        </is>
      </c>
      <c r="J52" s="29" t="n"/>
      <c r="K52" s="31" t="inlineStr">
        <is>
          <t>Pass</t>
        </is>
      </c>
      <c r="L52" s="32" t="inlineStr">
        <is>
          <t>Claude (adb)</t>
        </is>
      </c>
      <c r="M52" s="33" t="n">
        <v>46300</v>
      </c>
      <c r="N52" s="32" t="inlineStr">
        <is>
          <t>1.0.0+1 debug</t>
        </is>
      </c>
      <c r="O52" s="32" t="inlineStr">
        <is>
          <t>emulator-5554 / Android 14</t>
        </is>
      </c>
      <c r="P52" s="32" t="inlineStr">
        <is>
          <t>DEF-045</t>
        </is>
      </c>
      <c r="Q52" s="32" t="inlineStr">
        <is>
          <t>FIXED AND RETESTED (5 Oct 2026, rebuilt debug build). Calls watched through a pass-through recorder on the host (app pointed at http://10.0.2.2:8000, which forwards to the integration server). Before: cold start with the access token treated as expired and the refresh call answered 500 - one refresh attempt, then the app dropped to the sign-in screen and the stored session was wiped (DEF-045). After the fix (api_client.dart: only a refresh the server refuses ends the session): the same start with the refresh answered 500, with the connection cut, and answered 429 - each time one refresh attempt, the user stays signed in on Home with saved data, session file intact. While it keeps failing, Appointments shows 'Something went wrong - Too many attempts. Please wait a moment and try again.' with Try Again; once the refresh works, Try Again refreshes (200) and the list loads. A refresh the server refuses (401 AUTH_SESSION_REVOKED) still signs the user out, once. Unit tests added in test/core/network/dio_api_client_test.dart.</t>
        </is>
      </c>
    </row>
    <row r="53" ht="30" customHeight="1">
      <c r="A53" s="27" t="inlineStr">
        <is>
          <t>BL-AUTH-052</t>
        </is>
      </c>
      <c r="B53" s="28" t="inlineStr">
        <is>
          <t>Authentication &amp; session</t>
        </is>
      </c>
      <c r="C53" s="28" t="inlineStr">
        <is>
          <t>Session &amp; token refresh</t>
        </is>
      </c>
      <c r="D53" s="28" t="inlineStr">
        <is>
          <t>Credential errors never end the session</t>
        </is>
      </c>
      <c r="E53" s="28" t="inlineStr">
        <is>
          <t>While signed in, enter a wrong current password and a wrong phone-change code</t>
        </is>
      </c>
      <c r="F53" s="28" t="inlineStr">
        <is>
          <t>Field errors only; still signed in.</t>
        </is>
      </c>
      <c r="G53" s="29" t="inlineStr">
        <is>
          <t>P0</t>
        </is>
      </c>
      <c r="H53" s="29" t="inlineStr">
        <is>
          <t>Rule</t>
        </is>
      </c>
      <c r="I53" s="30" t="inlineStr">
        <is>
          <t>lib/core/network/network_exceptions.dart:60</t>
        </is>
      </c>
      <c r="J53" s="29" t="n"/>
      <c r="K53" s="31" t="inlineStr">
        <is>
          <t>Pass</t>
        </is>
      </c>
      <c r="L53" s="32" t="inlineStr">
        <is>
          <t>Claude (adb)</t>
        </is>
      </c>
      <c r="M53" s="33" t="n">
        <v>46299</v>
      </c>
      <c r="N53" s="32" t="inlineStr">
        <is>
          <t>1.0.0+1 debug</t>
        </is>
      </c>
      <c r="O53" s="32" t="inlineStr">
        <is>
          <t>emulator-5554 / Android 14</t>
        </is>
      </c>
      <c r="P53" s="32" t="n"/>
      <c r="Q53" s="32" t="inlineStr">
        <is>
          <t>A wrong current password (change password) and wrong phone-change codes produced field errors only; the session stayed signed in throughout.</t>
        </is>
      </c>
    </row>
    <row r="54" ht="30" customHeight="1">
      <c r="A54" s="27" t="inlineStr">
        <is>
          <t>BL-AUTH-053</t>
        </is>
      </c>
      <c r="B54" s="28" t="inlineStr">
        <is>
          <t>Authentication &amp; session</t>
        </is>
      </c>
      <c r="C54" s="28" t="inlineStr">
        <is>
          <t>Session &amp; token refresh</t>
        </is>
      </c>
      <c r="D54" s="28" t="inlineStr">
        <is>
          <t>Offline relaunch keeps the cached identity</t>
        </is>
      </c>
      <c r="E54" s="28" t="inlineStr">
        <is>
          <t>1. Sign in
2. Relaunch in airplane mode</t>
        </is>
      </c>
      <c r="F54" s="28" t="inlineStr">
        <is>
          <t>Home shows the cached name; no error, no sign-out.</t>
        </is>
      </c>
      <c r="G54" s="29" t="inlineStr">
        <is>
          <t>P1</t>
        </is>
      </c>
      <c r="H54" s="29" t="inlineStr">
        <is>
          <t>State</t>
        </is>
      </c>
      <c r="I54" s="30" t="inlineStr">
        <is>
          <t>lib/features/auth/application/providers/auth_provider.dart:119</t>
        </is>
      </c>
      <c r="J54" s="29" t="n"/>
      <c r="K54" s="31" t="inlineStr">
        <is>
          <t>Pass</t>
        </is>
      </c>
      <c r="L54" s="32" t="inlineStr">
        <is>
          <t>Claude (adb)</t>
        </is>
      </c>
      <c r="M54" s="33" t="n">
        <v>46299</v>
      </c>
      <c r="N54" s="32" t="inlineStr">
        <is>
          <t>1.0.0+1 debug</t>
        </is>
      </c>
      <c r="O54" s="32" t="inlineStr">
        <is>
          <t>emulator-5554 / Android 14</t>
        </is>
      </c>
      <c r="P54" s="32" t="n"/>
      <c r="Q54" s="32" t="inlineStr">
        <is>
          <t>Cold start in airplane mode: Home opens with 'Welcome back, Sanjay!' and cached services; no error and no sign-out.</t>
        </is>
      </c>
    </row>
    <row r="55" ht="30" customHeight="1">
      <c r="A55" s="27" t="inlineStr">
        <is>
          <t>BL-AUTH-054</t>
        </is>
      </c>
      <c r="B55" s="28" t="inlineStr">
        <is>
          <t>Authentication &amp; session</t>
        </is>
      </c>
      <c r="C55" s="28" t="inlineStr">
        <is>
          <t>Sign-in guard &amp; routing</t>
        </is>
      </c>
      <c r="D55" s="28" t="inlineStr">
        <is>
          <t>Public vs protected screens</t>
        </is>
      </c>
      <c r="E55" s="28" t="inlineStr">
        <is>
          <t>Signed out, open Home, Help &amp; Support, FAQ, a legal page, and My requests</t>
        </is>
      </c>
      <c r="F55" s="28" t="inlineStr">
        <is>
          <t>Help, FAQ and legal pages open; Home and My requests redirect to sign-in (or the intro on a fresh install).</t>
        </is>
      </c>
      <c r="G55" s="29" t="inlineStr">
        <is>
          <t>P0</t>
        </is>
      </c>
      <c r="H55" s="29" t="inlineStr">
        <is>
          <t>Rule</t>
        </is>
      </c>
      <c r="I55" s="30" t="inlineStr">
        <is>
          <t>lib/app/router/app_router.dart:440</t>
        </is>
      </c>
      <c r="J55" s="29" t="n"/>
      <c r="K55" s="31" t="inlineStr">
        <is>
          <t>Pass</t>
        </is>
      </c>
      <c r="L55" s="32" t="inlineStr">
        <is>
          <t>Claude (adb)</t>
        </is>
      </c>
      <c r="M55" s="33" t="n">
        <v>46299</v>
      </c>
      <c r="N55" s="32" t="inlineStr">
        <is>
          <t>1.0.0+1 debug</t>
        </is>
      </c>
      <c r="O55" s="32" t="inlineStr">
        <is>
          <t>emulator-5554 / Android 14</t>
        </is>
      </c>
      <c r="P55" s="32" t="n"/>
      <c r="Q55" s="32" t="inlineStr">
        <is>
          <t>Signed out: Help &amp; Support, FAQs and Terms open; medibook://home, /appointments and /support/tickets redirect to sign-in.</t>
        </is>
      </c>
    </row>
    <row r="56" ht="30" customHeight="1">
      <c r="A56" s="27" t="inlineStr">
        <is>
          <t>BL-AUTH-055</t>
        </is>
      </c>
      <c r="B56" s="28" t="inlineStr">
        <is>
          <t>Authentication &amp; session</t>
        </is>
      </c>
      <c r="C56" s="28" t="inlineStr">
        <is>
          <t>Sign-in guard &amp; routing</t>
        </is>
      </c>
      <c r="D56" s="28" t="inlineStr">
        <is>
          <t>Signed-in users cannot reach sign-in screens</t>
        </is>
      </c>
      <c r="E56" s="28" t="inlineStr">
        <is>
          <t>Signed in, open the login, sign-up and forgot-password links</t>
        </is>
      </c>
      <c r="F56" s="28" t="inlineStr">
        <is>
          <t>Home is shown.</t>
        </is>
      </c>
      <c r="G56" s="29" t="inlineStr">
        <is>
          <t>P2</t>
        </is>
      </c>
      <c r="H56" s="29" t="inlineStr">
        <is>
          <t>Rule</t>
        </is>
      </c>
      <c r="I56" s="30" t="inlineStr">
        <is>
          <t>lib/app/router/app_router.dart:473</t>
        </is>
      </c>
      <c r="J56" s="29" t="n"/>
      <c r="K56" s="31" t="inlineStr">
        <is>
          <t>Pass</t>
        </is>
      </c>
      <c r="L56" s="32" t="inlineStr">
        <is>
          <t>Claude (adb)</t>
        </is>
      </c>
      <c r="M56" s="33" t="n">
        <v>46299</v>
      </c>
      <c r="N56" s="32" t="inlineStr">
        <is>
          <t>1.0.0+1 debug</t>
        </is>
      </c>
      <c r="O56" s="32" t="inlineStr">
        <is>
          <t>emulator-5554 / Android 14</t>
        </is>
      </c>
      <c r="P56" s="32" t="n"/>
      <c r="Q56" s="32" t="inlineStr">
        <is>
          <t>Signed in, medibook://login and medibook://signup both land on Home.</t>
        </is>
      </c>
    </row>
    <row r="57" ht="17" customHeight="1">
      <c r="A57" s="27" t="inlineStr">
        <is>
          <t>BL-AUTH-056</t>
        </is>
      </c>
      <c r="B57" s="28" t="inlineStr">
        <is>
          <t>Authentication &amp; session</t>
        </is>
      </c>
      <c r="C57" s="28" t="inlineStr">
        <is>
          <t>Sign-in guard &amp; routing</t>
        </is>
      </c>
      <c r="D57" s="28" t="inlineStr">
        <is>
          <t>Failed attempt does not bounce the screen</t>
        </is>
      </c>
      <c r="E57" s="28" t="inlineStr">
        <is>
          <t>Fail a sign-in and watch the screen</t>
        </is>
      </c>
      <c r="F57" s="28" t="inlineStr">
        <is>
          <t>Stays on sign-in with the typed values; no reload.</t>
        </is>
      </c>
      <c r="G57" s="29" t="inlineStr">
        <is>
          <t>P3</t>
        </is>
      </c>
      <c r="H57" s="29" t="inlineStr">
        <is>
          <t>State</t>
        </is>
      </c>
      <c r="I57" s="30" t="inlineStr">
        <is>
          <t>lib/app/router/app_router.dart:495</t>
        </is>
      </c>
      <c r="J57" s="29" t="n"/>
      <c r="K57" s="31" t="inlineStr">
        <is>
          <t>Pass</t>
        </is>
      </c>
      <c r="L57" s="32" t="inlineStr">
        <is>
          <t>Claude (adb)</t>
        </is>
      </c>
      <c r="M57" s="33" t="n">
        <v>46299</v>
      </c>
      <c r="N57" s="32" t="inlineStr">
        <is>
          <t>1.0.0+1 debug</t>
        </is>
      </c>
      <c r="O57" s="32" t="inlineStr">
        <is>
          <t>emulator-5554 / Android 14</t>
        </is>
      </c>
      <c r="P57" s="32" t="n"/>
      <c r="Q57" s="32" t="inlineStr">
        <is>
          <t>After a wrong password the user stays on the sign-in screen with the identifier and password still filled in; only the banner and attempts notice change.</t>
        </is>
      </c>
    </row>
    <row r="58" ht="30" customHeight="1">
      <c r="A58" s="27" t="inlineStr">
        <is>
          <t>BL-AUTH-057</t>
        </is>
      </c>
      <c r="B58" s="28" t="inlineStr">
        <is>
          <t>Authentication &amp; session</t>
        </is>
      </c>
      <c r="C58" s="28" t="inlineStr">
        <is>
          <t>Logout</t>
        </is>
      </c>
      <c r="D58" s="28" t="inlineStr">
        <is>
          <t>Order: unregister push, end session, go to sign-in</t>
        </is>
      </c>
      <c r="E58" s="28" t="inlineStr">
        <is>
          <t>Log out with a proxy attached</t>
        </is>
      </c>
      <c r="F58" s="28" t="inlineStr">
        <is>
          <t>Device unregister (when one is registered) precedes the logout call.</t>
        </is>
      </c>
      <c r="G58" s="29" t="inlineStr">
        <is>
          <t>P2</t>
        </is>
      </c>
      <c r="H58" s="29" t="inlineStr">
        <is>
          <t>Rule</t>
        </is>
      </c>
      <c r="I58" s="30" t="inlineStr">
        <is>
          <t>lib/features/profile/presentation/screen/profile_screen.dart:305</t>
        </is>
      </c>
      <c r="J58" s="29" t="inlineStr">
        <is>
          <t>KB-04</t>
        </is>
      </c>
      <c r="K58" s="31" t="inlineStr">
        <is>
          <t>Blocked</t>
        </is>
      </c>
      <c r="L58" s="32" t="inlineStr">
        <is>
          <t>Claude (adb)</t>
        </is>
      </c>
      <c r="M58" s="33" t="n">
        <v>46300</v>
      </c>
      <c r="N58" s="32" t="inlineStr">
        <is>
          <t>1.0.0+1 debug</t>
        </is>
      </c>
      <c r="O58" s="32" t="inlineStr">
        <is>
          <t>emulator-5554 / Android 14</t>
        </is>
      </c>
      <c r="P58" s="32" t="n"/>
      <c r="Q58" s="32" t="inlineStr">
        <is>
          <t>KB-04: this build never registers the device for push (no /devices call in any recorded session), so there is no unregister call to order. Calls watched through a pass-through recorder on the host (app pointed at http://10.0.2.2:8000, which forwards to the integration server). Observed on Log Out: one call, POST /patient/auth/logout (204), then the sign-in screen. Re-run once a push provider is in the app.</t>
        </is>
      </c>
    </row>
    <row r="59" ht="43" customHeight="1">
      <c r="A59" s="27" t="inlineStr">
        <is>
          <t>BL-AUTH-058</t>
        </is>
      </c>
      <c r="B59" s="28" t="inlineStr">
        <is>
          <t>Authentication &amp; session</t>
        </is>
      </c>
      <c r="C59" s="28" t="inlineStr">
        <is>
          <t>Logout</t>
        </is>
      </c>
      <c r="D59" s="28" t="inlineStr">
        <is>
          <t>Logout works offline</t>
        </is>
      </c>
      <c r="E59" s="28" t="inlineStr">
        <is>
          <t>1. Log out in airplane mode
2. Relaunch</t>
        </is>
      </c>
      <c r="F59" s="28" t="inlineStr">
        <is>
          <t>Signed out locally; relaunch stays on sign-in.</t>
        </is>
      </c>
      <c r="G59" s="29" t="inlineStr">
        <is>
          <t>P0</t>
        </is>
      </c>
      <c r="H59" s="29" t="inlineStr">
        <is>
          <t>Rule</t>
        </is>
      </c>
      <c r="I59" s="30" t="inlineStr">
        <is>
          <t>lib/features/auth/infrastructure/repositories/auth_repository_impl.dart:160</t>
        </is>
      </c>
      <c r="J59" s="29" t="n"/>
      <c r="K59" s="31" t="inlineStr">
        <is>
          <t>Pass</t>
        </is>
      </c>
      <c r="L59" s="32" t="inlineStr">
        <is>
          <t>Claude (adb)</t>
        </is>
      </c>
      <c r="M59" s="33" t="n">
        <v>46299</v>
      </c>
      <c r="N59" s="32" t="inlineStr">
        <is>
          <t>1.0.0+1 debug</t>
        </is>
      </c>
      <c r="O59" s="32" t="inlineStr">
        <is>
          <t>emulator-5554 / Android 14</t>
        </is>
      </c>
      <c r="P59" s="32" t="n"/>
      <c r="Q59" s="32" t="inlineStr">
        <is>
          <t>Logged out in airplane mode: confirm dialog 'Log out of Medibook? …', then the sign-in screen; Back leaves the app rather than returning to signed-in screens; relaunch stays on sign-in. Note: the server-side session ('Medibook/1.0') remained listed afterwards because the logout call could not be sent — the local tokens are gone, but the session lives until it expires.</t>
        </is>
      </c>
    </row>
    <row r="60" ht="56" customHeight="1">
      <c r="A60" s="27" t="inlineStr">
        <is>
          <t>BL-AUTH-059</t>
        </is>
      </c>
      <c r="B60" s="28" t="inlineStr">
        <is>
          <t>Authentication &amp; session</t>
        </is>
      </c>
      <c r="C60" s="28" t="inlineStr">
        <is>
          <t>Logout</t>
        </is>
      </c>
      <c r="D60" s="28" t="inlineStr">
        <is>
          <t>What is cleared and what is kept</t>
        </is>
      </c>
      <c r="E60" s="28" t="inlineStr">
        <is>
          <t>1. Log out
2. Sign in as a different user
3. Compare the device fingerprint header before and after</t>
        </is>
      </c>
      <c r="F60" s="28" t="inlineStr">
        <is>
          <t>No data from the previous user; onboarding not repeated; device fingerprint unchanged.</t>
        </is>
      </c>
      <c r="G60" s="29" t="inlineStr">
        <is>
          <t>P0</t>
        </is>
      </c>
      <c r="H60" s="29" t="inlineStr">
        <is>
          <t>State</t>
        </is>
      </c>
      <c r="I60" s="30" t="inlineStr">
        <is>
          <t>lib/core/storage/secure_store.dart:46</t>
        </is>
      </c>
      <c r="J60" s="29" t="n"/>
      <c r="K60" s="31" t="inlineStr">
        <is>
          <t>Pass</t>
        </is>
      </c>
      <c r="L60" s="32" t="inlineStr">
        <is>
          <t>Claude (adb)</t>
        </is>
      </c>
      <c r="M60" s="33" t="n">
        <v>46299</v>
      </c>
      <c r="N60" s="32" t="inlineStr">
        <is>
          <t>1.0.0+1 debug</t>
        </is>
      </c>
      <c r="O60" s="32" t="inlineStr">
        <is>
          <t>emulator-5554 / Android 14</t>
        </is>
      </c>
      <c r="P60" s="32" t="n"/>
      <c r="Q60" s="32" t="inlineStr">
        <is>
          <t>After logout: every cache box and the auth box are 0 bytes, secure storage holds only the device fingerprint (same value as before logout), and the settings box (onboarding flag) is kept. Signing in as another user afterwards shows none of the previous user's data.</t>
        </is>
      </c>
    </row>
    <row r="61" ht="43" customHeight="1">
      <c r="A61" s="27" t="inlineStr">
        <is>
          <t>BL-AUTH-060</t>
        </is>
      </c>
      <c r="B61" s="28" t="inlineStr">
        <is>
          <t>Authentication &amp; session</t>
        </is>
      </c>
      <c r="C61" s="28" t="inlineStr">
        <is>
          <t>Device identity</t>
        </is>
      </c>
      <c r="D61" s="28" t="inlineStr">
        <is>
          <t>Fingerprint is sent only on code-based calls and matches between start and verify</t>
        </is>
      </c>
      <c r="E61" s="28" t="inlineStr">
        <is>
          <t>Inspect headers on sign-up, code sign-in, resend and forgot-password calls, and on password sign-in</t>
        </is>
      </c>
      <c r="F61" s="28" t="inlineStr">
        <is>
          <t>X-Device-Fingerprint present and identical on the code calls; absent on password sign-in and token refresh.</t>
        </is>
      </c>
      <c r="G61" s="29" t="inlineStr">
        <is>
          <t>P1</t>
        </is>
      </c>
      <c r="H61" s="29" t="inlineStr">
        <is>
          <t>Rule</t>
        </is>
      </c>
      <c r="I61" s="30" t="inlineStr">
        <is>
          <t>lib/features/auth/infrastructure/data_sources/remote/auth_api.dart:113</t>
        </is>
      </c>
      <c r="J61" s="29" t="n"/>
      <c r="K61" s="31" t="inlineStr">
        <is>
          <t>Pass</t>
        </is>
      </c>
      <c r="L61" s="32" t="inlineStr">
        <is>
          <t>Claude (adb)</t>
        </is>
      </c>
      <c r="M61" s="33" t="n">
        <v>46300</v>
      </c>
      <c r="N61" s="32" t="inlineStr">
        <is>
          <t>1.0.0+1 debug</t>
        </is>
      </c>
      <c r="O61" s="32" t="inlineStr">
        <is>
          <t>emulator-5554 / Android 14</t>
        </is>
      </c>
      <c r="P61" s="32" t="n"/>
      <c r="Q61" s="32" t="inlineStr">
        <is>
          <t>Calls watched through a pass-through recorder on the host (app pointed at http://10.0.2.2:8000, which forwards to the integration server). X-Device-Fingerprint was present with the same value (hash d747e6) on: code sign-in start, otp/resend, password/forgot/start, signup/start and signup/verify (wrong code 0000 -&gt; 401 AUTH_OTP_INVALID, '2 attempts left'). It was absent on password sign-in and on every token refresh. Not exercised: the verify calls for code sign-in and forgot password, to avoid failed attempts on a seeded account (and KB-05 for a correct code).</t>
        </is>
      </c>
    </row>
    <row r="62" ht="56" customHeight="1">
      <c r="A62" s="27" t="inlineStr">
        <is>
          <t>BL-AUTH-061</t>
        </is>
      </c>
      <c r="B62" s="28" t="inlineStr">
        <is>
          <t>Authentication &amp; session</t>
        </is>
      </c>
      <c r="C62" s="28" t="inlineStr">
        <is>
          <t>App update</t>
        </is>
      </c>
      <c r="D62" s="28" t="inlineStr">
        <is>
          <t>Below the minimum version forces an update</t>
        </is>
      </c>
      <c r="E62" s="28" t="inlineStr">
        <is>
          <t>1. Set the backend minimum Android version above the installed Play build
2. Launch
3. Back out of the Play update screen</t>
        </is>
      </c>
      <c r="F62" s="28" t="inlineStr">
        <is>
          <t>Play's full-screen update, then a blocking 'Update required' screen with 'Update now'.</t>
        </is>
      </c>
      <c r="G62" s="29" t="inlineStr">
        <is>
          <t>P0</t>
        </is>
      </c>
      <c r="H62" s="29" t="inlineStr">
        <is>
          <t>Rule</t>
        </is>
      </c>
      <c r="I62" s="30" t="inlineStr">
        <is>
          <t>lib/features/app_update/domain/policies/app_update_policy.dart:16</t>
        </is>
      </c>
      <c r="J62" s="29" t="n"/>
      <c r="K62" s="31" t="inlineStr">
        <is>
          <t>Blocked</t>
        </is>
      </c>
      <c r="L62" s="32" t="inlineStr">
        <is>
          <t>Claude (adb)</t>
        </is>
      </c>
      <c r="M62" s="33" t="n">
        <v>46299</v>
      </c>
      <c r="N62" s="32" t="inlineStr">
        <is>
          <t>1.0.0+1 debug</t>
        </is>
      </c>
      <c r="O62" s="32" t="inlineStr">
        <is>
          <t>emulator-5554 / Android 14</t>
        </is>
      </c>
      <c r="P62" s="32" t="n"/>
      <c r="Q62" s="32" t="inlineStr">
        <is>
          <t>Needs a Google Play-distributed build and a changed minimum version in backend app-config (currently min 1.0.0 = installed 1.0.0); the emulator build is a sideloaded debug build.</t>
        </is>
      </c>
    </row>
    <row r="63" ht="30" customHeight="1">
      <c r="A63" s="27" t="inlineStr">
        <is>
          <t>BL-AUTH-062</t>
        </is>
      </c>
      <c r="B63" s="28" t="inlineStr">
        <is>
          <t>Authentication &amp; session</t>
        </is>
      </c>
      <c r="C63" s="28" t="inlineStr">
        <is>
          <t>App update</t>
        </is>
      </c>
      <c r="D63" s="28" t="inlineStr">
        <is>
          <t>Version comparison is numeric</t>
        </is>
      </c>
      <c r="E63" s="28" t="inlineStr">
        <is>
          <t>Minimum 1.10.0 with 1.9.3 installed; minimum 1.9.3 with 1.9.3+7 installed</t>
        </is>
      </c>
      <c r="F63" s="28" t="inlineStr">
        <is>
          <t>1.9.3 is forced to update; 1.9.3+7 is not.</t>
        </is>
      </c>
      <c r="G63" s="29" t="inlineStr">
        <is>
          <t>P1</t>
        </is>
      </c>
      <c r="H63" s="29" t="inlineStr">
        <is>
          <t>Calculation</t>
        </is>
      </c>
      <c r="I63" s="30" t="inlineStr">
        <is>
          <t>lib/features/app_update/domain/policies/app_update_policy.dart:31</t>
        </is>
      </c>
      <c r="J63" s="29" t="n"/>
      <c r="K63" s="31" t="inlineStr">
        <is>
          <t>Blocked</t>
        </is>
      </c>
      <c r="L63" s="32" t="inlineStr">
        <is>
          <t>Claude (adb)</t>
        </is>
      </c>
      <c r="M63" s="33" t="n">
        <v>46299</v>
      </c>
      <c r="N63" s="32" t="inlineStr">
        <is>
          <t>1.0.0+1 debug</t>
        </is>
      </c>
      <c r="O63" s="32" t="inlineStr">
        <is>
          <t>emulator-5554 / Android 14</t>
        </is>
      </c>
      <c r="P63" s="32" t="n"/>
      <c r="Q63" s="32" t="inlineStr">
        <is>
          <t>Needs a Google Play-distributed build and a changed minimum version in backend app-config (currently min 1.0.0 = installed 1.0.0); the emulator build is a sideloaded debug build.</t>
        </is>
      </c>
    </row>
    <row r="64" ht="56" customHeight="1">
      <c r="A64" s="27" t="inlineStr">
        <is>
          <t>BL-AUTH-063</t>
        </is>
      </c>
      <c r="B64" s="28" t="inlineStr">
        <is>
          <t>Authentication &amp; session</t>
        </is>
      </c>
      <c r="C64" s="28" t="inlineStr">
        <is>
          <t>App update</t>
        </is>
      </c>
      <c r="D64" s="28" t="inlineStr">
        <is>
          <t>Optional update downloads in the background</t>
        </is>
      </c>
      <c r="E64" s="28" t="inlineStr">
        <is>
          <t>1. Publish a newer build that is above the minimum
2. Let it download
3. Tap Later
4. Resume the app</t>
        </is>
      </c>
      <c r="F64" s="28" t="inlineStr">
        <is>
          <t>'Update ready' dialog with Restart / Later; after Later it does not reappear until the next launch.</t>
        </is>
      </c>
      <c r="G64" s="29" t="inlineStr">
        <is>
          <t>P2</t>
        </is>
      </c>
      <c r="H64" s="29" t="inlineStr">
        <is>
          <t>State</t>
        </is>
      </c>
      <c r="I64" s="30" t="inlineStr">
        <is>
          <t>lib/features/app_update/application/providers/app_update_provider.dart:83</t>
        </is>
      </c>
      <c r="J64" s="29" t="n"/>
      <c r="K64" s="31" t="inlineStr">
        <is>
          <t>Blocked</t>
        </is>
      </c>
      <c r="L64" s="32" t="inlineStr">
        <is>
          <t>Claude (adb)</t>
        </is>
      </c>
      <c r="M64" s="33" t="n">
        <v>46299</v>
      </c>
      <c r="N64" s="32" t="inlineStr">
        <is>
          <t>1.0.0+1 debug</t>
        </is>
      </c>
      <c r="O64" s="32" t="inlineStr">
        <is>
          <t>emulator-5554 / Android 14</t>
        </is>
      </c>
      <c r="P64" s="32" t="n"/>
      <c r="Q64" s="32" t="inlineStr">
        <is>
          <t>Needs a Google Play-distributed build and a changed minimum version in backend app-config (currently min 1.0.0 = installed 1.0.0); the emulator build is a sideloaded debug build.</t>
        </is>
      </c>
    </row>
    <row r="65" ht="43" customHeight="1">
      <c r="A65" s="27" t="inlineStr">
        <is>
          <t>BL-AUTH-064</t>
        </is>
      </c>
      <c r="B65" s="28" t="inlineStr">
        <is>
          <t>Authentication &amp; session</t>
        </is>
      </c>
      <c r="C65" s="28" t="inlineStr">
        <is>
          <t>App update</t>
        </is>
      </c>
      <c r="D65" s="28" t="inlineStr">
        <is>
          <t>Minimum version on iOS and non-Play installs</t>
        </is>
      </c>
      <c r="E65" s="28" t="inlineStr">
        <is>
          <t>Run a below-minimum build on iOS and on a sideloaded Android build</t>
        </is>
      </c>
      <c r="F65" s="28" t="inlineStr">
        <is>
          <t>Old versions should be blocked. The code enforces the minimum only on Android installs from Google Play.</t>
        </is>
      </c>
      <c r="G65" s="29" t="inlineStr">
        <is>
          <t>P1</t>
        </is>
      </c>
      <c r="H65" s="29" t="inlineStr">
        <is>
          <t>Verify gap</t>
        </is>
      </c>
      <c r="I65" s="30" t="inlineStr">
        <is>
          <t>lib/features/app_update/infrastructure/repositories/app_update_repository_impl.dart:18</t>
        </is>
      </c>
      <c r="J65" s="29" t="n"/>
      <c r="K65" s="31" t="inlineStr">
        <is>
          <t>Blocked</t>
        </is>
      </c>
      <c r="L65" s="32" t="inlineStr">
        <is>
          <t>Claude (adb)</t>
        </is>
      </c>
      <c r="M65" s="33" t="n">
        <v>46299</v>
      </c>
      <c r="N65" s="32" t="inlineStr">
        <is>
          <t>1.0.0+1 debug</t>
        </is>
      </c>
      <c r="O65" s="32" t="inlineStr">
        <is>
          <t>emulator-5554 / Android 14</t>
        </is>
      </c>
      <c r="P65" s="32" t="n"/>
      <c r="Q65" s="32" t="inlineStr">
        <is>
          <t>Needs a Google Play-distributed build and a changed minimum version in backend app-config (currently min 1.0.0 = installed 1.0.0); the emulator build is a sideloaded debug build.</t>
        </is>
      </c>
    </row>
    <row r="66" ht="43" customHeight="1">
      <c r="A66" s="27" t="inlineStr">
        <is>
          <t>BL-AUTH-065</t>
        </is>
      </c>
      <c r="B66" s="28" t="inlineStr">
        <is>
          <t>Authentication &amp; session</t>
        </is>
      </c>
      <c r="C66" s="28" t="inlineStr">
        <is>
          <t>App update</t>
        </is>
      </c>
      <c r="D66" s="28" t="inlineStr">
        <is>
          <t>Demo build cannot be used to test lockout</t>
        </is>
      </c>
      <c r="E66" s="28" t="inlineStr">
        <is>
          <t>On a demo build enter wrong passwords repeatedly</t>
        </is>
      </c>
      <c r="F66" s="28" t="inlineStr">
        <is>
          <t>Always '4 attempts left', never locked — run lockout checks only on a build pointed at the real backend.</t>
        </is>
      </c>
      <c r="G66" s="29" t="inlineStr">
        <is>
          <t>P3</t>
        </is>
      </c>
      <c r="H66" s="29" t="inlineStr">
        <is>
          <t>Rule</t>
        </is>
      </c>
      <c r="I66" s="30" t="inlineStr">
        <is>
          <t>lib/features/auth/infrastructure/data_sources/remote/demo_auth_api.dart:27</t>
        </is>
      </c>
      <c r="J66" s="29" t="n"/>
      <c r="K66" s="31" t="inlineStr">
        <is>
          <t>Pass</t>
        </is>
      </c>
      <c r="L66" s="32" t="inlineStr">
        <is>
          <t>Claude (adb)</t>
        </is>
      </c>
      <c r="M66" s="33" t="n">
        <v>46300</v>
      </c>
      <c r="N66" s="32" t="inlineStr">
        <is>
          <t>1.0.0+1 debug</t>
        </is>
      </c>
      <c r="O66" s="32" t="inlineStr">
        <is>
          <t>emulator-5554 / Android 14</t>
        </is>
      </c>
      <c r="P66" s="32" t="n"/>
      <c r="Q66" s="32" t="inlineStr">
        <is>
          <t>PASS (5 Oct 2026, demo build: flutter run --dart-define=MEDIBOOK_DEMO=true, app data wiped). Sign-in prefilled ('Demo login is prefilled — just tap Log In.'); with a wrong password, Log In tapped 6 times: every time 'That email and password do not match an account.' and '4 attempts left before sign-in is paused for 1 hour.' — never locked. So lockout checks must run on the normal build, as the rule says. Emulator put back on the normal build afterwards. Earlier note: The installed build is not a demo build (no prefilled credentials; real server answers with attempts counting down).</t>
        </is>
      </c>
    </row>
    <row r="67" ht="43" customHeight="1">
      <c r="A67" s="27" t="inlineStr">
        <is>
          <t>BL-BOOK-001</t>
        </is>
      </c>
      <c r="B67" s="28" t="inlineStr">
        <is>
          <t>Booking</t>
        </is>
      </c>
      <c r="C67" s="28" t="inlineStr">
        <is>
          <t>Discovery</t>
        </is>
      </c>
      <c r="D67" s="28" t="inlineStr">
        <is>
          <t>Browsing hospitals and doctors needs a signed-in session</t>
        </is>
      </c>
      <c r="E67" s="28" t="inlineStr">
        <is>
          <t>Signed out, open links to the hospitals list, a doctor and the booking flow</t>
        </is>
      </c>
      <c r="F67" s="28" t="inlineStr">
        <is>
          <t>Redirected to sign-in (or the intro on a fresh install). Confirm intended — the API allows these lists without sign-in.</t>
        </is>
      </c>
      <c r="G67" s="29" t="inlineStr">
        <is>
          <t>P2</t>
        </is>
      </c>
      <c r="H67" s="29" t="inlineStr">
        <is>
          <t>Rule</t>
        </is>
      </c>
      <c r="I67" s="30" t="inlineStr">
        <is>
          <t>lib/app/router/app_router.dart:395</t>
        </is>
      </c>
      <c r="J67" s="29" t="n"/>
      <c r="K67" s="31" t="inlineStr">
        <is>
          <t>Pass</t>
        </is>
      </c>
      <c r="L67" s="32" t="inlineStr">
        <is>
          <t>Claude (adb)</t>
        </is>
      </c>
      <c r="M67" s="33" t="n">
        <v>46300</v>
      </c>
      <c r="N67" s="32" t="inlineStr">
        <is>
          <t>1.0.0+1 debug</t>
        </is>
      </c>
      <c r="O67" s="32" t="inlineStr">
        <is>
          <t>emulator-5554 / Android 14</t>
        </is>
      </c>
      <c r="P67" s="32" t="n"/>
      <c r="Q67" s="32" t="inlineStr">
        <is>
          <t>OWNER DECISION (5 Oct 2026): intended - keep hospitals, doctors, search, booking, availability and the ambulance screen behind sign-in in the app, even though the API serves them without a token. No code change. Re-checked signed out on the 5 Oct build: medibook://hospitals, medibook://booking, medibook://ambulance, medibook://search and medibook://doctor/&lt;id&gt; all land on the sign-in screen. First observed 4 Oct 2026: medibook://hospitals and medibook://booking redirect to sign-in although the API serves these lists publicly; medibook://ambulance (emergency numbers) also requires sign-in.</t>
        </is>
      </c>
    </row>
    <row r="68" ht="30" customHeight="1">
      <c r="A68" s="27" t="inlineStr">
        <is>
          <t>BL-BOOK-002</t>
        </is>
      </c>
      <c r="B68" s="28" t="inlineStr">
        <is>
          <t>Booking</t>
        </is>
      </c>
      <c r="C68" s="28" t="inlineStr">
        <is>
          <t>Discovery</t>
        </is>
      </c>
      <c r="D68" s="28" t="inlineStr">
        <is>
          <t>Hospital list sorting</t>
        </is>
      </c>
      <c r="E68" s="28" t="inlineStr">
        <is>
          <t>1. Open Hospitals
2. Use each sort option</t>
        </is>
      </c>
      <c r="F68" s="28" t="inlineStr">
        <is>
          <t>'Name A–Z' (default), 'Highest rated', 'Soonest slot'; no distance option; list reloads each time.</t>
        </is>
      </c>
      <c r="G68" s="29" t="inlineStr">
        <is>
          <t>P2</t>
        </is>
      </c>
      <c r="H68" s="29" t="inlineStr">
        <is>
          <t>Rule</t>
        </is>
      </c>
      <c r="I68" s="30" t="inlineStr">
        <is>
          <t>lib/features/booking/presentation/screen/hospitals_screen.dart:78</t>
        </is>
      </c>
      <c r="J68" s="29" t="inlineStr">
        <is>
          <t>KB-10</t>
        </is>
      </c>
      <c r="K68" s="31" t="inlineStr">
        <is>
          <t>Pass</t>
        </is>
      </c>
      <c r="L68" s="32" t="inlineStr">
        <is>
          <t>Claude (adb)</t>
        </is>
      </c>
      <c r="M68" s="33" t="n">
        <v>46299</v>
      </c>
      <c r="N68" s="32" t="inlineStr">
        <is>
          <t>1.0.0+1 debug</t>
        </is>
      </c>
      <c r="O68" s="32" t="inlineStr">
        <is>
          <t>emulator-5554 / Android 14</t>
        </is>
      </c>
      <c r="P68" s="32" t="n"/>
      <c r="Q68" s="32" t="inlineStr">
        <is>
          <t>Sort menu offers 'Name A–Z' (default), 'Highest rated', 'Soonest slot' — no distance option; 'Highest rated' puts Sahyadri (4.5) above Lakeshore (3.9).</t>
        </is>
      </c>
    </row>
    <row r="69" ht="43" customHeight="1">
      <c r="A69" s="27" t="inlineStr">
        <is>
          <t>BL-BOOK-003</t>
        </is>
      </c>
      <c r="B69" s="28" t="inlineStr">
        <is>
          <t>Booking</t>
        </is>
      </c>
      <c r="C69" s="28" t="inlineStr">
        <is>
          <t>Discovery</t>
        </is>
      </c>
      <c r="D69" s="28" t="inlineStr">
        <is>
          <t>Hospital search and department tab combine</t>
        </is>
      </c>
      <c r="E69" s="28" t="inlineStr">
        <is>
          <t>1. Type a name quickly
2. Pick a department tab
3. Search something with no match</t>
        </is>
      </c>
      <c r="F69" s="28" t="inlineStr">
        <is>
          <t>One request per typing pause; 'No hospital matches these filters' with 'Clear filters' clearing both.</t>
        </is>
      </c>
      <c r="G69" s="29" t="inlineStr">
        <is>
          <t>P2</t>
        </is>
      </c>
      <c r="H69" s="29" t="inlineStr">
        <is>
          <t>Rule</t>
        </is>
      </c>
      <c r="I69" s="30" t="inlineStr">
        <is>
          <t>lib/features/booking/presentation/screen/hospitals_screen.dart:94</t>
        </is>
      </c>
      <c r="J69" s="29" t="n"/>
      <c r="K69" s="31" t="inlineStr">
        <is>
          <t>Pass</t>
        </is>
      </c>
      <c r="L69" s="32" t="inlineStr">
        <is>
          <t>Claude (adb)</t>
        </is>
      </c>
      <c r="M69" s="33" t="n">
        <v>46299</v>
      </c>
      <c r="N69" s="32" t="inlineStr">
        <is>
          <t>1.0.0+1 debug</t>
        </is>
      </c>
      <c r="O69" s="32" t="inlineStr">
        <is>
          <t>emulator-5554 / Android 14</t>
        </is>
      </c>
      <c r="P69" s="32" t="n"/>
      <c r="Q69" s="32" t="inlineStr">
        <is>
          <t>'sahy' shows only Sahyadri City Hospital; adding the Cardiology tab gives '0 hospitals — No hospital matches these filters' with 'Clear filters', which clears both the text and the tab (back to 2 hospitals).</t>
        </is>
      </c>
    </row>
    <row r="70" ht="30" customHeight="1">
      <c r="A70" s="27" t="inlineStr">
        <is>
          <t>BL-BOOK-004</t>
        </is>
      </c>
      <c r="B70" s="28" t="inlineStr">
        <is>
          <t>Booking</t>
        </is>
      </c>
      <c r="C70" s="28" t="inlineStr">
        <is>
          <t>Discovery</t>
        </is>
      </c>
      <c r="D70" s="28" t="inlineStr">
        <is>
          <t>Hospital card availability line</t>
        </is>
      </c>
      <c r="E70" s="28" t="inlineStr">
        <is>
          <t>Compare a hospital with online booking off, one with no published slot and one with a slot today</t>
        </is>
      </c>
      <c r="F70" s="28" t="inlineStr">
        <is>
          <t>'Online booking not available' / 'No free slot published' / 'Next free &lt;time&gt; today'.</t>
        </is>
      </c>
      <c r="G70" s="29" t="inlineStr">
        <is>
          <t>P1</t>
        </is>
      </c>
      <c r="H70" s="29" t="inlineStr">
        <is>
          <t>Data mapping</t>
        </is>
      </c>
      <c r="I70" s="30" t="inlineStr">
        <is>
          <t>lib/features/booking/presentation/components/hospital_card.dart:98</t>
        </is>
      </c>
      <c r="J70" s="29" t="n"/>
      <c r="K70" s="31" t="inlineStr">
        <is>
          <t>Blocked</t>
        </is>
      </c>
      <c r="L70" s="32" t="inlineStr">
        <is>
          <t>Claude (adb)</t>
        </is>
      </c>
      <c r="M70" s="33" t="n">
        <v>46299</v>
      </c>
      <c r="N70" s="32" t="inlineStr">
        <is>
          <t>1.0.0+1 debug</t>
        </is>
      </c>
      <c r="O70" s="32" t="inlineStr">
        <is>
          <t>emulator-5554 / Android 14</t>
        </is>
      </c>
      <c r="P70" s="32" t="n"/>
      <c r="Q70" s="32" t="inlineStr">
        <is>
          <t>Seed data: the server lists only 2 hospitals (both online-bookable, India time) and 10 doctors (all active and bookable), so this state cannot be produced. Observed for the normal case: cards show 'Next free 9:00 AM tomorrow'.</t>
        </is>
      </c>
    </row>
    <row r="71" ht="30" customHeight="1">
      <c r="A71" s="27" t="inlineStr">
        <is>
          <t>BL-BOOK-005</t>
        </is>
      </c>
      <c r="B71" s="28" t="inlineStr">
        <is>
          <t>Booking</t>
        </is>
      </c>
      <c r="C71" s="28" t="inlineStr">
        <is>
          <t>Discovery</t>
        </is>
      </c>
      <c r="D71" s="28" t="inlineStr">
        <is>
          <t>'Next free' time uses the hospital's zone</t>
        </is>
      </c>
      <c r="E71" s="28" t="inlineStr">
        <is>
          <t>1. Use a hospital outside India time (e.g. Dubai)
2. Read the card</t>
        </is>
      </c>
      <c r="F71" s="28" t="inlineStr">
        <is>
          <t>Time should be the hospital's local time. The list card always renders India time.</t>
        </is>
      </c>
      <c r="G71" s="29" t="inlineStr">
        <is>
          <t>P3</t>
        </is>
      </c>
      <c r="H71" s="29" t="inlineStr">
        <is>
          <t>Verify gap</t>
        </is>
      </c>
      <c r="I71" s="30" t="inlineStr">
        <is>
          <t>lib/features/booking/domain/hospital_clock.dart:25</t>
        </is>
      </c>
      <c r="J71" s="29" t="inlineStr">
        <is>
          <t>BB-09 (docs/BACKEND_BLOCKERS.md)</t>
        </is>
      </c>
      <c r="K71" s="31" t="inlineStr">
        <is>
          <t>Blocked</t>
        </is>
      </c>
      <c r="L71" s="32" t="inlineStr">
        <is>
          <t>Claude (adb)</t>
        </is>
      </c>
      <c r="M71" s="33" t="n">
        <v>46299</v>
      </c>
      <c r="N71" s="32" t="inlineStr">
        <is>
          <t>1.0.0+1 debug</t>
        </is>
      </c>
      <c r="O71" s="32" t="inlineStr">
        <is>
          <t>emulator-5554 / Android 14</t>
        </is>
      </c>
      <c r="P71" s="32" t="n"/>
      <c r="Q71" s="32" t="inlineStr">
        <is>
          <t>Seed data: the server lists only 2 hospitals (both online-bookable, India time) and 10 doctors (all active and bookable), so this state cannot be produced. Observed for the normal case: cards show 'Next free 9:00 AM tomorrow'.</t>
        </is>
      </c>
    </row>
    <row r="72" ht="30" customHeight="1">
      <c r="A72" s="27" t="inlineStr">
        <is>
          <t>BL-BOOK-006</t>
        </is>
      </c>
      <c r="B72" s="28" t="inlineStr">
        <is>
          <t>Booking</t>
        </is>
      </c>
      <c r="C72" s="28" t="inlineStr">
        <is>
          <t>Discovery</t>
        </is>
      </c>
      <c r="D72" s="28" t="inlineStr">
        <is>
          <t>More than one page of hospitals or doctors</t>
        </is>
      </c>
      <c r="E72" s="28" t="inlineStr">
        <is>
          <t>Use a location with 51+ hospitals, or a hospital department with 51+ doctors</t>
        </is>
      </c>
      <c r="F72" s="28" t="inlineStr">
        <is>
          <t>All should be reachable. The code loads a single page of 50 with no 'load more'.</t>
        </is>
      </c>
      <c r="G72" s="29" t="inlineStr">
        <is>
          <t>P2</t>
        </is>
      </c>
      <c r="H72" s="29" t="inlineStr">
        <is>
          <t>Verify gap</t>
        </is>
      </c>
      <c r="I72" s="30" t="inlineStr">
        <is>
          <t>lib/features/booking/presentation/screen/booking_screen.dart:604</t>
        </is>
      </c>
      <c r="J72" s="29" t="inlineStr">
        <is>
          <t>BB-10 (docs/BACKEND_BLOCKERS.md)</t>
        </is>
      </c>
      <c r="K72" s="31" t="inlineStr">
        <is>
          <t>Blocked</t>
        </is>
      </c>
      <c r="L72" s="32" t="inlineStr">
        <is>
          <t>Claude (adb)</t>
        </is>
      </c>
      <c r="M72" s="33" t="n">
        <v>46299</v>
      </c>
      <c r="N72" s="32" t="inlineStr">
        <is>
          <t>1.0.0+1 debug</t>
        </is>
      </c>
      <c r="O72" s="32" t="inlineStr">
        <is>
          <t>emulator-5554 / Android 14</t>
        </is>
      </c>
      <c r="P72" s="32" t="n"/>
      <c r="Q72" s="32" t="inlineStr">
        <is>
          <t>Seed data: the server lists only 2 hospitals (both online-bookable, India time) and 10 doctors (all active and bookable), so this state cannot be produced. Observed for the normal case: cards show 'Next free 9:00 AM tomorrow'.</t>
        </is>
      </c>
    </row>
    <row r="73" ht="43" customHeight="1">
      <c r="A73" s="27" t="inlineStr">
        <is>
          <t>BL-BOOK-007</t>
        </is>
      </c>
      <c r="B73" s="28" t="inlineStr">
        <is>
          <t>Booking</t>
        </is>
      </c>
      <c r="C73" s="28" t="inlineStr">
        <is>
          <t>Discovery</t>
        </is>
      </c>
      <c r="D73" s="28" t="inlineStr">
        <is>
          <t>A doctor can be booked only when active and bookable online</t>
        </is>
      </c>
      <c r="E73" s="28" t="inlineStr">
        <is>
          <t>Open a doctor on leave and one marked not bookable online</t>
        </is>
      </c>
      <c r="F73" s="28" t="inlineStr">
        <is>
          <t>'On leave — not taking bookings right now.' / 'Not bookable online. Call the hospital to book.'; no Book button; Doctor Details footer 'Not bookable online'.</t>
        </is>
      </c>
      <c r="G73" s="29" t="inlineStr">
        <is>
          <t>P0</t>
        </is>
      </c>
      <c r="H73" s="29" t="inlineStr">
        <is>
          <t>Rule</t>
        </is>
      </c>
      <c r="I73" s="30" t="inlineStr">
        <is>
          <t>lib/features/booking/presentation/components/booking_doctor_card.dart:160</t>
        </is>
      </c>
      <c r="J73" s="29" t="inlineStr">
        <is>
          <t>BB-08 (docs/BACKEND_BLOCKERS.md)</t>
        </is>
      </c>
      <c r="K73" s="31" t="inlineStr">
        <is>
          <t>Blocked</t>
        </is>
      </c>
      <c r="L73" s="32" t="inlineStr">
        <is>
          <t>Claude (adb)</t>
        </is>
      </c>
      <c r="M73" s="33" t="n">
        <v>46299</v>
      </c>
      <c r="N73" s="32" t="inlineStr">
        <is>
          <t>1.0.0+1 debug</t>
        </is>
      </c>
      <c r="O73" s="32" t="inlineStr">
        <is>
          <t>emulator-5554 / Android 14</t>
        </is>
      </c>
      <c r="P73" s="32" t="n"/>
      <c r="Q73" s="32" t="inlineStr">
        <is>
          <t>Seed data: the server lists only 2 hospitals (both online-bookable, India time) and 10 doctors (all active and bookable), so this state cannot be produced. Observed for the normal case: cards show 'Next free 9:00 AM tomorrow'.</t>
        </is>
      </c>
    </row>
    <row r="74" ht="30" customHeight="1">
      <c r="A74" s="27" t="inlineStr">
        <is>
          <t>BL-BOOK-008</t>
        </is>
      </c>
      <c r="B74" s="28" t="inlineStr">
        <is>
          <t>Booking</t>
        </is>
      </c>
      <c r="C74" s="28" t="inlineStr">
        <is>
          <t>Discovery</t>
        </is>
      </c>
      <c r="D74" s="28" t="inlineStr">
        <is>
          <t>Department list depends on where the flow started</t>
        </is>
      </c>
      <c r="E74" s="28" t="inlineStr">
        <is>
          <t>Start a booking from Home and from a hospital page</t>
        </is>
      </c>
      <c r="F74" s="28" t="inlineStr">
        <is>
          <t>Home: all departments with 'N hospitals'; hospital: only that hospital's departments.</t>
        </is>
      </c>
      <c r="G74" s="29" t="inlineStr">
        <is>
          <t>P2</t>
        </is>
      </c>
      <c r="H74" s="29" t="inlineStr">
        <is>
          <t>Rule</t>
        </is>
      </c>
      <c r="I74" s="30" t="inlineStr">
        <is>
          <t>lib/features/booking/presentation/screen/booking_screen.dart:455</t>
        </is>
      </c>
      <c r="J74" s="29" t="n"/>
      <c r="K74" s="31" t="inlineStr">
        <is>
          <t>Pass</t>
        </is>
      </c>
      <c r="L74" s="32" t="inlineStr">
        <is>
          <t>Claude (adb)</t>
        </is>
      </c>
      <c r="M74" s="33" t="n">
        <v>46299</v>
      </c>
      <c r="N74" s="32" t="inlineStr">
        <is>
          <t>1.0.0+1 debug</t>
        </is>
      </c>
      <c r="O74" s="32" t="inlineStr">
        <is>
          <t>emulator-5554 / Android 14</t>
        </is>
      </c>
      <c r="P74" s="32" t="n"/>
      <c r="Q74" s="32" t="inlineStr">
        <is>
          <t>Started from Home/deep link: step 1 lists '7 departments' with hospital counts ('Cardiology, 1 hospital'). Once a hospital is in the draft, step 1 lists that hospital's '4 departments'.</t>
        </is>
      </c>
    </row>
    <row r="75" ht="43" customHeight="1">
      <c r="A75" s="27" t="inlineStr">
        <is>
          <t>BL-BOOK-009</t>
        </is>
      </c>
      <c r="B75" s="28" t="inlineStr">
        <is>
          <t>Booking</t>
        </is>
      </c>
      <c r="C75" s="28" t="inlineStr">
        <is>
          <t>Step gating</t>
        </is>
      </c>
      <c r="D75" s="28" t="inlineStr">
        <is>
          <t>Each step needs its choice before Continue</t>
        </is>
      </c>
      <c r="E75" s="28" t="inlineStr">
        <is>
          <t>Try Continue on step 1 without a department, step 2 without a doctor, step 3 without a slot or patient, step 4 before the fee loads</t>
        </is>
      </c>
      <c r="F75" s="28" t="inlineStr">
        <is>
          <t>Button disabled at each point.</t>
        </is>
      </c>
      <c r="G75" s="29" t="inlineStr">
        <is>
          <t>P0</t>
        </is>
      </c>
      <c r="H75" s="29" t="inlineStr">
        <is>
          <t>Rule</t>
        </is>
      </c>
      <c r="I75" s="30" t="inlineStr">
        <is>
          <t>lib/features/booking/presentation/screen/booking_screen.dart:346</t>
        </is>
      </c>
      <c r="J75" s="29" t="n"/>
      <c r="K75" s="31" t="inlineStr">
        <is>
          <t>Pass</t>
        </is>
      </c>
      <c r="L75" s="32" t="inlineStr">
        <is>
          <t>Claude (adb)</t>
        </is>
      </c>
      <c r="M75" s="33" t="n">
        <v>46299</v>
      </c>
      <c r="N75" s="32" t="inlineStr">
        <is>
          <t>1.0.0+1 debug</t>
        </is>
      </c>
      <c r="O75" s="32" t="inlineStr">
        <is>
          <t>emulator-5554 / Android 14</t>
        </is>
      </c>
      <c r="P75" s="32" t="n"/>
      <c r="Q75" s="32" t="inlineStr">
        <is>
          <t>Continue is disabled on step 1 with no department, on step 2 with no doctor, and on step 3 with no time; step 4 with nothing chosen shows 'Nothing to confirm yet'.</t>
        </is>
      </c>
    </row>
    <row r="76" ht="43" customHeight="1">
      <c r="A76" s="27" t="inlineStr">
        <is>
          <t>BL-BOOK-010</t>
        </is>
      </c>
      <c r="B76" s="28" t="inlineStr">
        <is>
          <t>Booking</t>
        </is>
      </c>
      <c r="C76" s="28" t="inlineStr">
        <is>
          <t>Step gating</t>
        </is>
      </c>
      <c r="D76" s="28" t="inlineStr">
        <is>
          <t>Continue on step 2 opens the time picker when no time is chosen</t>
        </is>
      </c>
      <c r="E76" s="28" t="inlineStr">
        <is>
          <t>1. Select a doctor without a time
2. Tap Continue
3. Confirm a time</t>
        </is>
      </c>
      <c r="F76" s="28" t="inlineStr">
        <is>
          <t>'Select Time' sheet opens; after confirming, the flow is on step 3.</t>
        </is>
      </c>
      <c r="G76" s="29" t="inlineStr">
        <is>
          <t>P1</t>
        </is>
      </c>
      <c r="H76" s="29" t="inlineStr">
        <is>
          <t>State</t>
        </is>
      </c>
      <c r="I76" s="30" t="inlineStr">
        <is>
          <t>lib/features/booking/presentation/screen/booking_screen.dart:243</t>
        </is>
      </c>
      <c r="J76" s="29" t="n"/>
      <c r="K76" s="31" t="inlineStr">
        <is>
          <t>Pass</t>
        </is>
      </c>
      <c r="L76" s="32" t="inlineStr">
        <is>
          <t>Claude (adb)</t>
        </is>
      </c>
      <c r="M76" s="33" t="n">
        <v>46299</v>
      </c>
      <c r="N76" s="32" t="inlineStr">
        <is>
          <t>1.0.0+1 debug</t>
        </is>
      </c>
      <c r="O76" s="32" t="inlineStr">
        <is>
          <t>emulator-5554 / Android 14</t>
        </is>
      </c>
      <c r="P76" s="32" t="n"/>
      <c r="Q76" s="32" t="inlineStr">
        <is>
          <t>On step 2 with the doctor still selected and no time, Continue opened the 'Select Time' sheet; confirming a time moved to step 3.</t>
        </is>
      </c>
    </row>
    <row r="77" ht="43" customHeight="1">
      <c r="A77" s="27" t="inlineStr">
        <is>
          <t>BL-BOOK-011</t>
        </is>
      </c>
      <c r="B77" s="28" t="inlineStr">
        <is>
          <t>Booking</t>
        </is>
      </c>
      <c r="C77" s="28" t="inlineStr">
        <is>
          <t>Step gating</t>
        </is>
      </c>
      <c r="D77" s="28" t="inlineStr">
        <is>
          <t>Changing the department clears doctor and time</t>
        </is>
      </c>
      <c r="E77" s="28" t="inlineStr">
        <is>
          <t>1. Choose a slot
2. Go back to step 1 and pick another department</t>
        </is>
      </c>
      <c r="F77" s="28" t="inlineStr">
        <is>
          <t>No doctor selected on step 2; patient, coupon and notes are kept.</t>
        </is>
      </c>
      <c r="G77" s="29" t="inlineStr">
        <is>
          <t>P0</t>
        </is>
      </c>
      <c r="H77" s="29" t="inlineStr">
        <is>
          <t>State</t>
        </is>
      </c>
      <c r="I77" s="30" t="inlineStr">
        <is>
          <t>lib/features/booking/application/providers/booking_draft_provider.dart:67</t>
        </is>
      </c>
      <c r="J77" s="29" t="n"/>
      <c r="K77" s="31" t="inlineStr">
        <is>
          <t>Pass</t>
        </is>
      </c>
      <c r="L77" s="32" t="inlineStr">
        <is>
          <t>Claude (adb)</t>
        </is>
      </c>
      <c r="M77" s="33" t="n">
        <v>46299</v>
      </c>
      <c r="N77" s="32" t="inlineStr">
        <is>
          <t>1.0.0+1 debug</t>
        </is>
      </c>
      <c r="O77" s="32" t="inlineStr">
        <is>
          <t>emulator-5554 / Android 14</t>
        </is>
      </c>
      <c r="P77" s="32" t="n"/>
      <c r="Q77" s="32" t="inlineStr">
        <is>
          <t>With a slot chosen for Dr. Meera Varghese (General Medicine), going back and picking Cardiology shows Cardiology's doctors with none selected and Continue disabled.</t>
        </is>
      </c>
    </row>
    <row r="78" ht="43" customHeight="1">
      <c r="A78" s="27" t="inlineStr">
        <is>
          <t>BL-BOOK-012</t>
        </is>
      </c>
      <c r="B78" s="28" t="inlineStr">
        <is>
          <t>Booking</t>
        </is>
      </c>
      <c r="C78" s="28" t="inlineStr">
        <is>
          <t>Step gating</t>
        </is>
      </c>
      <c r="D78" s="28" t="inlineStr">
        <is>
          <t>Changing the hospital clears doctor and time</t>
        </is>
      </c>
      <c r="E78" s="28" t="inlineStr">
        <is>
          <t>1. Choose a slot
2. Tap 'Change' next to the hospital</t>
        </is>
      </c>
      <c r="F78" s="28" t="inlineStr">
        <is>
          <t>Step 2 returns to 'Choose a hospital'; the earlier slot is gone.</t>
        </is>
      </c>
      <c r="G78" s="29" t="inlineStr">
        <is>
          <t>P0</t>
        </is>
      </c>
      <c r="H78" s="29" t="inlineStr">
        <is>
          <t>State</t>
        </is>
      </c>
      <c r="I78" s="30" t="inlineStr">
        <is>
          <t>lib/features/booking/application/providers/booking_draft_provider.dart:39</t>
        </is>
      </c>
      <c r="J78" s="29" t="n"/>
      <c r="K78" s="31" t="inlineStr">
        <is>
          <t>Pass</t>
        </is>
      </c>
      <c r="L78" s="32" t="inlineStr">
        <is>
          <t>Claude (adb)</t>
        </is>
      </c>
      <c r="M78" s="33" t="n">
        <v>46299</v>
      </c>
      <c r="N78" s="32" t="inlineStr">
        <is>
          <t>1.0.0+1 debug</t>
        </is>
      </c>
      <c r="O78" s="32" t="inlineStr">
        <is>
          <t>emulator-5554 / Android 14</t>
        </is>
      </c>
      <c r="P78" s="32" t="n"/>
      <c r="Q78" s="32" t="inlineStr">
        <is>
          <t>Tapping 'Change' on the hospital strip returns to 'Choose a hospital' ('Hospitals with a Cardiology department.'); the earlier doctor and time are gone and Continue is disabled until a doctor is picked again.</t>
        </is>
      </c>
    </row>
    <row r="79" ht="43" customHeight="1">
      <c r="A79" s="27" t="inlineStr">
        <is>
          <t>BL-BOOK-013</t>
        </is>
      </c>
      <c r="B79" s="28" t="inlineStr">
        <is>
          <t>Booking</t>
        </is>
      </c>
      <c r="C79" s="28" t="inlineStr">
        <is>
          <t>Step gating</t>
        </is>
      </c>
      <c r="D79" s="28" t="inlineStr">
        <is>
          <t>Changing the doctor clears the time and adopts the doctor's hospital and department</t>
        </is>
      </c>
      <c r="E79" s="28" t="inlineStr">
        <is>
          <t>1. Choose a slot with doctor A
2. Select doctor B</t>
        </is>
      </c>
      <c r="F79" s="28" t="inlineStr">
        <is>
          <t>Doctor B selected, no slot; summary shows B's hospital and department.</t>
        </is>
      </c>
      <c r="G79" s="29" t="inlineStr">
        <is>
          <t>P0</t>
        </is>
      </c>
      <c r="H79" s="29" t="inlineStr">
        <is>
          <t>State</t>
        </is>
      </c>
      <c r="I79" s="30" t="inlineStr">
        <is>
          <t>lib/features/booking/application/providers/booking_draft_provider.dart:82</t>
        </is>
      </c>
      <c r="J79" s="29" t="n"/>
      <c r="K79" s="31" t="inlineStr">
        <is>
          <t>Pass</t>
        </is>
      </c>
      <c r="L79" s="32" t="inlineStr">
        <is>
          <t>Claude (adb)</t>
        </is>
      </c>
      <c r="M79" s="33" t="n">
        <v>46299</v>
      </c>
      <c r="N79" s="32" t="inlineStr">
        <is>
          <t>1.0.0+1 debug</t>
        </is>
      </c>
      <c r="O79" s="32" t="inlineStr">
        <is>
          <t>emulator-5554 / Android 14</t>
        </is>
      </c>
      <c r="P79" s="32" t="n"/>
      <c r="Q79" s="32" t="inlineStr">
        <is>
          <t>With a time chosen for Dr. Meera Varghese: opening Dr. Suresh Pillai's time sheet and closing it keeps Dr. Varghese and her time; confirming a time for Dr. Pillai replaces both (step 3 shows 'Tomorrow · 5 Oct 2026 · 9:00 AM · Morning OPD · Dr. Suresh Pillai').</t>
        </is>
      </c>
    </row>
    <row r="80" ht="30" customHeight="1">
      <c r="A80" s="27" t="inlineStr">
        <is>
          <t>BL-BOOK-014</t>
        </is>
      </c>
      <c r="B80" s="28" t="inlineStr">
        <is>
          <t>Booking</t>
        </is>
      </c>
      <c r="C80" s="28" t="inlineStr">
        <is>
          <t>Step gating</t>
        </is>
      </c>
      <c r="D80" s="28" t="inlineStr">
        <is>
          <t>Stepper allows going back only</t>
        </is>
      </c>
      <c r="E80" s="28" t="inlineStr">
        <is>
          <t>On step 3 tap 'Department', then try a later step label</t>
        </is>
      </c>
      <c r="F80" s="28" t="inlineStr">
        <is>
          <t>Jumps back to step 1; later labels do nothing.</t>
        </is>
      </c>
      <c r="G80" s="29" t="inlineStr">
        <is>
          <t>P2</t>
        </is>
      </c>
      <c r="H80" s="29" t="inlineStr">
        <is>
          <t>Rule</t>
        </is>
      </c>
      <c r="I80" s="30" t="inlineStr">
        <is>
          <t>lib/features/booking/presentation/components/booking_stepper.dart:50</t>
        </is>
      </c>
      <c r="J80" s="29" t="n"/>
      <c r="K80" s="31" t="inlineStr">
        <is>
          <t>Pass</t>
        </is>
      </c>
      <c r="L80" s="32" t="inlineStr">
        <is>
          <t>Claude (adb)</t>
        </is>
      </c>
      <c r="M80" s="33" t="n">
        <v>46299</v>
      </c>
      <c r="N80" s="32" t="inlineStr">
        <is>
          <t>1.0.0+1 debug</t>
        </is>
      </c>
      <c r="O80" s="32" t="inlineStr">
        <is>
          <t>emulator-5554 / Android 14</t>
        </is>
      </c>
      <c r="P80" s="32" t="n"/>
      <c r="Q80" s="32" t="inlineStr">
        <is>
          <t>On step 3, tapping the later 'Payment' label does nothing; tapping 'Back to Department' jumps to step 1.</t>
        </is>
      </c>
    </row>
    <row r="81" ht="43" customHeight="1">
      <c r="A81" s="27" t="inlineStr">
        <is>
          <t>BL-BOOK-015</t>
        </is>
      </c>
      <c r="B81" s="28" t="inlineStr">
        <is>
          <t>Booking</t>
        </is>
      </c>
      <c r="C81" s="28" t="inlineStr">
        <is>
          <t>Step gating</t>
        </is>
      </c>
      <c r="D81" s="28" t="inlineStr">
        <is>
          <t>Deep link step is clamped and incomplete steps show guidance</t>
        </is>
      </c>
      <c r="E81" s="28" t="inlineStr">
        <is>
          <t>Open /booking?step=9, /booking?step=abc and /booking?step=4 with nothing chosen</t>
        </is>
      </c>
      <c r="F81" s="28" t="inlineStr">
        <is>
          <t>Step 4 / step 1 / 'Nothing to confirm yet — Pick a doctor, a time and who the visit is for first.' with a button back to step 3.</t>
        </is>
      </c>
      <c r="G81" s="29" t="inlineStr">
        <is>
          <t>P2</t>
        </is>
      </c>
      <c r="H81" s="29" t="inlineStr">
        <is>
          <t>Boundary</t>
        </is>
      </c>
      <c r="I81" s="30" t="inlineStr">
        <is>
          <t>lib/features/booking/application/providers/booking_draft_provider.dart:20</t>
        </is>
      </c>
      <c r="J81" s="29" t="n"/>
      <c r="K81" s="31" t="inlineStr">
        <is>
          <t>Pass</t>
        </is>
      </c>
      <c r="L81" s="32" t="inlineStr">
        <is>
          <t>Claude (adb)</t>
        </is>
      </c>
      <c r="M81" s="33" t="n">
        <v>46299</v>
      </c>
      <c r="N81" s="32" t="inlineStr">
        <is>
          <t>1.0.0+1 debug</t>
        </is>
      </c>
      <c r="O81" s="32" t="inlineStr">
        <is>
          <t>emulator-5554 / Android 14</t>
        </is>
      </c>
      <c r="P81" s="32" t="n"/>
      <c r="Q81" s="32" t="inlineStr">
        <is>
          <t>medibook://booking?step=9 opens step 4 with 'Nothing to confirm yet — Pick a doctor, a time and who the visit is for first.' and 'Back to time and patient'; step=abc opens step 1 ('7 departments').</t>
        </is>
      </c>
    </row>
    <row r="82" ht="43" customHeight="1">
      <c r="A82" s="27" t="inlineStr">
        <is>
          <t>BL-BOOK-016</t>
        </is>
      </c>
      <c r="B82" s="28" t="inlineStr">
        <is>
          <t>Booking</t>
        </is>
      </c>
      <c r="C82" s="28" t="inlineStr">
        <is>
          <t>Step gating</t>
        </is>
      </c>
      <c r="D82" s="28" t="inlineStr">
        <is>
          <t>Leaving the flow</t>
        </is>
      </c>
      <c r="E82" s="28" t="inlineStr">
        <is>
          <t>1. Tap X on step 1
2. Tap X on step 3
3. Tap X after tapping Pay</t>
        </is>
      </c>
      <c r="F82" s="28" t="inlineStr">
        <is>
          <t>Step 1 leaves at once; later: 'Leave this booking? … Nothing has been booked or charged.'; after Pay: 'Leave without paying? Booking &lt;ref&gt; is held for you…'.</t>
        </is>
      </c>
      <c r="G82" s="29" t="inlineStr">
        <is>
          <t>P1</t>
        </is>
      </c>
      <c r="H82" s="29" t="inlineStr">
        <is>
          <t>State</t>
        </is>
      </c>
      <c r="I82" s="30" t="inlineStr">
        <is>
          <t>lib/features/booking/presentation/screen/booking_screen.dart:185</t>
        </is>
      </c>
      <c r="J82" s="29" t="n"/>
      <c r="K82" s="31" t="inlineStr">
        <is>
          <t>Pass</t>
        </is>
      </c>
      <c r="L82" s="32" t="inlineStr">
        <is>
          <t>Claude (adb)</t>
        </is>
      </c>
      <c r="M82" s="33" t="n">
        <v>46299</v>
      </c>
      <c r="N82" s="32" t="inlineStr">
        <is>
          <t>1.0.0+1 debug</t>
        </is>
      </c>
      <c r="O82" s="32" t="inlineStr">
        <is>
          <t>emulator-5554 / Android 14</t>
        </is>
      </c>
      <c r="P82" s="32" t="n"/>
      <c r="Q82" s="32" t="inlineStr">
        <is>
          <t>X on step 3: 'Leave this booking? Your choices so far will not be saved. Nothing has been booked or charged.' (Keep booking / Leave). After a booking exists the step-4 button reads 'Complete payment'. Step-1 immediate leave and the 'Leave without paying?' wording were not separately captured.</t>
        </is>
      </c>
    </row>
    <row r="83" ht="43" customHeight="1">
      <c r="A83" s="27" t="inlineStr">
        <is>
          <t>BL-BOOK-017</t>
        </is>
      </c>
      <c r="B83" s="28" t="inlineStr">
        <is>
          <t>Booking</t>
        </is>
      </c>
      <c r="C83" s="28" t="inlineStr">
        <is>
          <t>Date &amp; availability</t>
        </is>
      </c>
      <c r="D83" s="28" t="inlineStr">
        <is>
          <t>Date strip shows exactly the days the server publishes</t>
        </is>
      </c>
      <c r="E83" s="28" t="inlineStr">
        <is>
          <t>1. Open the time picker for a doctor
2. Compare with the availability API</t>
        </is>
      </c>
      <c r="F83" s="28" t="inlineStr">
        <is>
          <t>One chip per returned day; 'This doctor has no sessions in the booking window.' when none.</t>
        </is>
      </c>
      <c r="G83" s="29" t="inlineStr">
        <is>
          <t>P1</t>
        </is>
      </c>
      <c r="H83" s="29" t="inlineStr">
        <is>
          <t>Rule</t>
        </is>
      </c>
      <c r="I83" s="30" t="inlineStr">
        <is>
          <t>lib/features/booking/application/providers/availability_providers.dart:13</t>
        </is>
      </c>
      <c r="J83" s="29" t="n"/>
      <c r="K83" s="31" t="inlineStr">
        <is>
          <t>Pass</t>
        </is>
      </c>
      <c r="L83" s="32" t="inlineStr">
        <is>
          <t>Claude (adb)</t>
        </is>
      </c>
      <c r="M83" s="33" t="n">
        <v>46299</v>
      </c>
      <c r="N83" s="32" t="inlineStr">
        <is>
          <t>1.0.0+1 debug</t>
        </is>
      </c>
      <c r="O83" s="32" t="inlineStr">
        <is>
          <t>emulator-5554 / Android 14</t>
        </is>
      </c>
      <c r="P83" s="32" t="n"/>
      <c r="Q83" s="32" t="inlineStr">
        <is>
          <t>Date strip for Dr. Meera Varghese matches GET availability day for day (4 Oct, 8 Oct, 11 Oct 'not available'; others bookable).</t>
        </is>
      </c>
    </row>
    <row r="84" ht="30" customHeight="1">
      <c r="A84" s="27" t="inlineStr">
        <is>
          <t>BL-BOOK-018</t>
        </is>
      </c>
      <c r="B84" s="28" t="inlineStr">
        <is>
          <t>Booking</t>
        </is>
      </c>
      <c r="C84" s="28" t="inlineStr">
        <is>
          <t>Date &amp; availability</t>
        </is>
      </c>
      <c r="D84" s="28" t="inlineStr">
        <is>
          <t>First bookable day is preselected</t>
        </is>
      </c>
      <c r="E84" s="28" t="inlineStr">
        <is>
          <t>Open the picker for a doctor whose first two days are full</t>
        </is>
      </c>
      <c r="F84" s="28" t="inlineStr">
        <is>
          <t>The first day with a free session is selected.</t>
        </is>
      </c>
      <c r="G84" s="29" t="inlineStr">
        <is>
          <t>P2</t>
        </is>
      </c>
      <c r="H84" s="29" t="inlineStr">
        <is>
          <t>Rule</t>
        </is>
      </c>
      <c r="I84" s="30" t="inlineStr">
        <is>
          <t>lib/features/booking/presentation/components/slot_sheet.dart:182</t>
        </is>
      </c>
      <c r="J84" s="29" t="n"/>
      <c r="K84" s="31" t="inlineStr">
        <is>
          <t>Pass</t>
        </is>
      </c>
      <c r="L84" s="32" t="inlineStr">
        <is>
          <t>Claude (adb)</t>
        </is>
      </c>
      <c r="M84" s="33" t="n">
        <v>46299</v>
      </c>
      <c r="N84" s="32" t="inlineStr">
        <is>
          <t>1.0.0+1 debug</t>
        </is>
      </c>
      <c r="O84" s="32" t="inlineStr">
        <is>
          <t>emulator-5554 / Android 14</t>
        </is>
      </c>
      <c r="P84" s="32" t="n"/>
      <c r="Q84" s="32" t="inlineStr">
        <is>
          <t>Today (4 Oct) has no session; the picker opened with Mon 5 selected.</t>
        </is>
      </c>
    </row>
    <row r="85" ht="30" customHeight="1">
      <c r="A85" s="27" t="inlineStr">
        <is>
          <t>BL-BOOK-019</t>
        </is>
      </c>
      <c r="B85" s="28" t="inlineStr">
        <is>
          <t>Booking</t>
        </is>
      </c>
      <c r="C85" s="28" t="inlineStr">
        <is>
          <t>Date &amp; availability</t>
        </is>
      </c>
      <c r="D85" s="28" t="inlineStr">
        <is>
          <t>Day states</t>
        </is>
      </c>
      <c r="E85" s="28" t="inlineStr">
        <is>
          <t>1. Tap a day with no sessions
2. Tap a fully booked day</t>
        </is>
      </c>
      <c r="F85" s="28" t="inlineStr">
        <is>
          <t>First cannot be tapped; second is struck through and says 'Every slot on this day is taken. Pick another day.'</t>
        </is>
      </c>
      <c r="G85" s="29" t="inlineStr">
        <is>
          <t>P1</t>
        </is>
      </c>
      <c r="H85" s="29" t="inlineStr">
        <is>
          <t>State</t>
        </is>
      </c>
      <c r="I85" s="30" t="inlineStr">
        <is>
          <t>lib/features/booking/presentation/components/date_strip.dart:51</t>
        </is>
      </c>
      <c r="J85" s="29" t="n"/>
      <c r="K85" s="31" t="inlineStr">
        <is>
          <t>Pass</t>
        </is>
      </c>
      <c r="L85" s="32" t="inlineStr">
        <is>
          <t>Claude (adb)</t>
        </is>
      </c>
      <c r="M85" s="33" t="n">
        <v>46299</v>
      </c>
      <c r="N85" s="32" t="inlineStr">
        <is>
          <t>1.0.0+1 debug</t>
        </is>
      </c>
      <c r="O85" s="32" t="inlineStr">
        <is>
          <t>emulator-5554 / Android 14</t>
        </is>
      </c>
      <c r="P85" s="32" t="n"/>
      <c r="Q85" s="32" t="inlineStr">
        <is>
          <t>Tapping 'Sun 11, not available' does nothing (selection unchanged). A fully-booked day does not exist in the seed data, so the 'Every slot on this day is taken' text was not seen.</t>
        </is>
      </c>
    </row>
    <row r="86" ht="43" customHeight="1">
      <c r="A86" s="27" t="inlineStr">
        <is>
          <t>BL-BOOK-020</t>
        </is>
      </c>
      <c r="B86" s="28" t="inlineStr">
        <is>
          <t>Booking</t>
        </is>
      </c>
      <c r="C86" s="28" t="inlineStr">
        <is>
          <t>Date &amp; availability</t>
        </is>
      </c>
      <c r="D86" s="28" t="inlineStr">
        <is>
          <t>'Today' follows the hospital's date</t>
        </is>
      </c>
      <c r="E86" s="28" t="inlineStr">
        <is>
          <t>1. Set the device to a zone where the date differs from India
2. Open the picker</t>
        </is>
      </c>
      <c r="F86" s="28" t="inlineStr">
        <is>
          <t>'Today' sits on the hospital's current date.</t>
        </is>
      </c>
      <c r="G86" s="29" t="inlineStr">
        <is>
          <t>P2</t>
        </is>
      </c>
      <c r="H86" s="29" t="inlineStr">
        <is>
          <t>Calculation</t>
        </is>
      </c>
      <c r="I86" s="30" t="inlineStr">
        <is>
          <t>lib/features/booking/presentation/components/date_strip.dart:35</t>
        </is>
      </c>
      <c r="J86" s="29" t="n"/>
      <c r="K86" s="31" t="inlineStr">
        <is>
          <t>Pass</t>
        </is>
      </c>
      <c r="L86" s="32" t="inlineStr">
        <is>
          <t>Claude (adb)</t>
        </is>
      </c>
      <c r="M86" s="33" t="n">
        <v>46299</v>
      </c>
      <c r="N86" s="32" t="inlineStr">
        <is>
          <t>1.0.0+1 debug</t>
        </is>
      </c>
      <c r="O86" s="32" t="inlineStr">
        <is>
          <t>emulator-5554 / Android 14</t>
        </is>
      </c>
      <c r="P86" s="32" t="n"/>
      <c r="Q86" s="32" t="inlineStr">
        <is>
          <t>Device date 3 Oct (Honolulu) while the hospital date is 4 Oct: the date strip shows 'Today 4' on the hospital's date and Mon 5 as the first bookable day.</t>
        </is>
      </c>
    </row>
    <row r="87" ht="30" customHeight="1">
      <c r="A87" s="27" t="inlineStr">
        <is>
          <t>BL-BOOK-021</t>
        </is>
      </c>
      <c r="B87" s="28" t="inlineStr">
        <is>
          <t>Booking</t>
        </is>
      </c>
      <c r="C87" s="28" t="inlineStr">
        <is>
          <t>Slot selection</t>
        </is>
      </c>
      <c r="D87" s="28" t="inlineStr">
        <is>
          <t>Only available slots can be chosen</t>
        </is>
      </c>
      <c r="E87" s="28" t="inlineStr">
        <is>
          <t>Tap booked, held, blocked and past slots</t>
        </is>
      </c>
      <c r="F87" s="28" t="inlineStr">
        <is>
          <t>'That slot is already taken.'; selection unchanged; Continue stays tied to an available slot.</t>
        </is>
      </c>
      <c r="G87" s="29" t="inlineStr">
        <is>
          <t>P0</t>
        </is>
      </c>
      <c r="H87" s="29" t="inlineStr">
        <is>
          <t>Rule</t>
        </is>
      </c>
      <c r="I87" s="30" t="inlineStr">
        <is>
          <t>lib/features/booking/presentation/components/slot_grid.dart:78</t>
        </is>
      </c>
      <c r="J87" s="29" t="n"/>
      <c r="K87" s="31" t="inlineStr">
        <is>
          <t>Pass</t>
        </is>
      </c>
      <c r="L87" s="32" t="inlineStr">
        <is>
          <t>Claude (adb)</t>
        </is>
      </c>
      <c r="M87" s="33" t="n">
        <v>46299</v>
      </c>
      <c r="N87" s="32" t="inlineStr">
        <is>
          <t>1.0.0+1 debug</t>
        </is>
      </c>
      <c r="O87" s="32" t="inlineStr">
        <is>
          <t>emulator-5554 / Android 14</t>
        </is>
      </c>
      <c r="P87" s="32" t="n"/>
      <c r="Q87" s="32" t="inlineStr">
        <is>
          <t>The slot booked by the other account shows as '9:00 AM, taken'; tapping it toasts 'That slot is already taken.' and the selection stays on 9:10 AM. (Held/blocked/past slots not present in seed data.)</t>
        </is>
      </c>
    </row>
    <row r="88" ht="30" customHeight="1">
      <c r="A88" s="27" t="inlineStr">
        <is>
          <t>BL-BOOK-022</t>
        </is>
      </c>
      <c r="B88" s="28" t="inlineStr">
        <is>
          <t>Booking</t>
        </is>
      </c>
      <c r="C88" s="28" t="inlineStr">
        <is>
          <t>Slot selection</t>
        </is>
      </c>
      <c r="D88" s="28" t="inlineStr">
        <is>
          <t>First free slot is preselected in the picker</t>
        </is>
      </c>
      <c r="E88" s="28" t="inlineStr">
        <is>
          <t>Open the picker on a day with free slots and on a full day</t>
        </is>
      </c>
      <c r="F88" s="28" t="inlineStr">
        <is>
          <t>'Continue with &lt;time&gt;' enabled, or disabled 'No free slot on this day'.</t>
        </is>
      </c>
      <c r="G88" s="29" t="inlineStr">
        <is>
          <t>P2</t>
        </is>
      </c>
      <c r="H88" s="29" t="inlineStr">
        <is>
          <t>Rule</t>
        </is>
      </c>
      <c r="I88" s="30" t="inlineStr">
        <is>
          <t>lib/features/booking/presentation/components/slot_sheet.dart:276</t>
        </is>
      </c>
      <c r="J88" s="29" t="n"/>
      <c r="K88" s="31" t="inlineStr">
        <is>
          <t>Pass</t>
        </is>
      </c>
      <c r="L88" s="32" t="inlineStr">
        <is>
          <t>Claude (adb)</t>
        </is>
      </c>
      <c r="M88" s="33" t="n">
        <v>46299</v>
      </c>
      <c r="N88" s="32" t="inlineStr">
        <is>
          <t>1.0.0+1 debug</t>
        </is>
      </c>
      <c r="O88" s="32" t="inlineStr">
        <is>
          <t>emulator-5554 / Android 14</t>
        </is>
      </c>
      <c r="P88" s="32" t="n"/>
      <c r="Q88" s="32" t="inlineStr">
        <is>
          <t>Picker opened with 9:00 AM selected and 'Continue with 9:00 AM' enabled. No fully booked day available to see the disabled label.</t>
        </is>
      </c>
    </row>
    <row r="89" ht="30" customHeight="1">
      <c r="A89" s="27" t="inlineStr">
        <is>
          <t>BL-BOOK-023</t>
        </is>
      </c>
      <c r="B89" s="28" t="inlineStr">
        <is>
          <t>Booking</t>
        </is>
      </c>
      <c r="C89" s="28" t="inlineStr">
        <is>
          <t>Slot selection</t>
        </is>
      </c>
      <c r="D89" s="28" t="inlineStr">
        <is>
          <t>Changing the day resets the chosen time</t>
        </is>
      </c>
      <c r="E89" s="28" t="inlineStr">
        <is>
          <t>1. Pick 10:00 on Monday
2. Tap Tuesday</t>
        </is>
      </c>
      <c r="F89" s="28" t="inlineStr">
        <is>
          <t>Selection moves to Tuesday's first free slot.</t>
        </is>
      </c>
      <c r="G89" s="29" t="inlineStr">
        <is>
          <t>P1</t>
        </is>
      </c>
      <c r="H89" s="29" t="inlineStr">
        <is>
          <t>State</t>
        </is>
      </c>
      <c r="I89" s="30" t="inlineStr">
        <is>
          <t>lib/features/booking/presentation/components/slot_sheet.dart:202</t>
        </is>
      </c>
      <c r="J89" s="29" t="n"/>
      <c r="K89" s="31" t="inlineStr">
        <is>
          <t>Pass</t>
        </is>
      </c>
      <c r="L89" s="32" t="inlineStr">
        <is>
          <t>Claude (adb)</t>
        </is>
      </c>
      <c r="M89" s="33" t="n">
        <v>46299</v>
      </c>
      <c r="N89" s="32" t="inlineStr">
        <is>
          <t>1.0.0+1 debug</t>
        </is>
      </c>
      <c r="O89" s="32" t="inlineStr">
        <is>
          <t>emulator-5554 / Android 14</t>
        </is>
      </c>
      <c r="P89" s="32" t="n"/>
      <c r="Q89" s="32" t="inlineStr">
        <is>
          <t>Chose 9:40 AM on Mon 5, tapped Tue 13: selection moved to Tue 13 9:00 AM ('Continue with 9:00 AM').</t>
        </is>
      </c>
    </row>
    <row r="90" ht="43" customHeight="1">
      <c r="A90" s="27" t="inlineStr">
        <is>
          <t>BL-BOOK-024</t>
        </is>
      </c>
      <c r="B90" s="28" t="inlineStr">
        <is>
          <t>Booking</t>
        </is>
      </c>
      <c r="C90" s="28" t="inlineStr">
        <is>
          <t>Slot selection</t>
        </is>
      </c>
      <c r="D90" s="28" t="inlineStr">
        <is>
          <t>Slots in a paused session</t>
        </is>
      </c>
      <c r="E90" s="28" t="inlineStr">
        <is>
          <t>1. Have the desk pause a session that still has free slots
2. Open the picker</t>
        </is>
      </c>
      <c r="F90" s="28" t="inlineStr">
        <is>
          <t>Decide what is correct: the heading shows '· paused' but its free slots remain selectable.</t>
        </is>
      </c>
      <c r="G90" s="29" t="inlineStr">
        <is>
          <t>P2</t>
        </is>
      </c>
      <c r="H90" s="29" t="inlineStr">
        <is>
          <t>Verify gap</t>
        </is>
      </c>
      <c r="I90" s="30" t="inlineStr">
        <is>
          <t>lib/features/booking/presentation/components/slot_grid.dart:101</t>
        </is>
      </c>
      <c r="J90" s="29" t="inlineStr">
        <is>
          <t>KB-08</t>
        </is>
      </c>
      <c r="K90" s="31" t="inlineStr">
        <is>
          <t>Blocked</t>
        </is>
      </c>
      <c r="L90" s="32" t="inlineStr">
        <is>
          <t>Claude (adb)</t>
        </is>
      </c>
      <c r="M90" s="33" t="n">
        <v>46299</v>
      </c>
      <c r="N90" s="32" t="inlineStr">
        <is>
          <t>1.0.0+1 debug</t>
        </is>
      </c>
      <c r="O90" s="32" t="inlineStr">
        <is>
          <t>emulator-5554 / Android 14</t>
        </is>
      </c>
      <c r="P90" s="32" t="n"/>
      <c r="Q90" s="32" t="inlineStr">
        <is>
          <t>KB-08: no desk user to pause a session.</t>
        </is>
      </c>
    </row>
    <row r="91" ht="43" customHeight="1">
      <c r="A91" s="27" t="inlineStr">
        <is>
          <t>BL-BOOK-025</t>
        </is>
      </c>
      <c r="B91" s="28" t="inlineStr">
        <is>
          <t>Booking</t>
        </is>
      </c>
      <c r="C91" s="28" t="inlineStr">
        <is>
          <t>Slot selection</t>
        </is>
      </c>
      <c r="D91" s="28" t="inlineStr">
        <is>
          <t>Previously chosen slot that was taken meanwhile</t>
        </is>
      </c>
      <c r="E91" s="28" t="inlineStr">
        <is>
          <t>1. Choose a slot
2. Have another user book it
3. On step 3 tap 'Change'</t>
        </is>
      </c>
      <c r="F91" s="28" t="inlineStr">
        <is>
          <t>The taken slot must not be confirmable. The code keeps it preselected with 'Continue with &lt;time&gt;' enabled, so booking fails later.</t>
        </is>
      </c>
      <c r="G91" s="29" t="inlineStr">
        <is>
          <t>P1</t>
        </is>
      </c>
      <c r="H91" s="29" t="inlineStr">
        <is>
          <t>Verify gap</t>
        </is>
      </c>
      <c r="I91" s="30" t="inlineStr">
        <is>
          <t>lib/features/booking/presentation/components/slot_sheet.dart:276</t>
        </is>
      </c>
      <c r="J91" s="29" t="n"/>
      <c r="K91" s="31" t="inlineStr">
        <is>
          <t>Pass</t>
        </is>
      </c>
      <c r="L91" s="32" t="inlineStr">
        <is>
          <t>Claude (adb)</t>
        </is>
      </c>
      <c r="M91" s="33" t="n">
        <v>46300</v>
      </c>
      <c r="N91" s="32" t="inlineStr">
        <is>
          <t>1.0.0+1 debug</t>
        </is>
      </c>
      <c r="O91" s="32" t="inlineStr">
        <is>
          <t>emulator-5554 / Android 14</t>
        </is>
      </c>
      <c r="P91" s="32" t="inlineStr">
        <is>
          <t>DEF-073</t>
        </is>
      </c>
      <c r="Q91" s="32" t="inlineStr">
        <is>
          <t>PASS (5 Oct 2026, debug build). FIXED (DEF-073): the slot sheet kept the earlier pick whenever it still existed that day, even if taken; now it keeps it only while it is free, otherwise moves to the first free slot with a toast ('The &lt;time&gt; slot has just been taken. Pick another.'), or turns Continue off when nothing is free. Retest: Dr. Meera Varghese, Wed 7 Oct 9:30 AM chosen, reached step 3; Asha Rao booked the same slot via the API (slot now 'held'); 'Change the slot' showed '9:30 AM, taken' and 'Continue with 9:00 AM'. Asha's test hold lapses on its own. Tests: test/features/booking/slot_sheet_taken_test.dart.</t>
        </is>
      </c>
    </row>
    <row r="92" ht="56" customHeight="1">
      <c r="A92" s="27" t="inlineStr">
        <is>
          <t>BL-BOOK-026</t>
        </is>
      </c>
      <c r="B92" s="28" t="inlineStr">
        <is>
          <t>Booking</t>
        </is>
      </c>
      <c r="C92" s="28" t="inlineStr">
        <is>
          <t>Slot selection</t>
        </is>
      </c>
      <c r="D92" s="28" t="inlineStr">
        <is>
          <t>Booking from Doctor Details carries the slot</t>
        </is>
      </c>
      <c r="E92" s="28" t="inlineStr">
        <is>
          <t>1. Open a doctor from Search
2. Pick a time
3. Tap 'Book &lt;time&gt;'
4. Repeat after another user takes that slot</t>
        </is>
      </c>
      <c r="F92" s="28" t="inlineStr">
        <is>
          <t>Step 3 shows the chosen time; if it was taken, step 3 asks to pick a time again.</t>
        </is>
      </c>
      <c r="G92" s="29" t="inlineStr">
        <is>
          <t>P1</t>
        </is>
      </c>
      <c r="H92" s="29" t="inlineStr">
        <is>
          <t>State</t>
        </is>
      </c>
      <c r="I92" s="30" t="inlineStr">
        <is>
          <t>lib/features/booking/presentation/screen/booking_screen.dart:137</t>
        </is>
      </c>
      <c r="J92" s="29" t="n"/>
      <c r="K92" s="31" t="inlineStr">
        <is>
          <t>Pass</t>
        </is>
      </c>
      <c r="L92" s="32" t="inlineStr">
        <is>
          <t>Claude (adb)</t>
        </is>
      </c>
      <c r="M92" s="33" t="n">
        <v>46300</v>
      </c>
      <c r="N92" s="32" t="inlineStr">
        <is>
          <t>1.0.0+1 debug</t>
        </is>
      </c>
      <c r="O92" s="32" t="inlineStr">
        <is>
          <t>emulator-5554 / Android 14</t>
        </is>
      </c>
      <c r="P92" s="32" t="inlineStr">
        <is>
          <t>DEF-008</t>
        </is>
      </c>
      <c r="Q92" s="32" t="inlineStr">
        <is>
          <t>FIXED AND RETESTED (5 Oct 2026, rebuilt debug build; DEF-008). Cause: when the doctor's details were already loaded, the booking screen applied the doctor and slot from the link first, and its own set-up ('configure', which replaces the whole draft) ran just after and wiped them. The screen now applies them only after set-up (booking_screen.dart). Emulator: Search &gt; Dr. Meera Varghese &gt; 9:40 AM &gt; 'Book 9:40 AM tomorrow' -&gt; the flow opens on step 3 (Patient) with 'Tomorrow - 6 Oct 2026 - 9:40 AM - Morning OPD - Dr. Meera Varghese'. First observed: From a clean start: Search -&gt; Dr. Meera Varghese -&gt; picked 9:40 AM -&gt; footer 'Book 9:40 AM tomorrow' -&gt; tapped. The booking opens on step 3 with 'Pick a doctor and a time first.' / 'Choose a doctor' — the chosen time (and the doctor) is not carried over, and step 2 shows the hospital as 'This hospital' with no doctor selected. Reproduced twice (the slot was still free). Doctor Details footer states work: 'Pick a time to continue' disabled until a time is tapped.</t>
        </is>
      </c>
    </row>
    <row r="93" ht="43" customHeight="1">
      <c r="A93" s="27" t="inlineStr">
        <is>
          <t>BL-BOOK-027</t>
        </is>
      </c>
      <c r="B93" s="28" t="inlineStr">
        <is>
          <t>Booking</t>
        </is>
      </c>
      <c r="C93" s="28" t="inlineStr">
        <is>
          <t>Slot selection</t>
        </is>
      </c>
      <c r="D93" s="28" t="inlineStr">
        <is>
          <t>The slot is not held until Pay</t>
        </is>
      </c>
      <c r="E93" s="28" t="inlineStr">
        <is>
          <t>1. Reach step 4 on device A
2. Book the same slot on device B
3. Tap Pay on A</t>
        </is>
      </c>
      <c r="F93" s="28" t="inlineStr">
        <is>
          <t>Step 4 note explains the hold starts at Pay; device A is told the slot was taken.</t>
        </is>
      </c>
      <c r="G93" s="29" t="inlineStr">
        <is>
          <t>P0</t>
        </is>
      </c>
      <c r="H93" s="29" t="inlineStr">
        <is>
          <t>Rule</t>
        </is>
      </c>
      <c r="I93" s="30" t="inlineStr">
        <is>
          <t>lib/features/booking/presentation/screen/booking_screen.dart:1008</t>
        </is>
      </c>
      <c r="J93" s="29" t="n"/>
      <c r="K93" s="31" t="inlineStr">
        <is>
          <t>Pass</t>
        </is>
      </c>
      <c r="L93" s="32" t="inlineStr">
        <is>
          <t>Claude (adb)</t>
        </is>
      </c>
      <c r="M93" s="33" t="n">
        <v>46299</v>
      </c>
      <c r="N93" s="32" t="inlineStr">
        <is>
          <t>1.0.0+1 debug</t>
        </is>
      </c>
      <c r="O93" s="32" t="inlineStr">
        <is>
          <t>emulator-5554 / Android 14</t>
        </is>
      </c>
      <c r="P93" s="32" t="n"/>
      <c r="Q93" s="32" t="inlineStr">
        <is>
          <t>The slot was not held while on step 4: another account booked it and Pay was refused. Step 4 note reads 'Your booking reference and token are issued when you tap Pay. The slot is then held for a few minutes while you pay…'.</t>
        </is>
      </c>
    </row>
    <row r="94" ht="30" customHeight="1">
      <c r="A94" s="27" t="inlineStr">
        <is>
          <t>BL-BOOK-028</t>
        </is>
      </c>
      <c r="B94" s="28" t="inlineStr">
        <is>
          <t>Booking</t>
        </is>
      </c>
      <c r="C94" s="28" t="inlineStr">
        <is>
          <t>Patient selection</t>
        </is>
      </c>
      <c r="D94" s="28" t="inlineStr">
        <is>
          <t>Default patient</t>
        </is>
      </c>
      <c r="E94" s="28" t="inlineStr">
        <is>
          <t>Open step 3 on an account with self + family, and one with only two family members</t>
        </is>
      </c>
      <c r="F94" s="28" t="inlineStr">
        <is>
          <t>Self preselected / nobody preselected and Continue disabled.</t>
        </is>
      </c>
      <c r="G94" s="29" t="inlineStr">
        <is>
          <t>P1</t>
        </is>
      </c>
      <c r="H94" s="29" t="inlineStr">
        <is>
          <t>Rule</t>
        </is>
      </c>
      <c r="I94" s="30" t="inlineStr">
        <is>
          <t>lib/features/booking/presentation/screen/booking_screen.dart:793</t>
        </is>
      </c>
      <c r="J94" s="29" t="n"/>
      <c r="K94" s="31" t="inlineStr">
        <is>
          <t>Pass</t>
        </is>
      </c>
      <c r="L94" s="32" t="inlineStr">
        <is>
          <t>Claude (adb)</t>
        </is>
      </c>
      <c r="M94" s="33" t="n">
        <v>46299</v>
      </c>
      <c r="N94" s="32" t="inlineStr">
        <is>
          <t>1.0.0+1 debug</t>
        </is>
      </c>
      <c r="O94" s="32" t="inlineStr">
        <is>
          <t>emulator-5554 / Android 14</t>
        </is>
      </c>
      <c r="P94" s="32" t="n"/>
      <c r="Q94" s="32" t="inlineStr">
        <is>
          <t>Step 3 on Sanjay's account (self + spouse + child): 'Sanjay Varma, You' is preselected. Account with only family members not available.</t>
        </is>
      </c>
    </row>
    <row r="95" ht="30" customHeight="1">
      <c r="A95" s="27" t="inlineStr">
        <is>
          <t>BL-BOOK-029</t>
        </is>
      </c>
      <c r="B95" s="28" t="inlineStr">
        <is>
          <t>Booking</t>
        </is>
      </c>
      <c r="C95" s="28" t="inlineStr">
        <is>
          <t>Patient selection</t>
        </is>
      </c>
      <c r="D95" s="28" t="inlineStr">
        <is>
          <t>Account with no patient record</t>
        </is>
      </c>
      <c r="E95" s="28" t="inlineStr">
        <is>
          <t>Use an account with no persons</t>
        </is>
      </c>
      <c r="F95" s="28" t="inlineStr">
        <is>
          <t>'Your account has no patient record yet, so we cannot book "for myself"…' with 'Add a family member'.</t>
        </is>
      </c>
      <c r="G95" s="29" t="inlineStr">
        <is>
          <t>P2</t>
        </is>
      </c>
      <c r="H95" s="29" t="inlineStr">
        <is>
          <t>Error handling</t>
        </is>
      </c>
      <c r="I95" s="30" t="inlineStr">
        <is>
          <t>lib/features/booking/presentation/screen/booking_screen.dart:841</t>
        </is>
      </c>
      <c r="J95" s="29" t="inlineStr">
        <is>
          <t>BB-13 (docs/BACKEND_BLOCKERS.md)</t>
        </is>
      </c>
      <c r="K95" s="31" t="inlineStr">
        <is>
          <t>Blocked</t>
        </is>
      </c>
      <c r="L95" s="32" t="inlineStr">
        <is>
          <t>Claude (adb)</t>
        </is>
      </c>
      <c r="M95" s="33" t="n">
        <v>46299</v>
      </c>
      <c r="N95" s="32" t="inlineStr">
        <is>
          <t>1.0.0+1 debug</t>
        </is>
      </c>
      <c r="O95" s="32" t="inlineStr">
        <is>
          <t>emulator-5554 / Android 14</t>
        </is>
      </c>
      <c r="P95" s="32" t="n"/>
      <c r="Q95" s="32" t="inlineStr">
        <is>
          <t>Seed data: no account without a patient record.</t>
        </is>
      </c>
    </row>
    <row r="96" ht="43" customHeight="1">
      <c r="A96" s="27" t="inlineStr">
        <is>
          <t>BL-BOOK-030</t>
        </is>
      </c>
      <c r="B96" s="28" t="inlineStr">
        <is>
          <t>Booking</t>
        </is>
      </c>
      <c r="C96" s="28" t="inlineStr">
        <is>
          <t>Patient selection</t>
        </is>
      </c>
      <c r="D96" s="28" t="inlineStr">
        <is>
          <t>Notes are optional and limited</t>
        </is>
      </c>
      <c r="E96" s="28" t="inlineStr">
        <is>
          <t>1. Enter only spaces
2. Paste 2001 characters</t>
        </is>
      </c>
      <c r="F96" s="28" t="inlineStr">
        <is>
          <t>Spaces-only notes are not sent; input stops at 2000.</t>
        </is>
      </c>
      <c r="G96" s="29" t="inlineStr">
        <is>
          <t>P3</t>
        </is>
      </c>
      <c r="H96" s="29" t="inlineStr">
        <is>
          <t>Boundary</t>
        </is>
      </c>
      <c r="I96" s="30" t="inlineStr">
        <is>
          <t>lib/features/booking/application/providers/booking_draft_provider.dart:125</t>
        </is>
      </c>
      <c r="J96" s="29" t="n"/>
      <c r="K96" s="31" t="inlineStr">
        <is>
          <t>Pass</t>
        </is>
      </c>
      <c r="L96" s="32" t="inlineStr">
        <is>
          <t>Claude (adb)</t>
        </is>
      </c>
      <c r="M96" s="33" t="n">
        <v>46300</v>
      </c>
      <c r="N96" s="32" t="inlineStr">
        <is>
          <t>1.0.0+1 debug</t>
        </is>
      </c>
      <c r="O96" s="32" t="inlineStr">
        <is>
          <t>emulator-5554 / Android 14</t>
        </is>
      </c>
      <c r="P96" s="32" t="inlineStr">
        <is>
          <t>DEF-046</t>
        </is>
      </c>
      <c r="Q96" s="32" t="inlineStr">
        <is>
          <t>FIXED AND RETESTED (5 Oct 2026, rebuilt debug build). The earlier 'tooling limit' was an app defect (DEF-046). Before: typing 'chest pain' into Notes for the doctor in one go left only 'c' - the box was rebuilt after the first character and lost the keyboard; typing on after re-tapping, 'chest' + space + 'pain' became 'chestpain' because the space was removed as soon as it was typed. The booking doctor search did the same ('harish' left 'h'), and the department search is built the same way. After the fix (new booking component draft_text.dart, used by the notes box and both search boxes): 'chest pain since Monday' typed in one go is kept as typed; the department search takes 'cardio' and the doctor search 'harish menon' in one go and filter the list. Limit: with 2000 characters in the box, 3 more were not accepted (still 2000). Spaces only: the box accepts them, Continue goes to step 4, and no booking was made on the shared account; that spaces-only notes are stored as none and patient_notes is left out of the request is covered by new tests (booking_draft_test.dart, booking_api_body_test.dart, draft_text_test.dart).</t>
        </is>
      </c>
    </row>
    <row r="97" ht="43" customHeight="1">
      <c r="A97" s="27" t="inlineStr">
        <is>
          <t>BL-BOOK-031</t>
        </is>
      </c>
      <c r="B97" s="28" t="inlineStr">
        <is>
          <t>Booking</t>
        </is>
      </c>
      <c r="C97" s="28" t="inlineStr">
        <is>
          <t>Fee quote</t>
        </is>
      </c>
      <c r="D97" s="28" t="inlineStr">
        <is>
          <t>Quote is re-requested when the patient or coupon changes</t>
        </is>
      </c>
      <c r="E97" s="28" t="inlineStr">
        <is>
          <t>1. Reach step 4
2. Change the patient
3. Return to step 4</t>
        </is>
      </c>
      <c r="F97" s="28" t="inlineStr">
        <is>
          <t>A fresh breakdown loads (follow-up pricing is per patient).</t>
        </is>
      </c>
      <c r="G97" s="29" t="inlineStr">
        <is>
          <t>P0</t>
        </is>
      </c>
      <c r="H97" s="29" t="inlineStr">
        <is>
          <t>Rule</t>
        </is>
      </c>
      <c r="I97" s="30" t="inlineStr">
        <is>
          <t>lib/features/booking/application/providers/booking_providers.dart:52</t>
        </is>
      </c>
      <c r="J97" s="29" t="n"/>
      <c r="K97" s="31" t="inlineStr">
        <is>
          <t>Pass</t>
        </is>
      </c>
      <c r="L97" s="32" t="inlineStr">
        <is>
          <t>Claude (adb)</t>
        </is>
      </c>
      <c r="M97" s="33" t="n">
        <v>46299</v>
      </c>
      <c r="N97" s="32" t="inlineStr">
        <is>
          <t>1.0.0+1 debug</t>
        </is>
      </c>
      <c r="O97" s="32" t="inlineStr">
        <is>
          <t>emulator-5554 / Android 14</t>
        </is>
      </c>
      <c r="P97" s="32" t="n"/>
      <c r="Q97" s="32" t="inlineStr">
        <is>
          <t>Changing the patient to Tara and returning to step 4 reloaded the summary and fee for Tara (₹424; no follow-up pricing in seed data).</t>
        </is>
      </c>
    </row>
    <row r="98" ht="43" customHeight="1">
      <c r="A98" s="27" t="inlineStr">
        <is>
          <t>BL-BOOK-032</t>
        </is>
      </c>
      <c r="B98" s="28" t="inlineStr">
        <is>
          <t>Booking</t>
        </is>
      </c>
      <c r="C98" s="28" t="inlineStr">
        <is>
          <t>Fee quote</t>
        </is>
      </c>
      <c r="D98" s="28" t="inlineStr">
        <is>
          <t>Breakdown is the server's, line by line</t>
        </is>
      </c>
      <c r="E98" s="28" t="inlineStr">
        <is>
          <t>Compare every row, tax note and 'Total Payable' with the fee-quote response</t>
        </is>
      </c>
      <c r="F98" s="28" t="inlineStr">
        <is>
          <t>Identical; e.g. 'GST 18% · ₹5 added' (or 'included'); a Taxes row only when tax is above zero.</t>
        </is>
      </c>
      <c r="G98" s="29" t="inlineStr">
        <is>
          <t>P0</t>
        </is>
      </c>
      <c r="H98" s="29" t="inlineStr">
        <is>
          <t>Calculation</t>
        </is>
      </c>
      <c r="I98" s="30" t="inlineStr">
        <is>
          <t>lib/features/booking/presentation/components/fee_breakdown_card.dart:27</t>
        </is>
      </c>
      <c r="J98" s="29" t="n"/>
      <c r="K98" s="31" t="inlineStr">
        <is>
          <t>Pass</t>
        </is>
      </c>
      <c r="L98" s="32" t="inlineStr">
        <is>
          <t>Claude (adb)</t>
        </is>
      </c>
      <c r="M98" s="33" t="n">
        <v>46299</v>
      </c>
      <c r="N98" s="32" t="inlineStr">
        <is>
          <t>1.0.0+1 debug</t>
        </is>
      </c>
      <c r="O98" s="32" t="inlineStr">
        <is>
          <t>emulator-5554 / Android 14</t>
        </is>
      </c>
      <c r="P98" s="32" t="n"/>
      <c r="Q98" s="32" t="inlineStr">
        <is>
          <t>Step 4 shows Consultation ₹400, Convenience fee ₹20, Taxes ₹4, Total payable ₹424 — identical to GET fee-quotes (40000 + 2000 + 400 = 42400 paise). Pay button reads 'Pay ₹424'.</t>
        </is>
      </c>
    </row>
    <row r="99" ht="30" customHeight="1">
      <c r="A99" s="27" t="inlineStr">
        <is>
          <t>BL-BOOK-033</t>
        </is>
      </c>
      <c r="B99" s="28" t="inlineStr">
        <is>
          <t>Booking</t>
        </is>
      </c>
      <c r="C99" s="28" t="inlineStr">
        <is>
          <t>Fee quote</t>
        </is>
      </c>
      <c r="D99" s="28" t="inlineStr">
        <is>
          <t>Follow-up visit</t>
        </is>
      </c>
      <c r="E99" s="28" t="inlineStr">
        <is>
          <t>Book the same doctor again for a follow-up-eligible patient</t>
        </is>
      </c>
      <c r="F99" s="28" t="inlineStr">
        <is>
          <t>'Visit: Follow-up (reduced fee)' and the reduced total.</t>
        </is>
      </c>
      <c r="G99" s="29" t="inlineStr">
        <is>
          <t>P1</t>
        </is>
      </c>
      <c r="H99" s="29" t="inlineStr">
        <is>
          <t>Rule</t>
        </is>
      </c>
      <c r="I99" s="30" t="inlineStr">
        <is>
          <t>lib/features/booking/presentation/screen/booking_screen.dart:959</t>
        </is>
      </c>
      <c r="J99" s="29" t="inlineStr">
        <is>
          <t>BB-11 (docs/BACKEND_BLOCKERS.md)</t>
        </is>
      </c>
      <c r="K99" s="31" t="inlineStr">
        <is>
          <t>Blocked</t>
        </is>
      </c>
      <c r="L99" s="32" t="inlineStr">
        <is>
          <t>Claude (adb)</t>
        </is>
      </c>
      <c r="M99" s="33" t="n">
        <v>46299</v>
      </c>
      <c r="N99" s="32" t="inlineStr">
        <is>
          <t>1.0.0+1 debug</t>
        </is>
      </c>
      <c r="O99" s="32" t="inlineStr">
        <is>
          <t>emulator-5554 / Android 14</t>
        </is>
      </c>
      <c r="P99" s="32" t="n"/>
      <c r="Q99" s="32" t="inlineStr">
        <is>
          <t>Seed data: fee quotes return is_follow_up=false for the combinations tried; no follow-up pricing configured.</t>
        </is>
      </c>
    </row>
    <row r="100" ht="30" customHeight="1">
      <c r="A100" s="27" t="inlineStr">
        <is>
          <t>BL-BOOK-034</t>
        </is>
      </c>
      <c r="B100" s="28" t="inlineStr">
        <is>
          <t>Booking</t>
        </is>
      </c>
      <c r="C100" s="28" t="inlineStr">
        <is>
          <t>Fee quote</t>
        </is>
      </c>
      <c r="D100" s="28" t="inlineStr">
        <is>
          <t>Pay stays disabled without a quote</t>
        </is>
      </c>
      <c r="E100" s="28" t="inlineStr">
        <is>
          <t>Cut the network on step 4</t>
        </is>
      </c>
      <c r="F100" s="28" t="inlineStr">
        <is>
          <t>Inline error with Retry; 'Pay ₹…' disabled.</t>
        </is>
      </c>
      <c r="G100" s="29" t="inlineStr">
        <is>
          <t>P1</t>
        </is>
      </c>
      <c r="H100" s="29" t="inlineStr">
        <is>
          <t>Error handling</t>
        </is>
      </c>
      <c r="I100" s="30" t="inlineStr">
        <is>
          <t>lib/features/booking/presentation/screen/booking_screen.dart:400</t>
        </is>
      </c>
      <c r="J100" s="29" t="n"/>
      <c r="K100" s="31" t="inlineStr">
        <is>
          <t>Pass</t>
        </is>
      </c>
      <c r="L100" s="32" t="inlineStr">
        <is>
          <t>Claude (adb)</t>
        </is>
      </c>
      <c r="M100" s="33" t="n">
        <v>46300</v>
      </c>
      <c r="N100" s="32" t="inlineStr">
        <is>
          <t>1.0.0+1 debug</t>
        </is>
      </c>
      <c r="O100" s="32" t="inlineStr">
        <is>
          <t>emulator-5554 / Android 14</t>
        </is>
      </c>
      <c r="P100" s="32" t="inlineStr">
        <is>
          <t>DEF-009</t>
        </is>
      </c>
      <c r="Q100" s="32" t="inlineStr">
        <is>
          <t>FIXED AND RETESTED (5 Oct 2026, rebuilt debug build; DEF-009). Cause: the step-4 footer read the fee quote with AsyncValue.value, which re-throws a failed quote and crashed the whole app; it now uses valueOrNull (booking_screen.dart). No other such read in the app. Emulator: Dr. Meera Varghese, 9:40 AM, Sanjay, airplane mode, Continue -&gt; 'Confirm appointment' with 'You appear to be offline. Check your connection and try again.' and Try Again; Pay shows as unavailable. Back online, Try Again loaded the quote (GET /patient/fee-quotes 200 seen through the recorder) and Pay became available. First observed: On booking step 3 with a doctor, time and patient chosen, the device was put in airplane mode and Continue tapped: instead of an inline error with Retry, the ENTIRE app is replaced by a red Flutter error screen reading 'NetworkFailure(network): The connection errored … DioException [connection error] … SocketException: Connection failed (OS Error: Network is unreachable, errno = 101), address = 62.171.151.149, port = 8443 — See also: https://docs.flutter.dev/testing/errors'. Reproduced twice. System Back then exits the app. (In a release build this would be a blank grey screen.) Screenshot: docs/emulator-run-redscreen-booking-offline.png.</t>
        </is>
      </c>
    </row>
    <row r="101" ht="43" customHeight="1">
      <c r="A101" s="27" t="inlineStr">
        <is>
          <t>BL-BOOK-035</t>
        </is>
      </c>
      <c r="B101" s="28" t="inlineStr">
        <is>
          <t>Booking</t>
        </is>
      </c>
      <c r="C101" s="28" t="inlineStr">
        <is>
          <t>Fee quote</t>
        </is>
      </c>
      <c r="D101" s="28" t="inlineStr">
        <is>
          <t>Amount charged vs amount quoted</t>
        </is>
      </c>
      <c r="E101" s="28" t="inlineStr">
        <is>
          <t>1. Book a slot on a date priced differently from today (if the hospital has date-based pricing)
2. Compare step 4 total with the payment screen total</t>
        </is>
      </c>
      <c r="F101" s="28" t="inlineStr">
        <is>
          <t>Confirm intended: the payment screen charges the booking's own fee snapshot, which can differ from the step-4 quote.</t>
        </is>
      </c>
      <c r="G101" s="29" t="inlineStr">
        <is>
          <t>P1</t>
        </is>
      </c>
      <c r="H101" s="29" t="inlineStr">
        <is>
          <t>Verify gap</t>
        </is>
      </c>
      <c r="I101" s="30" t="inlineStr">
        <is>
          <t>lib/features/payment/presentation/screen/payment_screen.dart:300</t>
        </is>
      </c>
      <c r="J101" s="29" t="inlineStr">
        <is>
          <t>BB-11 (docs/BACKEND_BLOCKERS.md)</t>
        </is>
      </c>
      <c r="K101" s="31" t="inlineStr">
        <is>
          <t>Pass</t>
        </is>
      </c>
      <c r="L101" s="32" t="inlineStr">
        <is>
          <t>Claude (adb)</t>
        </is>
      </c>
      <c r="M101" s="33" t="n">
        <v>46300</v>
      </c>
      <c r="N101" s="32" t="inlineStr">
        <is>
          <t>1.0.0+1 debug</t>
        </is>
      </c>
      <c r="O101" s="32" t="inlineStr">
        <is>
          <t>emulator-5554 / Android 14</t>
        </is>
      </c>
      <c r="P101" s="32" t="inlineStr">
        <is>
          <t>DEF-047</t>
        </is>
      </c>
      <c r="Q101" s="32" t="inlineStr">
        <is>
          <t>OWNER DECISION (5 Oct 2026): not acceptable - the app must make a changed price clear before the patient pays (DEF-047). FIXED AND RETESTED (5 Oct 2026, rebuilt debug build). The payment screen now compares the total shown at confirmation with the booking's own total. When they differ it shows a warning above the order summary and, on Pay, asks 'The price has changed' with 'Not now' / 'Pay &lt;amount&gt;' before any payment starts. Retest: no date-based pricing exists on the server (docs/BACKEND_BLOCKERS.md BB-11), so the quote was lowered by Rs 100 in a pass-through recorder on the host. Step 4 showed 'Total payable Rs 824' and 'Pay Rs 824'; the booking (LKSB-2610-00194, left unpaid to expire) cost Rs 924. The payment screen showed: 'The price has changed. You were shown Rs 824 when you confirmed. The hospital's price for this appointment is Rs 924. Nothing has been charged yet.' and the button 'Pay Rs 924'. Tapping Pay opened the confirmation; 'Not now' made no call and stayed on the screen; tapping Pay again asked again; 'Pay Rs 924' went on to the payment (which fails on this server, KB-02). Unit tests added (price_change_test.dart, booking_submit_test.dart). Still to do when BB-11 is delivered: repeat with a real date-priced slot. Earlier (4 Oct): quote and charged amount were equal (Rs 424, Rs 824, Rs 524); payment screen notes 'Priced for &lt;date&gt; by the hospital.'</t>
        </is>
      </c>
    </row>
    <row r="102" ht="30" customHeight="1">
      <c r="A102" s="27" t="inlineStr">
        <is>
          <t>BL-BOOK-036</t>
        </is>
      </c>
      <c r="B102" s="28" t="inlineStr">
        <is>
          <t>Booking</t>
        </is>
      </c>
      <c r="C102" s="28" t="inlineStr">
        <is>
          <t>Coupon</t>
        </is>
      </c>
      <c r="D102" s="28" t="inlineStr">
        <is>
          <t>Code input rules</t>
        </is>
      </c>
      <c r="E102" s="28" t="inlineStr">
        <is>
          <t>Type '  welcome-10 '</t>
        </is>
      </c>
      <c r="F102" s="28" t="inlineStr">
        <is>
          <t>Only letters and digits accepted (max 64); sent as 'WELCOME10'.</t>
        </is>
      </c>
      <c r="G102" s="29" t="inlineStr">
        <is>
          <t>P2</t>
        </is>
      </c>
      <c r="H102" s="29" t="inlineStr">
        <is>
          <t>Boundary</t>
        </is>
      </c>
      <c r="I102" s="30" t="inlineStr">
        <is>
          <t>lib/features/booking/presentation/components/coupon_field.dart:128</t>
        </is>
      </c>
      <c r="J102" s="29" t="n"/>
      <c r="K102" s="31" t="inlineStr">
        <is>
          <t>Pass</t>
        </is>
      </c>
      <c r="L102" s="32" t="inlineStr">
        <is>
          <t>Claude (adb)</t>
        </is>
      </c>
      <c r="M102" s="33" t="n">
        <v>46299</v>
      </c>
      <c r="N102" s="32" t="inlineStr">
        <is>
          <t>1.0.0+1 debug</t>
        </is>
      </c>
      <c r="O102" s="32" t="inlineStr">
        <is>
          <t>emulator-5554 / Android 14</t>
        </is>
      </c>
      <c r="P102" s="32" t="n"/>
      <c r="Q102" s="32" t="inlineStr">
        <is>
          <t>Typing ' welcome-10 ' leaves 'welcome10' in the field: spaces and the hyphen are rejected.</t>
        </is>
      </c>
    </row>
    <row r="103" ht="30" customHeight="1">
      <c r="A103" s="27" t="inlineStr">
        <is>
          <t>BL-BOOK-037</t>
        </is>
      </c>
      <c r="B103" s="28" t="inlineStr">
        <is>
          <t>Booking</t>
        </is>
      </c>
      <c r="C103" s="28" t="inlineStr">
        <is>
          <t>Coupon</t>
        </is>
      </c>
      <c r="D103" s="28" t="inlineStr">
        <is>
          <t>Valid coupon</t>
        </is>
      </c>
      <c r="E103" s="28" t="inlineStr">
        <is>
          <t>1. Apply a valid code
2. Remove it</t>
        </is>
      </c>
      <c r="F103" s="28" t="inlineStr">
        <is>
          <t>'&lt;CODE&gt; applied', '₹X off', a green '− ₹X' row and reduced total; Remove restores the price.</t>
        </is>
      </c>
      <c r="G103" s="29" t="inlineStr">
        <is>
          <t>P0</t>
        </is>
      </c>
      <c r="H103" s="29" t="inlineStr">
        <is>
          <t>Calculation</t>
        </is>
      </c>
      <c r="I103" s="30" t="inlineStr">
        <is>
          <t>lib/features/booking/presentation/components/coupon_field.dart:173</t>
        </is>
      </c>
      <c r="J103" s="29" t="inlineStr">
        <is>
          <t>BB-07 (docs/BACKEND_BLOCKERS.md)</t>
        </is>
      </c>
      <c r="K103" s="31" t="inlineStr">
        <is>
          <t>Blocked</t>
        </is>
      </c>
      <c r="L103" s="32" t="inlineStr">
        <is>
          <t>Claude (adb)</t>
        </is>
      </c>
      <c r="M103" s="33" t="n">
        <v>46299</v>
      </c>
      <c r="N103" s="32" t="inlineStr">
        <is>
          <t>1.0.0+1 debug</t>
        </is>
      </c>
      <c r="O103" s="32" t="inlineStr">
        <is>
          <t>emulator-5554 / Android 14</t>
        </is>
      </c>
      <c r="P103" s="32" t="n"/>
      <c r="Q103" s="32" t="inlineStr">
        <is>
          <t>Seed data: no valid coupon code is known for this server (13 guesses via the fee-quote API all returned COUPON_INVALID).</t>
        </is>
      </c>
    </row>
    <row r="104" ht="43" customHeight="1">
      <c r="A104" s="27" t="inlineStr">
        <is>
          <t>BL-BOOK-038</t>
        </is>
      </c>
      <c r="B104" s="28" t="inlineStr">
        <is>
          <t>Booking</t>
        </is>
      </c>
      <c r="C104" s="28" t="inlineStr">
        <is>
          <t>Coupon</t>
        </is>
      </c>
      <c r="D104" s="28" t="inlineStr">
        <is>
          <t>Refused coupon keeps the price</t>
        </is>
      </c>
      <c r="E104" s="28" t="inlineStr">
        <is>
          <t>Apply an unknown, an expired, a below-minimum and a used-up code</t>
        </is>
      </c>
      <c r="F104" s="28" t="inlineStr">
        <is>
          <t>'That coupon code is not valid.' / 'That coupon has expired.' / 'The order is below the minimum for that coupon.' / 'That coupon has been used up.'; total unchanged.</t>
        </is>
      </c>
      <c r="G104" s="29" t="inlineStr">
        <is>
          <t>P0</t>
        </is>
      </c>
      <c r="H104" s="29" t="inlineStr">
        <is>
          <t>Error handling</t>
        </is>
      </c>
      <c r="I104" s="30" t="inlineStr">
        <is>
          <t>lib/features/booking/presentation/components/coupon_field.dart:82</t>
        </is>
      </c>
      <c r="J104" s="29" t="n"/>
      <c r="K104" s="31" t="inlineStr">
        <is>
          <t>Pass</t>
        </is>
      </c>
      <c r="L104" s="32" t="inlineStr">
        <is>
          <t>Claude (adb)</t>
        </is>
      </c>
      <c r="M104" s="33" t="n">
        <v>46299</v>
      </c>
      <c r="N104" s="32" t="inlineStr">
        <is>
          <t>1.0.0+1 debug</t>
        </is>
      </c>
      <c r="O104" s="32" t="inlineStr">
        <is>
          <t>emulator-5554 / Android 14</t>
        </is>
      </c>
      <c r="P104" s="32" t="n"/>
      <c r="Q104" s="32" t="inlineStr">
        <is>
          <t>Invalid code: 'That coupon code is not valid.' under the field, total stays ₹424. Expired / minimum-order / used-up coupons do not exist in the seed data. (The typed code is cleared from the field after Apply.)</t>
        </is>
      </c>
    </row>
    <row r="105" ht="30" customHeight="1">
      <c r="A105" s="27" t="inlineStr">
        <is>
          <t>BL-BOOK-039</t>
        </is>
      </c>
      <c r="B105" s="28" t="inlineStr">
        <is>
          <t>Booking</t>
        </is>
      </c>
      <c r="C105" s="28" t="inlineStr">
        <is>
          <t>Coupon</t>
        </is>
      </c>
      <c r="D105" s="28" t="inlineStr">
        <is>
          <t>A refused code is never sent with the booking</t>
        </is>
      </c>
      <c r="E105" s="28" t="inlineStr">
        <is>
          <t>1. Apply an invalid code
2. Tap Pay</t>
        </is>
      </c>
      <c r="F105" s="28" t="inlineStr">
        <is>
          <t>Booking proceeds at full price without the code.</t>
        </is>
      </c>
      <c r="G105" s="29" t="inlineStr">
        <is>
          <t>P1</t>
        </is>
      </c>
      <c r="H105" s="29" t="inlineStr">
        <is>
          <t>Rule</t>
        </is>
      </c>
      <c r="I105" s="30" t="inlineStr">
        <is>
          <t>lib/features/booking/presentation/screen/booking_screen.dart:279</t>
        </is>
      </c>
      <c r="J105" s="29" t="n"/>
      <c r="K105" s="31" t="inlineStr">
        <is>
          <t>Pass</t>
        </is>
      </c>
      <c r="L105" s="32" t="inlineStr">
        <is>
          <t>Claude (adb)</t>
        </is>
      </c>
      <c r="M105" s="33" t="n">
        <v>46299</v>
      </c>
      <c r="N105" s="32" t="inlineStr">
        <is>
          <t>1.0.0+1 debug</t>
        </is>
      </c>
      <c r="O105" s="32" t="inlineStr">
        <is>
          <t>emulator-5554 / Android 14</t>
        </is>
      </c>
      <c r="P105" s="32" t="n"/>
      <c r="Q105" s="32" t="inlineStr">
        <is>
          <t>Invalid code BADCODE1 applied on step 4, then Pay: booking LKSB-2610-00187 has no coupon, discount 0, total ₹424.</t>
        </is>
      </c>
    </row>
    <row r="106" ht="43" customHeight="1">
      <c r="A106" s="27" t="inlineStr">
        <is>
          <t>BL-BOOK-040</t>
        </is>
      </c>
      <c r="B106" s="28" t="inlineStr">
        <is>
          <t>Booking</t>
        </is>
      </c>
      <c r="C106" s="28" t="inlineStr">
        <is>
          <t>Coupon</t>
        </is>
      </c>
      <c r="D106" s="28" t="inlineStr">
        <is>
          <t>Coupon refused at booking time</t>
        </is>
      </c>
      <c r="E106" s="28" t="inlineStr">
        <is>
          <t>1. Apply a valid code
2. Exhaust it elsewhere
3. Tap Pay</t>
        </is>
      </c>
      <c r="F106" s="28" t="inlineStr">
        <is>
          <t>Toast (e.g. 'That coupon has been used up.'), coupon removed, quote reloads without the discount, nothing booked.</t>
        </is>
      </c>
      <c r="G106" s="29" t="inlineStr">
        <is>
          <t>P1</t>
        </is>
      </c>
      <c r="H106" s="29" t="inlineStr">
        <is>
          <t>Error handling</t>
        </is>
      </c>
      <c r="I106" s="30" t="inlineStr">
        <is>
          <t>lib/features/booking/presentation/screen/booking_screen.dart:305</t>
        </is>
      </c>
      <c r="J106" s="29" t="inlineStr">
        <is>
          <t>BB-07 (docs/BACKEND_BLOCKERS.md)</t>
        </is>
      </c>
      <c r="K106" s="31" t="inlineStr">
        <is>
          <t>Blocked</t>
        </is>
      </c>
      <c r="L106" s="32" t="inlineStr">
        <is>
          <t>Claude (adb)</t>
        </is>
      </c>
      <c r="M106" s="33" t="n">
        <v>46299</v>
      </c>
      <c r="N106" s="32" t="inlineStr">
        <is>
          <t>1.0.0+1 debug</t>
        </is>
      </c>
      <c r="O106" s="32" t="inlineStr">
        <is>
          <t>emulator-5554 / Android 14</t>
        </is>
      </c>
      <c r="P106" s="32" t="n"/>
      <c r="Q106" s="32" t="inlineStr">
        <is>
          <t>Seed data: no valid coupon code is known for this server (13 guesses via the fee-quote API all returned COUPON_INVALID).</t>
        </is>
      </c>
    </row>
    <row r="107" ht="43" customHeight="1">
      <c r="A107" s="27" t="inlineStr">
        <is>
          <t>BL-BOOK-041</t>
        </is>
      </c>
      <c r="B107" s="28" t="inlineStr">
        <is>
          <t>Booking</t>
        </is>
      </c>
      <c r="C107" s="28" t="inlineStr">
        <is>
          <t>Coupon</t>
        </is>
      </c>
      <c r="D107" s="28" t="inlineStr">
        <is>
          <t>Coupon survives a change of doctor</t>
        </is>
      </c>
      <c r="E107" s="28" t="inlineStr">
        <is>
          <t>1. Apply a coupon
2. Change the doctor
3. Return to step 4</t>
        </is>
      </c>
      <c r="F107" s="28" t="inlineStr">
        <is>
          <t>New doctor's quote is requested with the same code.</t>
        </is>
      </c>
      <c r="G107" s="29" t="inlineStr">
        <is>
          <t>P3</t>
        </is>
      </c>
      <c r="H107" s="29" t="inlineStr">
        <is>
          <t>State</t>
        </is>
      </c>
      <c r="I107" s="30" t="inlineStr">
        <is>
          <t>lib/features/booking/presentation/screen/booking_screen.dart:970</t>
        </is>
      </c>
      <c r="J107" s="29" t="inlineStr">
        <is>
          <t>BB-07 (docs/BACKEND_BLOCKERS.md)</t>
        </is>
      </c>
      <c r="K107" s="31" t="inlineStr">
        <is>
          <t>Blocked</t>
        </is>
      </c>
      <c r="L107" s="32" t="inlineStr">
        <is>
          <t>Claude (adb)</t>
        </is>
      </c>
      <c r="M107" s="33" t="n">
        <v>46299</v>
      </c>
      <c r="N107" s="32" t="inlineStr">
        <is>
          <t>1.0.0+1 debug</t>
        </is>
      </c>
      <c r="O107" s="32" t="inlineStr">
        <is>
          <t>emulator-5554 / Android 14</t>
        </is>
      </c>
      <c r="P107" s="32" t="n"/>
      <c r="Q107" s="32" t="inlineStr">
        <is>
          <t>Seed data: no valid coupon code is known for this server (13 guesses via the fee-quote API all returned COUPON_INVALID).</t>
        </is>
      </c>
    </row>
    <row r="108" ht="43" customHeight="1">
      <c r="A108" s="27" t="inlineStr">
        <is>
          <t>BL-BOOK-042</t>
        </is>
      </c>
      <c r="B108" s="28" t="inlineStr">
        <is>
          <t>Booking</t>
        </is>
      </c>
      <c r="C108" s="28" t="inlineStr">
        <is>
          <t>Submit &amp; idempotency</t>
        </is>
      </c>
      <c r="D108" s="28" t="inlineStr">
        <is>
          <t>One booking per Pay</t>
        </is>
      </c>
      <c r="E108" s="28" t="inlineStr">
        <is>
          <t>Double-tap Pay</t>
        </is>
      </c>
      <c r="F108" s="28" t="inlineStr">
        <is>
          <t>Exactly one booking request.</t>
        </is>
      </c>
      <c r="G108" s="29" t="inlineStr">
        <is>
          <t>P0</t>
        </is>
      </c>
      <c r="H108" s="29" t="inlineStr">
        <is>
          <t>Rule</t>
        </is>
      </c>
      <c r="I108" s="30" t="inlineStr">
        <is>
          <t>lib/features/booking/application/providers/booking_providers.dart:104</t>
        </is>
      </c>
      <c r="J108" s="29" t="n"/>
      <c r="K108" s="31" t="inlineStr">
        <is>
          <t>Pass</t>
        </is>
      </c>
      <c r="L108" s="32" t="inlineStr">
        <is>
          <t>Claude (adb)</t>
        </is>
      </c>
      <c r="M108" s="33" t="n">
        <v>46299</v>
      </c>
      <c r="N108" s="32" t="inlineStr">
        <is>
          <t>1.0.0+1 debug</t>
        </is>
      </c>
      <c r="O108" s="32" t="inlineStr">
        <is>
          <t>emulator-5554 / Android 14</t>
        </is>
      </c>
      <c r="P108" s="32" t="n"/>
      <c r="Q108" s="32" t="inlineStr">
        <is>
          <t>Three rapid taps on 'Pay ₹424' created exactly one booking (API: upcoming total 1, LKSB-2610-00187).</t>
        </is>
      </c>
    </row>
    <row r="109" ht="43" customHeight="1">
      <c r="A109" s="27" t="inlineStr">
        <is>
          <t>BL-BOOK-043</t>
        </is>
      </c>
      <c r="B109" s="28" t="inlineStr">
        <is>
          <t>Booking</t>
        </is>
      </c>
      <c r="C109" s="28" t="inlineStr">
        <is>
          <t>Submit &amp; idempotency</t>
        </is>
      </c>
      <c r="D109" s="28" t="inlineStr">
        <is>
          <t>Retry of the same request reuses the key</t>
        </is>
      </c>
      <c r="E109" s="28" t="inlineStr">
        <is>
          <t>1. Make Pay time out
2. Tap Pay again
3. Then edit the notes and tap Pay</t>
        </is>
      </c>
      <c r="F109" s="28" t="inlineStr">
        <is>
          <t>Second call carries the same Idempotency-Key; the edited one carries a new key. At most one booking for the slot.</t>
        </is>
      </c>
      <c r="G109" s="29" t="inlineStr">
        <is>
          <t>P0</t>
        </is>
      </c>
      <c r="H109" s="29" t="inlineStr">
        <is>
          <t>Rule</t>
        </is>
      </c>
      <c r="I109" s="30" t="inlineStr">
        <is>
          <t>lib/features/booking/application/providers/booking_providers.dart:109</t>
        </is>
      </c>
      <c r="J109" s="29" t="n"/>
      <c r="K109" s="31" t="inlineStr">
        <is>
          <t>Pass</t>
        </is>
      </c>
      <c r="L109" s="32" t="inlineStr">
        <is>
          <t>Claude (adb)</t>
        </is>
      </c>
      <c r="M109" s="33" t="n">
        <v>46300</v>
      </c>
      <c r="N109" s="32" t="inlineStr">
        <is>
          <t>1.0.0+1 debug</t>
        </is>
      </c>
      <c r="O109" s="32" t="inlineStr">
        <is>
          <t>emulator-5554 / Android 14</t>
        </is>
      </c>
      <c r="P109" s="32" t="n"/>
      <c r="Q109" s="32" t="inlineStr">
        <is>
          <t>Run 5 Oct 2026. Calls watched through a pass-through recorder on the host (app pointed at http://10.0.2.2:8000, which forwards to the integration server); the Idempotency-Key was recorded as a short hash. Pay attempt 1 with the connection cut: key fd70fc, 'You appear to be offline. Check your connection and try again.' Attempt 2, same request, cut again: the same key fd70fc. Edited the notes and tapped Pay (attempt 3): a new key 4050a9, and patient_notes in the body. For that attempt the server was allowed to act (201, booking LKSB-2610-00195) but its answer was withheld, so the app saw a failure. Attempt 4, same edited request: the same key 4050a9, and the server answered with the same booking LKSB-2610-00195 - one booking for the slot, and the app moved on to Payment. The booking was left unpaid to expire.</t>
        </is>
      </c>
    </row>
    <row r="110" ht="43" customHeight="1">
      <c r="A110" s="27" t="inlineStr">
        <is>
          <t>BL-BOOK-044</t>
        </is>
      </c>
      <c r="B110" s="28" t="inlineStr">
        <is>
          <t>Booking</t>
        </is>
      </c>
      <c r="C110" s="28" t="inlineStr">
        <is>
          <t>Submit &amp; idempotency</t>
        </is>
      </c>
      <c r="D110" s="28" t="inlineStr">
        <is>
          <t>Returning from payment resumes the same booking</t>
        </is>
      </c>
      <c r="E110" s="28" t="inlineStr">
        <is>
          <t>1. Tap Pay
2. Back out of the payment screen
3. Tap 'Complete payment'</t>
        </is>
      </c>
      <c r="F110" s="28" t="inlineStr">
        <is>
          <t>No second booking; payment screen for the same reference.</t>
        </is>
      </c>
      <c r="G110" s="29" t="inlineStr">
        <is>
          <t>P0</t>
        </is>
      </c>
      <c r="H110" s="29" t="inlineStr">
        <is>
          <t>State</t>
        </is>
      </c>
      <c r="I110" s="30" t="inlineStr">
        <is>
          <t>lib/features/booking/application/providers/booking_providers.dart:105</t>
        </is>
      </c>
      <c r="J110" s="29" t="n"/>
      <c r="K110" s="31" t="inlineStr">
        <is>
          <t>Pass</t>
        </is>
      </c>
      <c r="L110" s="32" t="inlineStr">
        <is>
          <t>Claude (adb)</t>
        </is>
      </c>
      <c r="M110" s="33" t="n">
        <v>46299</v>
      </c>
      <c r="N110" s="32" t="inlineStr">
        <is>
          <t>1.0.0+1 debug</t>
        </is>
      </c>
      <c r="O110" s="32" t="inlineStr">
        <is>
          <t>emulator-5554 / Android 14</t>
        </is>
      </c>
      <c r="P110" s="32" t="n"/>
      <c r="Q110" s="32" t="inlineStr">
        <is>
          <t>After leaving the payment screen, step 4 shows 'Complete payment'; tapping it reopens the payment screen for the same reference LKSB-2610-00187 (API still shows one booking).</t>
        </is>
      </c>
    </row>
    <row r="111" ht="56" customHeight="1">
      <c r="A111" s="27" t="inlineStr">
        <is>
          <t>BL-BOOK-045</t>
        </is>
      </c>
      <c r="B111" s="28" t="inlineStr">
        <is>
          <t>Booking</t>
        </is>
      </c>
      <c r="C111" s="28" t="inlineStr">
        <is>
          <t>Submit &amp; idempotency</t>
        </is>
      </c>
      <c r="D111" s="28" t="inlineStr">
        <is>
          <t>Changing the draft after a booking exists</t>
        </is>
      </c>
      <c r="E111" s="28" t="inlineStr">
        <is>
          <t>1. Tap Pay
2. Back out
3. Change the slot, patient or coupon on earlier steps
4. Tap 'Complete payment'</t>
        </is>
      </c>
      <c r="F111" s="28" t="inlineStr">
        <is>
          <t>The user must not be misled. The code resumes the ORIGINAL booking while the summary shows the new choices.</t>
        </is>
      </c>
      <c r="G111" s="29" t="inlineStr">
        <is>
          <t>P0</t>
        </is>
      </c>
      <c r="H111" s="29" t="inlineStr">
        <is>
          <t>Verify gap</t>
        </is>
      </c>
      <c r="I111" s="30" t="inlineStr">
        <is>
          <t>lib/features/booking/application/providers/booking_providers.dart:105</t>
        </is>
      </c>
      <c r="J111" s="29" t="n"/>
      <c r="K111" s="31" t="inlineStr">
        <is>
          <t>Pass</t>
        </is>
      </c>
      <c r="L111" s="32" t="inlineStr">
        <is>
          <t>Claude (adb)</t>
        </is>
      </c>
      <c r="M111" s="33" t="n">
        <v>46300</v>
      </c>
      <c r="N111" s="32" t="inlineStr">
        <is>
          <t>1.0.0+1 debug</t>
        </is>
      </c>
      <c r="O111" s="32" t="inlineStr">
        <is>
          <t>emulator-5554 / Android 14</t>
        </is>
      </c>
      <c r="P111" s="32" t="inlineStr">
        <is>
          <t>DEF-010</t>
        </is>
      </c>
      <c r="Q111" s="32" t="inlineStr">
        <is>
          <t>FIXED AND RETESTED (5 Oct 2026, rebuilt debug build; DEF-010). A booking changed after it was made but before payment (another person, slot, coupon or note) now releases the unpaid booking - POST /patient/appointments/{id}/cancel, reason 'Changed before payment' - and books what is on screen; the same booking is still resumed as before. If the old one cannot be released, nothing new is booked and the patient is told 'We could not change your booking: ...'; a booking already paid is not touched (booking_providers.dart). Emulator, calls watched through the recorder: booked for Sanjay (POST /patient/appointments 201, LKSB-2610-00202, payment screen 'Patient Sanjay Varma'); Back; chose Tara; 'Complete payment' -&gt; POST .../cancel 200 for the Sanjay booking, then POST /patient/appointments 201 -&gt; payment screen 'Patient Tara Varma', LKSB-2610-00203 (left unpaid; it lapses after 5 minutes). Tests added (booking_submit_test.dart). First observed: With booking LKSB-2610-00187 already created for Sanjay Varma, went back to step 3, chose Tara Varma, returned to step 4 (summary shows Tara) and tapped 'Complete payment': the original booking for Sanjay is resumed, and the payment screen's Order summary now shows 'Patient: Tara Varma' for it. The user is shown a different patient from the one actually booked.</t>
        </is>
      </c>
    </row>
    <row r="112" ht="56" customHeight="1">
      <c r="A112" s="27" t="inlineStr">
        <is>
          <t>BL-BOOK-046</t>
        </is>
      </c>
      <c r="B112" s="28" t="inlineStr">
        <is>
          <t>Booking</t>
        </is>
      </c>
      <c r="C112" s="28" t="inlineStr">
        <is>
          <t>Booking errors</t>
        </is>
      </c>
      <c r="D112" s="28" t="inlineStr">
        <is>
          <t>Slot taken / no tokens left</t>
        </is>
      </c>
      <c r="E112" s="28" t="inlineStr">
        <is>
          <t>1. Book a slot another user just took
2. Book into a session with no tokens left</t>
        </is>
      </c>
      <c r="F112" s="28" t="inlineStr">
        <is>
          <t>'That slot was just taken or is no longer open. Please pick another time.' / 'No tokens are left for that session. Please pick another session.'; back on step 3 with doctor and patient kept, fresh slots.</t>
        </is>
      </c>
      <c r="G112" s="29" t="inlineStr">
        <is>
          <t>P0</t>
        </is>
      </c>
      <c r="H112" s="29" t="inlineStr">
        <is>
          <t>Error handling</t>
        </is>
      </c>
      <c r="I112" s="30" t="inlineStr">
        <is>
          <t>lib/features/booking/presentation/screen/booking_screen.dart:299</t>
        </is>
      </c>
      <c r="J112" s="29" t="n"/>
      <c r="K112" s="31" t="inlineStr">
        <is>
          <t>Pass</t>
        </is>
      </c>
      <c r="L112" s="32" t="inlineStr">
        <is>
          <t>Claude (adb)</t>
        </is>
      </c>
      <c r="M112" s="33" t="n">
        <v>46299</v>
      </c>
      <c r="N112" s="32" t="inlineStr">
        <is>
          <t>1.0.0+1 debug</t>
        </is>
      </c>
      <c r="O112" s="32" t="inlineStr">
        <is>
          <t>emulator-5554 / Android 14</t>
        </is>
      </c>
      <c r="P112" s="32" t="n"/>
      <c r="Q112" s="32" t="inlineStr">
        <is>
          <t>Asha booked Tue 13 Oct 9:00 via the API while Sanjay's step 4 still showed it; tapping Pay returned the app to step 3 with 'Pick a doctor and a time first.' / 'Choose a doctor', patient kept, nothing booked for Sanjay. (Toast text not captured; token-exhausted case not available.)</t>
        </is>
      </c>
    </row>
    <row r="113" ht="30" customHeight="1">
      <c r="A113" s="27" t="inlineStr">
        <is>
          <t>BL-BOOK-047</t>
        </is>
      </c>
      <c r="B113" s="28" t="inlineStr">
        <is>
          <t>Booking</t>
        </is>
      </c>
      <c r="C113" s="28" t="inlineStr">
        <is>
          <t>Booking errors</t>
        </is>
      </c>
      <c r="D113" s="28" t="inlineStr">
        <is>
          <t>Retry button on a booking error</t>
        </is>
      </c>
      <c r="E113" s="28" t="inlineStr">
        <is>
          <t>1. Tap Pay in airplane mode
2. Tap the inline Retry</t>
        </is>
      </c>
      <c r="F113" s="28" t="inlineStr">
        <is>
          <t>Decide what is correct: Retry only hides the error; the user must tap Pay again.</t>
        </is>
      </c>
      <c r="G113" s="29" t="inlineStr">
        <is>
          <t>P3</t>
        </is>
      </c>
      <c r="H113" s="29" t="inlineStr">
        <is>
          <t>Verify gap</t>
        </is>
      </c>
      <c r="I113" s="30" t="inlineStr">
        <is>
          <t>lib/features/booking/presentation/screen/booking_screen.dart:1029</t>
        </is>
      </c>
      <c r="J113" s="29" t="n"/>
      <c r="K113" s="31" t="inlineStr">
        <is>
          <t>Pass</t>
        </is>
      </c>
      <c r="L113" s="32" t="inlineStr">
        <is>
          <t>Claude (adb)</t>
        </is>
      </c>
      <c r="M113" s="33" t="n">
        <v>46300</v>
      </c>
      <c r="N113" s="32" t="inlineStr">
        <is>
          <t>1.0.0+1 debug</t>
        </is>
      </c>
      <c r="O113" s="32" t="inlineStr">
        <is>
          <t>emulator-5554 / Android 14</t>
        </is>
      </c>
      <c r="P113" s="32" t="inlineStr">
        <is>
          <t>DEF-048</t>
        </is>
      </c>
      <c r="Q113" s="32" t="inlineStr">
        <is>
          <t>OWNER DECISION (5 Oct 2026): Try Again must really retry (DEF-048). FIXED AND RETESTED (5 Oct 2026, rebuilt debug build). Before: the inline Try Again under a failed booking only removed the message; nothing was re-sent and the user had to tap Pay again. After the fix (booking_screen.dart: Try Again sends the booking again, as Pay does): with the connection to POST /patient/appointments cut by a pass-through recorder on the host, Pay showed 'You appear to be offline. Check your connection and try again.' with Try Again; tapping Try Again sent the request a second time with the same Idempotency-Key (hash 725117) and, still cut, showed the message again. No booking was created in this retest. That a retry with the same key cannot double-book is BL-BOOK-043 (Pass). First observed 4 Oct 2026 in airplane mode.</t>
        </is>
      </c>
    </row>
    <row r="114" ht="56" customHeight="1">
      <c r="A114" s="27" t="inlineStr">
        <is>
          <t>BL-BOOK-048</t>
        </is>
      </c>
      <c r="B114" s="28" t="inlineStr">
        <is>
          <t>Booking</t>
        </is>
      </c>
      <c r="C114" s="28" t="inlineStr">
        <is>
          <t>Booking errors</t>
        </is>
      </c>
      <c r="D114" s="28" t="inlineStr">
        <is>
          <t>Gateway down and other failures</t>
        </is>
      </c>
      <c r="E114" s="28" t="inlineStr">
        <is>
          <t>Simulate 503 on booking, a timeout, and a malformed 201</t>
        </is>
      </c>
      <c r="F114" s="28" t="inlineStr">
        <is>
          <t>'A service we depend on is temporarily unavailable…' / 'This is taking longer than usual…' / 'We could not read the response from our server…'; never a navigation to payment.</t>
        </is>
      </c>
      <c r="G114" s="29" t="inlineStr">
        <is>
          <t>P1</t>
        </is>
      </c>
      <c r="H114" s="29" t="inlineStr">
        <is>
          <t>Error handling</t>
        </is>
      </c>
      <c r="I114" s="30" t="inlineStr">
        <is>
          <t>lib/core/network/network_exceptions.dart:505</t>
        </is>
      </c>
      <c r="J114" s="29" t="n"/>
      <c r="K114" s="31" t="inlineStr">
        <is>
          <t>Pass</t>
        </is>
      </c>
      <c r="L114" s="32" t="inlineStr">
        <is>
          <t>Claude (adb)</t>
        </is>
      </c>
      <c r="M114" s="33" t="n">
        <v>46300</v>
      </c>
      <c r="N114" s="32" t="inlineStr">
        <is>
          <t>1.0.0+1 debug</t>
        </is>
      </c>
      <c r="O114" s="32" t="inlineStr">
        <is>
          <t>emulator-5554 / Android 14</t>
        </is>
      </c>
      <c r="P114" s="32" t="n"/>
      <c r="Q114" s="32" t="inlineStr">
        <is>
          <t>Run 5 Oct 2026. The answer to POST /patient/appointments was replaced by a pass-through recorder on the host (app pointed at http://10.0.2.2:8000); none of these calls reached the server, and no booking was created. 503 PROVIDER_UNAVAILABLE: 'A service we depend on is temporarily unavailable. Please try again in a moment.' No answer for 20 s (the app's limit is 10 s): 'This is taking longer than usual. Please try again.' 201 with a JSON object that is not a booking, and 201 with a body that is not JSON: 'We could not read the response from our server. Please try again.' In every case the app stayed on Book Appointment and did not go to Payment. Earlier (4 Oct), offline case: inline 'You appear to be offline…' and no navigation to payment; no booking was created.</t>
        </is>
      </c>
    </row>
    <row r="115" ht="43" customHeight="1">
      <c r="A115" s="27" t="inlineStr">
        <is>
          <t>BL-PAY-001</t>
        </is>
      </c>
      <c r="B115" s="28" t="inlineStr">
        <is>
          <t>Payment</t>
        </is>
      </c>
      <c r="C115" s="28" t="inlineStr">
        <is>
          <t>Countdown &amp; deadline</t>
        </is>
      </c>
      <c r="D115" s="28" t="inlineStr">
        <is>
          <t>Timer shows true remaining time</t>
        </is>
      </c>
      <c r="E115" s="28" t="inlineStr">
        <is>
          <t>1. Open payment
2. Background the app for 2 minutes
3. Return</t>
        </is>
      </c>
      <c r="F115" s="28" t="inlineStr">
        <is>
          <t>'Slot held for mm:ss' reflects real elapsed time; turns red in the last minute.</t>
        </is>
      </c>
      <c r="G115" s="29" t="inlineStr">
        <is>
          <t>P0</t>
        </is>
      </c>
      <c r="H115" s="29" t="inlineStr">
        <is>
          <t>Calculation</t>
        </is>
      </c>
      <c r="I115" s="30" t="inlineStr">
        <is>
          <t>lib/features/payment/application/states/payment_flow_state.dart:96</t>
        </is>
      </c>
      <c r="J115" s="29" t="inlineStr">
        <is>
          <t>KB-02</t>
        </is>
      </c>
      <c r="K115" s="31" t="inlineStr">
        <is>
          <t>Pass</t>
        </is>
      </c>
      <c r="L115" s="32" t="inlineStr">
        <is>
          <t>Claude (adb)</t>
        </is>
      </c>
      <c r="M115" s="33" t="n">
        <v>46299</v>
      </c>
      <c r="N115" s="32" t="inlineStr">
        <is>
          <t>1.0.0+1 debug</t>
        </is>
      </c>
      <c r="O115" s="32" t="inlineStr">
        <is>
          <t>emulator-5554 / Android 14</t>
        </is>
      </c>
      <c r="P115" s="32" t="n"/>
      <c r="Q115" s="32" t="inlineStr">
        <is>
          <t>Deadline from API 07:24:02Z. Screen showed 04:53, then after 40 s in the background and other steps '02:16 remaining' at 07:21:44Z — true remaining time.</t>
        </is>
      </c>
    </row>
    <row r="116" ht="43" customHeight="1">
      <c r="A116" s="27" t="inlineStr">
        <is>
          <t>BL-PAY-002</t>
        </is>
      </c>
      <c r="B116" s="28" t="inlineStr">
        <is>
          <t>Payment</t>
        </is>
      </c>
      <c r="C116" s="28" t="inlineStr">
        <is>
          <t>Countdown &amp; deadline</t>
        </is>
      </c>
      <c r="D116" s="28" t="inlineStr">
        <is>
          <t>Expiry while on the payment screen</t>
        </is>
      </c>
      <c r="E116" s="28" t="inlineStr">
        <is>
          <t>Let the timer reach 00:00</t>
        </is>
      </c>
      <c r="F116" s="28" t="inlineStr">
        <is>
          <t>'The payment window closed' with Book again / Back to Home; underneath: 'Unpaid bookings are released after 5 minutes… Nothing has been charged.'</t>
        </is>
      </c>
      <c r="G116" s="29" t="inlineStr">
        <is>
          <t>P0</t>
        </is>
      </c>
      <c r="H116" s="29" t="inlineStr">
        <is>
          <t>State</t>
        </is>
      </c>
      <c r="I116" s="30" t="inlineStr">
        <is>
          <t>lib/features/payment/application/providers/payment_providers.dart:328</t>
        </is>
      </c>
      <c r="J116" s="29" t="n"/>
      <c r="K116" s="31" t="inlineStr">
        <is>
          <t>Pass</t>
        </is>
      </c>
      <c r="L116" s="32" t="inlineStr">
        <is>
          <t>Claude (adb)</t>
        </is>
      </c>
      <c r="M116" s="33" t="n">
        <v>46299</v>
      </c>
      <c r="N116" s="32" t="inlineStr">
        <is>
          <t>1.0.0+1 debug</t>
        </is>
      </c>
      <c r="O116" s="32" t="inlineStr">
        <is>
          <t>emulator-5554 / Android 14</t>
        </is>
      </c>
      <c r="P116" s="32" t="n"/>
      <c r="Q116" s="32" t="inlineStr">
        <is>
          <t>At 00:00 the result 'The payment window closed — Unpaid bookings are released after 5 minutes. Nothing has been charged.' appeared with 'Book again' / 'Back to Home'. API: booking cancelled by system, reason payment_timeout, within a minute.</t>
        </is>
      </c>
    </row>
    <row r="117" ht="43" customHeight="1">
      <c r="A117" s="27" t="inlineStr">
        <is>
          <t>BL-PAY-003</t>
        </is>
      </c>
      <c r="B117" s="28" t="inlineStr">
        <is>
          <t>Payment</t>
        </is>
      </c>
      <c r="C117" s="28" t="inlineStr">
        <is>
          <t>Countdown &amp; deadline</t>
        </is>
      </c>
      <c r="D117" s="28" t="inlineStr">
        <is>
          <t>Expired screen names the booking</t>
        </is>
      </c>
      <c r="E117" s="28" t="inlineStr">
        <is>
          <t>Let the timer expire and read the result body</t>
        </is>
      </c>
      <c r="F117" s="28" t="inlineStr">
        <is>
          <t>It should describe the lapsed booking. The code shows 'There is no booking attached to this outcome in this session.'</t>
        </is>
      </c>
      <c r="G117" s="29" t="inlineStr">
        <is>
          <t>P3</t>
        </is>
      </c>
      <c r="H117" s="29" t="inlineStr">
        <is>
          <t>Verify gap</t>
        </is>
      </c>
      <c r="I117" s="30" t="inlineStr">
        <is>
          <t>lib/features/payment/presentation/screen/payment_result_screen.dart:145</t>
        </is>
      </c>
      <c r="J117" s="29" t="n"/>
      <c r="K117" s="31" t="inlineStr">
        <is>
          <t>Pass</t>
        </is>
      </c>
      <c r="L117" s="32" t="inlineStr">
        <is>
          <t>Claude (adb)</t>
        </is>
      </c>
      <c r="M117" s="33" t="n">
        <v>46300</v>
      </c>
      <c r="N117" s="32" t="inlineStr">
        <is>
          <t>1.0.0+1 debug</t>
        </is>
      </c>
      <c r="O117" s="32" t="inlineStr">
        <is>
          <t>emulator-5554 / Android 14</t>
        </is>
      </c>
      <c r="P117" s="32" t="inlineStr">
        <is>
          <t>DEF-011</t>
        </is>
      </c>
      <c r="Q117" s="32" t="inlineStr">
        <is>
          <t>FIXED AND RETESTED (5 Oct 2026, rebuilt debug build; DEF-011). The expired result fell through to the generic 'no booking' notice although the session held the booking; it now has its own card (payment_result_screen.dart). Emulator: booked Dr. Meera Varghese 9:50 AM for Sanjay and let the 5 minutes run out on the payment screen -&gt; 'The payment window closed' with 'Booking LKSB-2610-00204 with Dr. Meera Varghese (Tomorrow - 6 Oct 2026 - 9:50 AM) was not paid in time, so it has been released and the slot is free again. Nothing was charged. Book again to choose a time.' Seen again for LKSB-2610-00205. Test added (payment_expired_test.dart). First observed: The expired result body reads 'There is no booking attached to this outcome in this session.' although the session had just held booking LKSB-2610-00187; the lapsed booking is not named.</t>
        </is>
      </c>
    </row>
    <row r="118" ht="30" customHeight="1">
      <c r="A118" s="27" t="inlineStr">
        <is>
          <t>BL-PAY-004</t>
        </is>
      </c>
      <c r="B118" s="28" t="inlineStr">
        <is>
          <t>Payment</t>
        </is>
      </c>
      <c r="C118" s="28" t="inlineStr">
        <is>
          <t>Countdown &amp; deadline</t>
        </is>
      </c>
      <c r="D118" s="28" t="inlineStr">
        <is>
          <t>Pay and retry are refused after the deadline</t>
        </is>
      </c>
      <c r="E118" s="28" t="inlineStr">
        <is>
          <t>1. Wait past the deadline
2. Tap Pay / Try again</t>
        </is>
      </c>
      <c r="F118" s="28" t="inlineStr">
        <is>
          <t>No Razorpay sheet; expired outcome.</t>
        </is>
      </c>
      <c r="G118" s="29" t="inlineStr">
        <is>
          <t>P0</t>
        </is>
      </c>
      <c r="H118" s="29" t="inlineStr">
        <is>
          <t>Boundary</t>
        </is>
      </c>
      <c r="I118" s="30" t="inlineStr">
        <is>
          <t>lib/features/payment/application/providers/payment_providers.dart:94</t>
        </is>
      </c>
      <c r="J118" s="29" t="n"/>
      <c r="K118" s="31" t="inlineStr">
        <is>
          <t>Pass</t>
        </is>
      </c>
      <c r="L118" s="32" t="inlineStr">
        <is>
          <t>Claude (adb)</t>
        </is>
      </c>
      <c r="M118" s="33" t="n">
        <v>46299</v>
      </c>
      <c r="N118" s="32" t="inlineStr">
        <is>
          <t>1.0.0+1 debug</t>
        </is>
      </c>
      <c r="O118" s="32" t="inlineStr">
        <is>
          <t>emulator-5554 / Android 14</t>
        </is>
      </c>
      <c r="P118" s="32" t="n"/>
      <c r="Q118" s="32" t="inlineStr">
        <is>
          <t>After the deadline the payment screen is replaced by the 'payment window closed' result; no Pay or retry control remains, only 'Book again' / 'Back to Home'.</t>
        </is>
      </c>
    </row>
    <row r="119" ht="43" customHeight="1">
      <c r="A119" s="27" t="inlineStr">
        <is>
          <t>BL-PAY-005</t>
        </is>
      </c>
      <c r="B119" s="28" t="inlineStr">
        <is>
          <t>Payment</t>
        </is>
      </c>
      <c r="C119" s="28" t="inlineStr">
        <is>
          <t>Countdown &amp; deadline</t>
        </is>
      </c>
      <c r="D119" s="28" t="inlineStr">
        <is>
          <t>Timer expiring while the Razorpay sheet is open</t>
        </is>
      </c>
      <c r="E119" s="28" t="inlineStr">
        <is>
          <t>1. Open the sheet with seconds left
2. Complete the payment just after 00:00</t>
        </is>
      </c>
      <c r="F119" s="28" t="inlineStr">
        <is>
          <t>The final screen must reflect what happened to the money. The code can leave the user on 'The payment window closed' after they actually paid.</t>
        </is>
      </c>
      <c r="G119" s="29" t="inlineStr">
        <is>
          <t>P0</t>
        </is>
      </c>
      <c r="H119" s="29" t="inlineStr">
        <is>
          <t>Verify gap</t>
        </is>
      </c>
      <c r="I119" s="30" t="inlineStr">
        <is>
          <t>lib/features/payment/presentation/screen/payment_screen.dart:130</t>
        </is>
      </c>
      <c r="J119" s="29" t="inlineStr">
        <is>
          <t>KB-02</t>
        </is>
      </c>
      <c r="K119" s="31" t="inlineStr">
        <is>
          <t>Blocked</t>
        </is>
      </c>
      <c r="L119" s="32" t="inlineStr">
        <is>
          <t>Claude (adb)</t>
        </is>
      </c>
      <c r="M119" s="33" t="n">
        <v>46299</v>
      </c>
      <c r="N119" s="32" t="inlineStr">
        <is>
          <t>1.0.0+1 debug</t>
        </is>
      </c>
      <c r="O119" s="32" t="inlineStr">
        <is>
          <t>emulator-5554 / Android 14</t>
        </is>
      </c>
      <c r="P119" s="32" t="n"/>
      <c r="Q119" s="32" t="inlineStr">
        <is>
          <t>KB-02: the server issues fake Razorpay orders with an empty key, so the Razorpay sheet never opens and no payment can be made or verified.</t>
        </is>
      </c>
    </row>
    <row r="120" ht="30" customHeight="1">
      <c r="A120" s="27" t="inlineStr">
        <is>
          <t>BL-PAY-006</t>
        </is>
      </c>
      <c r="B120" s="28" t="inlineStr">
        <is>
          <t>Payment</t>
        </is>
      </c>
      <c r="C120" s="28" t="inlineStr">
        <is>
          <t>Countdown &amp; deadline</t>
        </is>
      </c>
      <c r="D120" s="28" t="inlineStr">
        <is>
          <t>Retry does not extend the deadline</t>
        </is>
      </c>
      <c r="E120" s="28" t="inlineStr">
        <is>
          <t>1. Fail a payment
2. Try again</t>
        </is>
      </c>
      <c r="F120" s="28" t="inlineStr">
        <is>
          <t>'Attempt 2 — the deadline above has not changed.'; countdown continues.</t>
        </is>
      </c>
      <c r="G120" s="29" t="inlineStr">
        <is>
          <t>P1</t>
        </is>
      </c>
      <c r="H120" s="29" t="inlineStr">
        <is>
          <t>Rule</t>
        </is>
      </c>
      <c r="I120" s="30" t="inlineStr">
        <is>
          <t>lib/features/payment/presentation/screen/payment_screen.dart:321</t>
        </is>
      </c>
      <c r="J120" s="29" t="inlineStr">
        <is>
          <t>KB-02</t>
        </is>
      </c>
      <c r="K120" s="31" t="inlineStr">
        <is>
          <t>Blocked</t>
        </is>
      </c>
      <c r="L120" s="32" t="inlineStr">
        <is>
          <t>Claude (adb)</t>
        </is>
      </c>
      <c r="M120" s="33" t="n">
        <v>46299</v>
      </c>
      <c r="N120" s="32" t="inlineStr">
        <is>
          <t>1.0.0+1 debug</t>
        </is>
      </c>
      <c r="O120" s="32" t="inlineStr">
        <is>
          <t>emulator-5554 / Android 14</t>
        </is>
      </c>
      <c r="P120" s="32" t="n"/>
      <c r="Q120" s="32" t="inlineStr">
        <is>
          <t>KB-02: the server issues fake Razorpay orders with an empty key, so the Razorpay sheet never opens and no payment can be made or verified.</t>
        </is>
      </c>
    </row>
    <row r="121" ht="43" customHeight="1">
      <c r="A121" s="27" t="inlineStr">
        <is>
          <t>BL-PAY-007</t>
        </is>
      </c>
      <c r="B121" s="28" t="inlineStr">
        <is>
          <t>Payment</t>
        </is>
      </c>
      <c r="C121" s="28" t="inlineStr">
        <is>
          <t>Razorpay checkout</t>
        </is>
      </c>
      <c r="D121" s="28" t="inlineStr">
        <is>
          <t>Sheet is opened with the order's values</t>
        </is>
      </c>
      <c r="E121" s="28" t="inlineStr">
        <is>
          <t>Tap 'Pay ₹X'</t>
        </is>
      </c>
      <c r="F121" s="28" t="inlineStr">
        <is>
          <t>Sheet shows the same amount, 'Medibook', the booking reference, and the user's contact prefilled.</t>
        </is>
      </c>
      <c r="G121" s="29" t="inlineStr">
        <is>
          <t>P0</t>
        </is>
      </c>
      <c r="H121" s="29" t="inlineStr">
        <is>
          <t>Data mapping</t>
        </is>
      </c>
      <c r="I121" s="30" t="inlineStr">
        <is>
          <t>lib/features/payment/infrastructure/data_sources/remote/razorpay_checkout_gateway.dart:42</t>
        </is>
      </c>
      <c r="J121" s="29" t="inlineStr">
        <is>
          <t>KB-02</t>
        </is>
      </c>
      <c r="K121" s="31" t="inlineStr">
        <is>
          <t>Blocked</t>
        </is>
      </c>
      <c r="L121" s="32" t="inlineStr">
        <is>
          <t>Claude (adb)</t>
        </is>
      </c>
      <c r="M121" s="33" t="n">
        <v>46299</v>
      </c>
      <c r="N121" s="32" t="inlineStr">
        <is>
          <t>1.0.0+1 debug</t>
        </is>
      </c>
      <c r="O121" s="32" t="inlineStr">
        <is>
          <t>emulator-5554 / Android 14</t>
        </is>
      </c>
      <c r="P121" s="32" t="n"/>
      <c r="Q121" s="32" t="inlineStr">
        <is>
          <t>KB-02: the server issues fake Razorpay orders with an empty key, so the Razorpay sheet never opens and no payment can be made or verified.</t>
        </is>
      </c>
    </row>
    <row r="122" ht="43" customHeight="1">
      <c r="A122" s="27" t="inlineStr">
        <is>
          <t>BL-PAY-008</t>
        </is>
      </c>
      <c r="B122" s="28" t="inlineStr">
        <is>
          <t>Payment</t>
        </is>
      </c>
      <c r="C122" s="28" t="inlineStr">
        <is>
          <t>Razorpay checkout</t>
        </is>
      </c>
      <c r="D122" s="28" t="inlineStr">
        <is>
          <t>Gateway not set up</t>
        </is>
      </c>
      <c r="E122" s="28" t="inlineStr">
        <is>
          <t>Use a hospital whose order has no key</t>
        </is>
      </c>
      <c r="F122" s="28" t="inlineStr">
        <is>
          <t>'Online payment is not set up for this hospital yet… Nothing has been charged.'; sheet does not open.</t>
        </is>
      </c>
      <c r="G122" s="29" t="inlineStr">
        <is>
          <t>P1</t>
        </is>
      </c>
      <c r="H122" s="29" t="inlineStr">
        <is>
          <t>Error handling</t>
        </is>
      </c>
      <c r="I122" s="30" t="inlineStr">
        <is>
          <t>lib/features/payment/application/providers/payment_providers.dart:101</t>
        </is>
      </c>
      <c r="J122" s="29" t="n"/>
      <c r="K122" s="31" t="inlineStr">
        <is>
          <t>Pass</t>
        </is>
      </c>
      <c r="L122" s="32" t="inlineStr">
        <is>
          <t>Claude (adb)</t>
        </is>
      </c>
      <c r="M122" s="33" t="n">
        <v>46299</v>
      </c>
      <c r="N122" s="32" t="inlineStr">
        <is>
          <t>1.0.0+1 debug</t>
        </is>
      </c>
      <c r="O122" s="32" t="inlineStr">
        <is>
          <t>emulator-5554 / Android 14</t>
        </is>
      </c>
      <c r="P122" s="32" t="n"/>
      <c r="Q122" s="32" t="inlineStr">
        <is>
          <t>Order has an empty gateway key (KB-02). Tapping 'Pay ₹424 with Razorpay' shows 'Payment failed — Nothing has been charged…' with 'Online payment is not set up for this hospital yet, so this booking cannot be paid in the app. Nothing has been charged.'; the Razorpay sheet does not open.</t>
        </is>
      </c>
    </row>
    <row r="123" ht="43" customHeight="1">
      <c r="A123" s="27" t="inlineStr">
        <is>
          <t>BL-PAY-009</t>
        </is>
      </c>
      <c r="B123" s="28" t="inlineStr">
        <is>
          <t>Payment</t>
        </is>
      </c>
      <c r="C123" s="28" t="inlineStr">
        <is>
          <t>Razorpay checkout</t>
        </is>
      </c>
      <c r="D123" s="28" t="inlineStr">
        <is>
          <t>Closing the sheet is not a failed payment</t>
        </is>
      </c>
      <c r="E123" s="28" t="inlineStr">
        <is>
          <t>1. Open the sheet
2. Dismiss it
3. Tap Pay again</t>
        </is>
      </c>
      <c r="F123" s="28" t="inlineStr">
        <is>
          <t>'You closed the payment sheet before paying. Nothing has been charged.'; same order reopens (no new attempt).</t>
        </is>
      </c>
      <c r="G123" s="29" t="inlineStr">
        <is>
          <t>P0</t>
        </is>
      </c>
      <c r="H123" s="29" t="inlineStr">
        <is>
          <t>State</t>
        </is>
      </c>
      <c r="I123" s="30" t="inlineStr">
        <is>
          <t>lib/features/payment/presentation/screen/payment_screen.dart:126</t>
        </is>
      </c>
      <c r="J123" s="29" t="inlineStr">
        <is>
          <t>KB-02</t>
        </is>
      </c>
      <c r="K123" s="31" t="inlineStr">
        <is>
          <t>Blocked</t>
        </is>
      </c>
      <c r="L123" s="32" t="inlineStr">
        <is>
          <t>Claude (adb)</t>
        </is>
      </c>
      <c r="M123" s="33" t="n">
        <v>46299</v>
      </c>
      <c r="N123" s="32" t="inlineStr">
        <is>
          <t>1.0.0+1 debug</t>
        </is>
      </c>
      <c r="O123" s="32" t="inlineStr">
        <is>
          <t>emulator-5554 / Android 14</t>
        </is>
      </c>
      <c r="P123" s="32" t="n"/>
      <c r="Q123" s="32" t="inlineStr">
        <is>
          <t>KB-02: the server issues fake Razorpay orders with an empty key, so the Razorpay sheet never opens and no payment can be made or verified.</t>
        </is>
      </c>
    </row>
    <row r="124" ht="43" customHeight="1">
      <c r="A124" s="27" t="inlineStr">
        <is>
          <t>BL-PAY-010</t>
        </is>
      </c>
      <c r="B124" s="28" t="inlineStr">
        <is>
          <t>Payment</t>
        </is>
      </c>
      <c r="C124" s="28" t="inlineStr">
        <is>
          <t>Razorpay checkout</t>
        </is>
      </c>
      <c r="D124" s="28" t="inlineStr">
        <is>
          <t>Failure reasons</t>
        </is>
      </c>
      <c r="E124" s="28" t="inlineStr">
        <is>
          <t>1. Use a declined test card
2. Drop the network inside the sheet</t>
        </is>
      </c>
      <c r="F124" s="28" t="inlineStr">
        <is>
          <t>'The bank declined this payment. No money has left your account.' / 'The payment could not reach the bank. Check your connection and try again.'</t>
        </is>
      </c>
      <c r="G124" s="29" t="inlineStr">
        <is>
          <t>P1</t>
        </is>
      </c>
      <c r="H124" s="29" t="inlineStr">
        <is>
          <t>Error handling</t>
        </is>
      </c>
      <c r="I124" s="30" t="inlineStr">
        <is>
          <t>lib/features/payment/infrastructure/data_sources/remote/razorpay_checkout_gateway.dart:99</t>
        </is>
      </c>
      <c r="J124" s="29" t="inlineStr">
        <is>
          <t>KB-02</t>
        </is>
      </c>
      <c r="K124" s="31" t="inlineStr">
        <is>
          <t>Blocked</t>
        </is>
      </c>
      <c r="L124" s="32" t="inlineStr">
        <is>
          <t>Claude (adb)</t>
        </is>
      </c>
      <c r="M124" s="33" t="n">
        <v>46299</v>
      </c>
      <c r="N124" s="32" t="inlineStr">
        <is>
          <t>1.0.0+1 debug</t>
        </is>
      </c>
      <c r="O124" s="32" t="inlineStr">
        <is>
          <t>emulator-5554 / Android 14</t>
        </is>
      </c>
      <c r="P124" s="32" t="n"/>
      <c r="Q124" s="32" t="inlineStr">
        <is>
          <t>KB-02: the server issues fake Razorpay orders with an empty key, so the Razorpay sheet never opens and no payment can be made or verified.</t>
        </is>
      </c>
    </row>
    <row r="125" ht="30" customHeight="1">
      <c r="A125" s="27" t="inlineStr">
        <is>
          <t>BL-PAY-011</t>
        </is>
      </c>
      <c r="B125" s="28" t="inlineStr">
        <is>
          <t>Payment</t>
        </is>
      </c>
      <c r="C125" s="28" t="inlineStr">
        <is>
          <t>Razorpay checkout</t>
        </is>
      </c>
      <c r="D125" s="28" t="inlineStr">
        <is>
          <t>No double charge from repeated taps</t>
        </is>
      </c>
      <c r="E125" s="28" t="inlineStr">
        <is>
          <t>Tap Pay repeatedly while it is working</t>
        </is>
      </c>
      <c r="F125" s="28" t="inlineStr">
        <is>
          <t>One sheet; 'You will not be charged twice — tapping again while this is running does nothing.'</t>
        </is>
      </c>
      <c r="G125" s="29" t="inlineStr">
        <is>
          <t>P0</t>
        </is>
      </c>
      <c r="H125" s="29" t="inlineStr">
        <is>
          <t>Rule</t>
        </is>
      </c>
      <c r="I125" s="30" t="inlineStr">
        <is>
          <t>lib/features/payment/application/providers/payment_providers.dart:91</t>
        </is>
      </c>
      <c r="J125" s="29" t="inlineStr">
        <is>
          <t>KB-02</t>
        </is>
      </c>
      <c r="K125" s="31" t="inlineStr">
        <is>
          <t>Blocked</t>
        </is>
      </c>
      <c r="L125" s="32" t="inlineStr">
        <is>
          <t>Claude (adb)</t>
        </is>
      </c>
      <c r="M125" s="33" t="n">
        <v>46299</v>
      </c>
      <c r="N125" s="32" t="inlineStr">
        <is>
          <t>1.0.0+1 debug</t>
        </is>
      </c>
      <c r="O125" s="32" t="inlineStr">
        <is>
          <t>emulator-5554 / Android 14</t>
        </is>
      </c>
      <c r="P125" s="32" t="n"/>
      <c r="Q125" s="32" t="inlineStr">
        <is>
          <t>KB-02: the server issues fake Razorpay orders with an empty key, so the Razorpay sheet never opens and no payment can be made or verified.</t>
        </is>
      </c>
    </row>
    <row r="126" ht="43" customHeight="1">
      <c r="A126" s="27" t="inlineStr">
        <is>
          <t>BL-PAY-012</t>
        </is>
      </c>
      <c r="B126" s="28" t="inlineStr">
        <is>
          <t>Payment</t>
        </is>
      </c>
      <c r="C126" s="28" t="inlineStr">
        <is>
          <t>Razorpay checkout</t>
        </is>
      </c>
      <c r="D126" s="28" t="inlineStr">
        <is>
          <t>External wallet / UPI app hand-off</t>
        </is>
      </c>
      <c r="E126" s="28" t="inlineStr">
        <is>
          <t>Pay through an external app and return</t>
        </is>
      </c>
      <c r="F126" s="28" t="inlineStr">
        <is>
          <t>'Checking payment status…' then success if paid, else the Pay button again.</t>
        </is>
      </c>
      <c r="G126" s="29" t="inlineStr">
        <is>
          <t>P1</t>
        </is>
      </c>
      <c r="H126" s="29" t="inlineStr">
        <is>
          <t>State</t>
        </is>
      </c>
      <c r="I126" s="30" t="inlineStr">
        <is>
          <t>lib/features/payment/application/providers/payment_providers.dart:152</t>
        </is>
      </c>
      <c r="J126" s="29" t="inlineStr">
        <is>
          <t>KB-02</t>
        </is>
      </c>
      <c r="K126" s="31" t="inlineStr">
        <is>
          <t>Blocked</t>
        </is>
      </c>
      <c r="L126" s="32" t="inlineStr">
        <is>
          <t>Claude (adb)</t>
        </is>
      </c>
      <c r="M126" s="33" t="n">
        <v>46299</v>
      </c>
      <c r="N126" s="32" t="inlineStr">
        <is>
          <t>1.0.0+1 debug</t>
        </is>
      </c>
      <c r="O126" s="32" t="inlineStr">
        <is>
          <t>emulator-5554 / Android 14</t>
        </is>
      </c>
      <c r="P126" s="32" t="n"/>
      <c r="Q126" s="32" t="inlineStr">
        <is>
          <t>KB-02: the server issues fake Razorpay orders with an empty key, so the Razorpay sheet never opens and no payment can be made or verified.</t>
        </is>
      </c>
    </row>
    <row r="127" ht="43" customHeight="1">
      <c r="A127" s="27" t="inlineStr">
        <is>
          <t>BL-PAY-013</t>
        </is>
      </c>
      <c r="B127" s="28" t="inlineStr">
        <is>
          <t>Payment</t>
        </is>
      </c>
      <c r="C127" s="28" t="inlineStr">
        <is>
          <t>Verification</t>
        </is>
      </c>
      <c r="D127" s="28" t="inlineStr">
        <is>
          <t>Outcome after a successful payment</t>
        </is>
      </c>
      <c r="E127" s="28" t="inlineStr">
        <is>
          <t>Pay at an auto-confirm hospital, a manual-approval hospital, and after the deadline</t>
        </is>
      </c>
      <c r="F127" s="28" t="inlineStr">
        <is>
          <t>'Payment successful' / 'Paid — awaiting hospital confirmation' / 'Payment received too late'.</t>
        </is>
      </c>
      <c r="G127" s="29" t="inlineStr">
        <is>
          <t>P0</t>
        </is>
      </c>
      <c r="H127" s="29" t="inlineStr">
        <is>
          <t>State</t>
        </is>
      </c>
      <c r="I127" s="30" t="inlineStr">
        <is>
          <t>lib/features/payment/application/providers/payment_providers.dart:183</t>
        </is>
      </c>
      <c r="J127" s="29" t="inlineStr">
        <is>
          <t>KB-02</t>
        </is>
      </c>
      <c r="K127" s="31" t="inlineStr">
        <is>
          <t>Blocked</t>
        </is>
      </c>
      <c r="L127" s="32" t="inlineStr">
        <is>
          <t>Claude (adb)</t>
        </is>
      </c>
      <c r="M127" s="33" t="n">
        <v>46299</v>
      </c>
      <c r="N127" s="32" t="inlineStr">
        <is>
          <t>1.0.0+1 debug</t>
        </is>
      </c>
      <c r="O127" s="32" t="inlineStr">
        <is>
          <t>emulator-5554 / Android 14</t>
        </is>
      </c>
      <c r="P127" s="32" t="n"/>
      <c r="Q127" s="32" t="inlineStr">
        <is>
          <t>KB-02: the server issues fake Razorpay orders with an empty key, so the Razorpay sheet never opens and no payment can be made or verified.</t>
        </is>
      </c>
    </row>
    <row r="128" ht="43" customHeight="1">
      <c r="A128" s="27" t="inlineStr">
        <is>
          <t>BL-PAY-014</t>
        </is>
      </c>
      <c r="B128" s="28" t="inlineStr">
        <is>
          <t>Payment</t>
        </is>
      </c>
      <c r="C128" s="28" t="inlineStr">
        <is>
          <t>Verification</t>
        </is>
      </c>
      <c r="D128" s="28" t="inlineStr">
        <is>
          <t>Signature failure</t>
        </is>
      </c>
      <c r="E128" s="28" t="inlineStr">
        <is>
          <t>Tamper with the verify request</t>
        </is>
      </c>
      <c r="F128" s="28" t="inlineStr">
        <is>
          <t>'The payment could not be verified. If money left your account it will be refunded automatically.'</t>
        </is>
      </c>
      <c r="G128" s="29" t="inlineStr">
        <is>
          <t>P1</t>
        </is>
      </c>
      <c r="H128" s="29" t="inlineStr">
        <is>
          <t>Error handling</t>
        </is>
      </c>
      <c r="I128" s="30" t="inlineStr">
        <is>
          <t>lib/features/payment/application/providers/payment_providers.dart:196</t>
        </is>
      </c>
      <c r="J128" s="29" t="inlineStr">
        <is>
          <t>KB-02</t>
        </is>
      </c>
      <c r="K128" s="31" t="inlineStr">
        <is>
          <t>Blocked</t>
        </is>
      </c>
      <c r="L128" s="32" t="inlineStr">
        <is>
          <t>Claude (adb)</t>
        </is>
      </c>
      <c r="M128" s="33" t="n">
        <v>46299</v>
      </c>
      <c r="N128" s="32" t="inlineStr">
        <is>
          <t>1.0.0+1 debug</t>
        </is>
      </c>
      <c r="O128" s="32" t="inlineStr">
        <is>
          <t>emulator-5554 / Android 14</t>
        </is>
      </c>
      <c r="P128" s="32" t="n"/>
      <c r="Q128" s="32" t="inlineStr">
        <is>
          <t>KB-02: the server issues fake Razorpay orders with an empty key, so the Razorpay sheet never opens and no payment can be made or verified.</t>
        </is>
      </c>
    </row>
    <row r="129" ht="56" customHeight="1">
      <c r="A129" s="27" t="inlineStr">
        <is>
          <t>BL-PAY-015</t>
        </is>
      </c>
      <c r="B129" s="28" t="inlineStr">
        <is>
          <t>Payment</t>
        </is>
      </c>
      <c r="C129" s="28" t="inlineStr">
        <is>
          <t>Verification</t>
        </is>
      </c>
      <c r="D129" s="28" t="inlineStr">
        <is>
          <t>Network drop right after paying</t>
        </is>
      </c>
      <c r="E129" s="28" t="inlineStr">
        <is>
          <t>1. Pay successfully
2. Go offline before the app confirms it</t>
        </is>
      </c>
      <c r="F129" s="28" t="inlineStr">
        <is>
          <t>User must not be told nothing was charged. The code shows 'Payment failed — Nothing has been charged' and offers a new payment (the server's already-paid answer is the only protection).</t>
        </is>
      </c>
      <c r="G129" s="29" t="inlineStr">
        <is>
          <t>P0</t>
        </is>
      </c>
      <c r="H129" s="29" t="inlineStr">
        <is>
          <t>Verify gap</t>
        </is>
      </c>
      <c r="I129" s="30" t="inlineStr">
        <is>
          <t>lib/features/payment/application/providers/payment_providers.dart:195</t>
        </is>
      </c>
      <c r="J129" s="29" t="inlineStr">
        <is>
          <t>KB-02</t>
        </is>
      </c>
      <c r="K129" s="31" t="inlineStr">
        <is>
          <t>Blocked</t>
        </is>
      </c>
      <c r="L129" s="32" t="inlineStr">
        <is>
          <t>Claude (adb)</t>
        </is>
      </c>
      <c r="M129" s="33" t="n">
        <v>46299</v>
      </c>
      <c r="N129" s="32" t="inlineStr">
        <is>
          <t>1.0.0+1 debug</t>
        </is>
      </c>
      <c r="O129" s="32" t="inlineStr">
        <is>
          <t>emulator-5554 / Android 14</t>
        </is>
      </c>
      <c r="P129" s="32" t="n"/>
      <c r="Q129" s="32" t="inlineStr">
        <is>
          <t>KB-02: the server issues fake Razorpay orders with an empty key, so the Razorpay sheet never opens and no payment can be made or verified.</t>
        </is>
      </c>
    </row>
    <row r="130" ht="43" customHeight="1">
      <c r="A130" s="27" t="inlineStr">
        <is>
          <t>BL-PAY-016</t>
        </is>
      </c>
      <c r="B130" s="28" t="inlineStr">
        <is>
          <t>Payment</t>
        </is>
      </c>
      <c r="C130" s="28" t="inlineStr">
        <is>
          <t>Verification</t>
        </is>
      </c>
      <c r="D130" s="28" t="inlineStr">
        <is>
          <t>Payment detected without the verify call</t>
        </is>
      </c>
      <c r="E130" s="28" t="inlineStr">
        <is>
          <t>Pay, background the app before it confirms, and return (or pay via webhook)</t>
        </is>
      </c>
      <c r="F130" s="28" t="inlineStr">
        <is>
          <t>Success screen without a second charge.</t>
        </is>
      </c>
      <c r="G130" s="29" t="inlineStr">
        <is>
          <t>P0</t>
        </is>
      </c>
      <c r="H130" s="29" t="inlineStr">
        <is>
          <t>State</t>
        </is>
      </c>
      <c r="I130" s="30" t="inlineStr">
        <is>
          <t>lib/features/payment/application/providers/payment_providers.dart:290</t>
        </is>
      </c>
      <c r="J130" s="29" t="inlineStr">
        <is>
          <t>KB-02</t>
        </is>
      </c>
      <c r="K130" s="31" t="inlineStr">
        <is>
          <t>Blocked</t>
        </is>
      </c>
      <c r="L130" s="32" t="inlineStr">
        <is>
          <t>Claude (adb)</t>
        </is>
      </c>
      <c r="M130" s="33" t="n">
        <v>46299</v>
      </c>
      <c r="N130" s="32" t="inlineStr">
        <is>
          <t>1.0.0+1 debug</t>
        </is>
      </c>
      <c r="O130" s="32" t="inlineStr">
        <is>
          <t>emulator-5554 / Android 14</t>
        </is>
      </c>
      <c r="P130" s="32" t="n"/>
      <c r="Q130" s="32" t="inlineStr">
        <is>
          <t>KB-02: the server issues fake Razorpay orders with an empty key, so the Razorpay sheet never opens and no payment can be made or verified.</t>
        </is>
      </c>
    </row>
    <row r="131" ht="43" customHeight="1">
      <c r="A131" s="27" t="inlineStr">
        <is>
          <t>BL-PAY-017</t>
        </is>
      </c>
      <c r="B131" s="28" t="inlineStr">
        <is>
          <t>Payment</t>
        </is>
      </c>
      <c r="C131" s="28" t="inlineStr">
        <is>
          <t>Verification</t>
        </is>
      </c>
      <c r="D131" s="28" t="inlineStr">
        <is>
          <t>Manual-approval hospital detected by polling</t>
        </is>
      </c>
      <c r="E131" s="28" t="inlineStr">
        <is>
          <t>At a manual-approval hospital, have the payment picked up on resume rather than by direct confirmation</t>
        </is>
      </c>
      <c r="F131" s="28" t="inlineStr">
        <is>
          <t>It should say awaiting confirmation. The code shows 'Payment successful / confirmed' with status 'pending payment' and no method/date rows.</t>
        </is>
      </c>
      <c r="G131" s="29" t="inlineStr">
        <is>
          <t>P1</t>
        </is>
      </c>
      <c r="H131" s="29" t="inlineStr">
        <is>
          <t>Verify gap</t>
        </is>
      </c>
      <c r="I131" s="30" t="inlineStr">
        <is>
          <t>lib/features/payment/application/providers/payment_providers.dart:291</t>
        </is>
      </c>
      <c r="J131" s="29" t="inlineStr">
        <is>
          <t>KB-02</t>
        </is>
      </c>
      <c r="K131" s="31" t="inlineStr">
        <is>
          <t>Blocked</t>
        </is>
      </c>
      <c r="L131" s="32" t="inlineStr">
        <is>
          <t>Claude (adb)</t>
        </is>
      </c>
      <c r="M131" s="33" t="n">
        <v>46299</v>
      </c>
      <c r="N131" s="32" t="inlineStr">
        <is>
          <t>1.0.0+1 debug</t>
        </is>
      </c>
      <c r="O131" s="32" t="inlineStr">
        <is>
          <t>emulator-5554 / Android 14</t>
        </is>
      </c>
      <c r="P131" s="32" t="n"/>
      <c r="Q131" s="32" t="inlineStr">
        <is>
          <t>KB-02: the server issues fake Razorpay orders with an empty key, so the Razorpay sheet never opens and no payment can be made or verified.</t>
        </is>
      </c>
    </row>
    <row r="132" ht="43" customHeight="1">
      <c r="A132" s="27" t="inlineStr">
        <is>
          <t>BL-PAY-018</t>
        </is>
      </c>
      <c r="B132" s="28" t="inlineStr">
        <is>
          <t>Payment</t>
        </is>
      </c>
      <c r="C132" s="28" t="inlineStr">
        <is>
          <t>Verification</t>
        </is>
      </c>
      <c r="D132" s="28" t="inlineStr">
        <is>
          <t>App killed during checkout</t>
        </is>
      </c>
      <c r="E132" s="28" t="inlineStr">
        <is>
          <t>1. Pay in the UPI app
2. Kill Medibook
3. Relaunch</t>
        </is>
      </c>
      <c r="F132" s="28" t="inlineStr">
        <is>
          <t>The booking shows as paid. The code has no automatic recovery on cold start; check the appointment list and 'Retry payment' path show 'This booking is already paid'.</t>
        </is>
      </c>
      <c r="G132" s="29" t="inlineStr">
        <is>
          <t>P0</t>
        </is>
      </c>
      <c r="H132" s="29" t="inlineStr">
        <is>
          <t>Verify gap</t>
        </is>
      </c>
      <c r="I132" s="30" t="inlineStr">
        <is>
          <t>lib/features/payment/presentation/screen/payment_screen.dart:210</t>
        </is>
      </c>
      <c r="J132" s="29" t="inlineStr">
        <is>
          <t>KB-02</t>
        </is>
      </c>
      <c r="K132" s="31" t="inlineStr">
        <is>
          <t>Blocked</t>
        </is>
      </c>
      <c r="L132" s="32" t="inlineStr">
        <is>
          <t>Claude (adb)</t>
        </is>
      </c>
      <c r="M132" s="33" t="n">
        <v>46299</v>
      </c>
      <c r="N132" s="32" t="inlineStr">
        <is>
          <t>1.0.0+1 debug</t>
        </is>
      </c>
      <c r="O132" s="32" t="inlineStr">
        <is>
          <t>emulator-5554 / Android 14</t>
        </is>
      </c>
      <c r="P132" s="32" t="n"/>
      <c r="Q132" s="32" t="inlineStr">
        <is>
          <t>KB-02: the server issues fake Razorpay orders with an empty key, so the Razorpay sheet never opens and no payment can be made or verified.</t>
        </is>
      </c>
    </row>
    <row r="133" ht="43" customHeight="1">
      <c r="A133" s="27" t="inlineStr">
        <is>
          <t>BL-PAY-019</t>
        </is>
      </c>
      <c r="B133" s="28" t="inlineStr">
        <is>
          <t>Payment</t>
        </is>
      </c>
      <c r="C133" s="28" t="inlineStr">
        <is>
          <t>Retry</t>
        </is>
      </c>
      <c r="D133" s="28" t="inlineStr">
        <is>
          <t>Try again creates a new order and opens the sheet</t>
        </is>
      </c>
      <c r="E133" s="28" t="inlineStr">
        <is>
          <t>1. Decline a payment
2. 'Try again' on the result
3. 'Try again — ₹X'</t>
        </is>
      </c>
      <c r="F133" s="28" t="inlineStr">
        <is>
          <t>New order, attempt count up by one, sheet opens without another tap.</t>
        </is>
      </c>
      <c r="G133" s="29" t="inlineStr">
        <is>
          <t>P0</t>
        </is>
      </c>
      <c r="H133" s="29" t="inlineStr">
        <is>
          <t>State</t>
        </is>
      </c>
      <c r="I133" s="30" t="inlineStr">
        <is>
          <t>lib/features/payment/application/providers/payment_providers.dart:229</t>
        </is>
      </c>
      <c r="J133" s="29" t="inlineStr">
        <is>
          <t>KB-02</t>
        </is>
      </c>
      <c r="K133" s="31" t="inlineStr">
        <is>
          <t>Blocked</t>
        </is>
      </c>
      <c r="L133" s="32" t="inlineStr">
        <is>
          <t>Claude (adb)</t>
        </is>
      </c>
      <c r="M133" s="33" t="n">
        <v>46299</v>
      </c>
      <c r="N133" s="32" t="inlineStr">
        <is>
          <t>1.0.0+1 debug</t>
        </is>
      </c>
      <c r="O133" s="32" t="inlineStr">
        <is>
          <t>emulator-5554 / Android 14</t>
        </is>
      </c>
      <c r="P133" s="32" t="n"/>
      <c r="Q133" s="32" t="inlineStr">
        <is>
          <t>KB-02: the server issues fake Razorpay orders with an empty key, so the Razorpay sheet never opens and no payment can be made or verified.</t>
        </is>
      </c>
    </row>
    <row r="134" ht="43" customHeight="1">
      <c r="A134" s="27" t="inlineStr">
        <is>
          <t>BL-PAY-020</t>
        </is>
      </c>
      <c r="B134" s="28" t="inlineStr">
        <is>
          <t>Payment</t>
        </is>
      </c>
      <c r="C134" s="28" t="inlineStr">
        <is>
          <t>Retry</t>
        </is>
      </c>
      <c r="D134" s="28" t="inlineStr">
        <is>
          <t>Retry when already paid / after auto-cancel</t>
        </is>
      </c>
      <c r="E134" s="28" t="inlineStr">
        <is>
          <t>1. Retry after the money was captured
2. Retry after the booking was auto-cancelled</t>
        </is>
      </c>
      <c r="F134" s="28" t="inlineStr">
        <is>
          <t>Success screen / 'The payment window closed'.</t>
        </is>
      </c>
      <c r="G134" s="29" t="inlineStr">
        <is>
          <t>P1</t>
        </is>
      </c>
      <c r="H134" s="29" t="inlineStr">
        <is>
          <t>Error handling</t>
        </is>
      </c>
      <c r="I134" s="30" t="inlineStr">
        <is>
          <t>lib/features/payment/application/providers/payment_providers.dart:251</t>
        </is>
      </c>
      <c r="J134" s="29" t="inlineStr">
        <is>
          <t>KB-02</t>
        </is>
      </c>
      <c r="K134" s="31" t="inlineStr">
        <is>
          <t>Blocked</t>
        </is>
      </c>
      <c r="L134" s="32" t="inlineStr">
        <is>
          <t>Claude (adb)</t>
        </is>
      </c>
      <c r="M134" s="33" t="n">
        <v>46299</v>
      </c>
      <c r="N134" s="32" t="inlineStr">
        <is>
          <t>1.0.0+1 debug</t>
        </is>
      </c>
      <c r="O134" s="32" t="inlineStr">
        <is>
          <t>emulator-5554 / Android 14</t>
        </is>
      </c>
      <c r="P134" s="32" t="n"/>
      <c r="Q134" s="32" t="inlineStr">
        <is>
          <t>KB-02: the server issues fake Razorpay orders with an empty key, so the Razorpay sheet never opens and no payment can be made or verified.</t>
        </is>
      </c>
    </row>
    <row r="135" ht="43" customHeight="1">
      <c r="A135" s="27" t="inlineStr">
        <is>
          <t>BL-PAY-021</t>
        </is>
      </c>
      <c r="B135" s="28" t="inlineStr">
        <is>
          <t>Payment</t>
        </is>
      </c>
      <c r="C135" s="28" t="inlineStr">
        <is>
          <t>Retry</t>
        </is>
      </c>
      <c r="D135" s="28" t="inlineStr">
        <is>
          <t>Leaving and re-entering payment after a retry</t>
        </is>
      </c>
      <c r="E135" s="28" t="inlineStr">
        <is>
          <t>1. Retry once (new order)
2. Back out to step 4
3. Tap 'Complete payment'</t>
        </is>
      </c>
      <c r="F135" s="28" t="inlineStr">
        <is>
          <t>It should continue with the latest order. The code restarts from the original, superseded order.</t>
        </is>
      </c>
      <c r="G135" s="29" t="inlineStr">
        <is>
          <t>P1</t>
        </is>
      </c>
      <c r="H135" s="29" t="inlineStr">
        <is>
          <t>Verify gap</t>
        </is>
      </c>
      <c r="I135" s="30" t="inlineStr">
        <is>
          <t>lib/features/booking/application/providers/booking_providers.dart:158</t>
        </is>
      </c>
      <c r="J135" s="29" t="inlineStr">
        <is>
          <t>KB-02</t>
        </is>
      </c>
      <c r="K135" s="31" t="inlineStr">
        <is>
          <t>Blocked</t>
        </is>
      </c>
      <c r="L135" s="32" t="inlineStr">
        <is>
          <t>Claude (adb)</t>
        </is>
      </c>
      <c r="M135" s="33" t="n">
        <v>46299</v>
      </c>
      <c r="N135" s="32" t="inlineStr">
        <is>
          <t>1.0.0+1 debug</t>
        </is>
      </c>
      <c r="O135" s="32" t="inlineStr">
        <is>
          <t>emulator-5554 / Android 14</t>
        </is>
      </c>
      <c r="P135" s="32" t="n"/>
      <c r="Q135" s="32" t="inlineStr">
        <is>
          <t>KB-02: the server issues fake Razorpay orders with an empty key, so the Razorpay sheet never opens and no payment can be made or verified.</t>
        </is>
      </c>
    </row>
    <row r="136" ht="43" customHeight="1">
      <c r="A136" s="27" t="inlineStr">
        <is>
          <t>BL-PAY-022</t>
        </is>
      </c>
      <c r="B136" s="28" t="inlineStr">
        <is>
          <t>Payment</t>
        </is>
      </c>
      <c r="C136" s="28" t="inlineStr">
        <is>
          <t>Result &amp; resume</t>
        </is>
      </c>
      <c r="D136" s="28" t="inlineStr">
        <is>
          <t>Result screen content</t>
        </is>
      </c>
      <c r="E136" s="28" t="inlineStr">
        <is>
          <t>Complete a UPI payment</t>
        </is>
      </c>
      <c r="F136" s="28" t="inlineStr">
        <is>
          <t>Token (or 'Assigned by the hospital'), booking reference, date/time in hospital time; Paid amount, Method 'UPI', date, Status 'Confirmed'.</t>
        </is>
      </c>
      <c r="G136" s="29" t="inlineStr">
        <is>
          <t>P0</t>
        </is>
      </c>
      <c r="H136" s="29" t="inlineStr">
        <is>
          <t>Data mapping</t>
        </is>
      </c>
      <c r="I136" s="30" t="inlineStr">
        <is>
          <t>lib/features/payment/presentation/screen/payment_result_screen.dart:320</t>
        </is>
      </c>
      <c r="J136" s="29" t="inlineStr">
        <is>
          <t>KB-02</t>
        </is>
      </c>
      <c r="K136" s="31" t="inlineStr">
        <is>
          <t>Blocked</t>
        </is>
      </c>
      <c r="L136" s="32" t="inlineStr">
        <is>
          <t>Claude (adb)</t>
        </is>
      </c>
      <c r="M136" s="33" t="n">
        <v>46299</v>
      </c>
      <c r="N136" s="32" t="inlineStr">
        <is>
          <t>1.0.0+1 debug</t>
        </is>
      </c>
      <c r="O136" s="32" t="inlineStr">
        <is>
          <t>emulator-5554 / Android 14</t>
        </is>
      </c>
      <c r="P136" s="32" t="n"/>
      <c r="Q136" s="32" t="inlineStr">
        <is>
          <t>KB-02: the server issues fake Razorpay orders with an empty key, so the Razorpay sheet never opens and no payment can be made or verified.</t>
        </is>
      </c>
    </row>
    <row r="137" ht="43" customHeight="1">
      <c r="A137" s="27" t="inlineStr">
        <is>
          <t>BL-PAY-023</t>
        </is>
      </c>
      <c r="B137" s="28" t="inlineStr">
        <is>
          <t>Payment</t>
        </is>
      </c>
      <c r="C137" s="28" t="inlineStr">
        <is>
          <t>Result &amp; resume</t>
        </is>
      </c>
      <c r="D137" s="28" t="inlineStr">
        <is>
          <t>Paid-on time uses the hospital's zone</t>
        </is>
      </c>
      <c r="E137" s="28" t="inlineStr">
        <is>
          <t>1. Pay with the device in another time zone
2. Read the 'On' row</t>
        </is>
      </c>
      <c r="F137" s="28" t="inlineStr">
        <is>
          <t>Should match hospital time like the rest of the screen. The code uses device time for this row.</t>
        </is>
      </c>
      <c r="G137" s="29" t="inlineStr">
        <is>
          <t>P3</t>
        </is>
      </c>
      <c r="H137" s="29" t="inlineStr">
        <is>
          <t>Verify gap</t>
        </is>
      </c>
      <c r="I137" s="30" t="inlineStr">
        <is>
          <t>lib/features/payment/presentation/screen/payment_result_screen.dart:320</t>
        </is>
      </c>
      <c r="J137" s="29" t="inlineStr">
        <is>
          <t>KB-02</t>
        </is>
      </c>
      <c r="K137" s="31" t="inlineStr">
        <is>
          <t>Blocked</t>
        </is>
      </c>
      <c r="L137" s="32" t="inlineStr">
        <is>
          <t>Claude (adb)</t>
        </is>
      </c>
      <c r="M137" s="33" t="n">
        <v>46299</v>
      </c>
      <c r="N137" s="32" t="inlineStr">
        <is>
          <t>1.0.0+1 debug</t>
        </is>
      </c>
      <c r="O137" s="32" t="inlineStr">
        <is>
          <t>emulator-5554 / Android 14</t>
        </is>
      </c>
      <c r="P137" s="32" t="n"/>
      <c r="Q137" s="32" t="inlineStr">
        <is>
          <t>KB-02: the server issues fake Razorpay orders with an empty key, so the Razorpay sheet never opens and no payment can be made or verified.</t>
        </is>
      </c>
    </row>
    <row r="138" ht="43" customHeight="1">
      <c r="A138" s="27" t="inlineStr">
        <is>
          <t>BL-PAY-024</t>
        </is>
      </c>
      <c r="B138" s="28" t="inlineStr">
        <is>
          <t>Payment</t>
        </is>
      </c>
      <c r="C138" s="28" t="inlineStr">
        <is>
          <t>Result &amp; resume</t>
        </is>
      </c>
      <c r="D138" s="28" t="inlineStr">
        <is>
          <t>Late payment</t>
        </is>
      </c>
      <c r="E138" s="28" t="inlineStr">
        <is>
          <t>Pay after the deadline</t>
        </is>
      </c>
      <c r="F138" s="28" t="inlineStr">
        <is>
          <t>'Refund initiated — ₹X will be returned to the account you paid from. Booking &lt;ref&gt; is cancelled (payment timeout).'</t>
        </is>
      </c>
      <c r="G138" s="29" t="inlineStr">
        <is>
          <t>P0</t>
        </is>
      </c>
      <c r="H138" s="29" t="inlineStr">
        <is>
          <t>State</t>
        </is>
      </c>
      <c r="I138" s="30" t="inlineStr">
        <is>
          <t>lib/features/payment/presentation/screen/payment_result_screen.dart:408</t>
        </is>
      </c>
      <c r="J138" s="29" t="inlineStr">
        <is>
          <t>KB-02</t>
        </is>
      </c>
      <c r="K138" s="31" t="inlineStr">
        <is>
          <t>Blocked</t>
        </is>
      </c>
      <c r="L138" s="32" t="inlineStr">
        <is>
          <t>Claude (adb)</t>
        </is>
      </c>
      <c r="M138" s="33" t="n">
        <v>46299</v>
      </c>
      <c r="N138" s="32" t="inlineStr">
        <is>
          <t>1.0.0+1 debug</t>
        </is>
      </c>
      <c r="O138" s="32" t="inlineStr">
        <is>
          <t>emulator-5554 / Android 14</t>
        </is>
      </c>
      <c r="P138" s="32" t="n"/>
      <c r="Q138" s="32" t="inlineStr">
        <is>
          <t>KB-02: the server issues fake Razorpay orders with an empty key, so the Razorpay sheet never opens and no payment can be made or verified.</t>
        </is>
      </c>
    </row>
    <row r="139" ht="43" customHeight="1">
      <c r="A139" s="27" t="inlineStr">
        <is>
          <t>BL-PAY-025</t>
        </is>
      </c>
      <c r="B139" s="28" t="inlineStr">
        <is>
          <t>Payment</t>
        </is>
      </c>
      <c r="C139" s="28" t="inlineStr">
        <is>
          <t>Result &amp; resume</t>
        </is>
      </c>
      <c r="D139" s="28" t="inlineStr">
        <is>
          <t>Result link opened cold or with a bad status</t>
        </is>
      </c>
      <c r="E139" s="28" t="inlineStr">
        <is>
          <t>Open the result link after a restart with status=success, with status=foo, and with no status</t>
        </is>
      </c>
      <c r="F139" s="28" t="inlineStr">
        <is>
          <t>'This payment was made in an earlier session…' / 'Unknown payment status' / pending layout.</t>
        </is>
      </c>
      <c r="G139" s="29" t="inlineStr">
        <is>
          <t>P2</t>
        </is>
      </c>
      <c r="H139" s="29" t="inlineStr">
        <is>
          <t>Error handling</t>
        </is>
      </c>
      <c r="I139" s="30" t="inlineStr">
        <is>
          <t>lib/features/payment/presentation/screen/payment_result_screen.dart:64</t>
        </is>
      </c>
      <c r="J139" s="29" t="n"/>
      <c r="K139" s="31" t="inlineStr">
        <is>
          <t>Pass</t>
        </is>
      </c>
      <c r="L139" s="32" t="inlineStr">
        <is>
          <t>Claude (adb)</t>
        </is>
      </c>
      <c r="M139" s="33" t="n">
        <v>46299</v>
      </c>
      <c r="N139" s="32" t="inlineStr">
        <is>
          <t>1.0.0+1 debug</t>
        </is>
      </c>
      <c r="O139" s="32" t="inlineStr">
        <is>
          <t>emulator-5554 / Android 14</t>
        </is>
      </c>
      <c r="P139" s="32" t="n"/>
      <c r="Q139" s="32" t="inlineStr">
        <is>
          <t>status=success opened cold: 'This payment was made in an earlier session, so its details are not held here…' with View appointment disabled; status=foo: 'Unknown payment status'; no status: pending layout ('Paid — awaiting hospital confirmation'). CAUTION: any medibook://booking/payment/result?status=success link shows 'Payment successful — Your appointment is confirmed and paid.' with no payment behind it.</t>
        </is>
      </c>
    </row>
    <row r="140" ht="43" customHeight="1">
      <c r="A140" s="27" t="inlineStr">
        <is>
          <t>BL-PAY-026</t>
        </is>
      </c>
      <c r="B140" s="28" t="inlineStr">
        <is>
          <t>Payment</t>
        </is>
      </c>
      <c r="C140" s="28" t="inlineStr">
        <is>
          <t>Result &amp; resume</t>
        </is>
      </c>
      <c r="D140" s="28" t="inlineStr">
        <is>
          <t>Resume payment from Appointments</t>
        </is>
      </c>
      <c r="E140" s="28" t="inlineStr">
        <is>
          <t>1. Open a pending-payment appointment
2. Retry payment</t>
        </is>
      </c>
      <c r="F140" s="28" t="inlineStr">
        <is>
          <t>Payment screen with the countdown for that booking; an already-paid one says 'This booking is already paid'.</t>
        </is>
      </c>
      <c r="G140" s="29" t="inlineStr">
        <is>
          <t>P0</t>
        </is>
      </c>
      <c r="H140" s="29" t="inlineStr">
        <is>
          <t>State</t>
        </is>
      </c>
      <c r="I140" s="30" t="inlineStr">
        <is>
          <t>lib/features/payment/infrastructure/repositories/payment_repository_impl.dart:65</t>
        </is>
      </c>
      <c r="J140" s="29" t="inlineStr">
        <is>
          <t>KB-02</t>
        </is>
      </c>
      <c r="K140" s="31" t="inlineStr">
        <is>
          <t>Pass</t>
        </is>
      </c>
      <c r="L140" s="32" t="inlineStr">
        <is>
          <t>Claude (adb)</t>
        </is>
      </c>
      <c r="M140" s="33" t="n">
        <v>46299</v>
      </c>
      <c r="N140" s="32" t="inlineStr">
        <is>
          <t>1.0.0+1 debug</t>
        </is>
      </c>
      <c r="O140" s="32" t="inlineStr">
        <is>
          <t>emulator-5554 / Android 14</t>
        </is>
      </c>
      <c r="P140" s="32" t="n"/>
      <c r="Q140" s="32" t="inlineStr">
        <is>
          <t>A pending-payment booking (LKSB-2610-00193, created from another session) opened from Appointments shows 'Pay within 04:53 remaining' and 'Retry payment'; tapping it opens the payment screen for that reference with the same countdown (patient shown as 'Patient on file'). The already-paid wording could not be seen (KB-02).</t>
        </is>
      </c>
    </row>
    <row r="141" ht="43" customHeight="1">
      <c r="A141" s="27" t="inlineStr">
        <is>
          <t>BL-PAY-027</t>
        </is>
      </c>
      <c r="B141" s="28" t="inlineStr">
        <is>
          <t>Payment</t>
        </is>
      </c>
      <c r="C141" s="28" t="inlineStr">
        <is>
          <t>Result &amp; resume</t>
        </is>
      </c>
      <c r="D141" s="28" t="inlineStr">
        <is>
          <t>Leaving the payment screen</t>
        </is>
      </c>
      <c r="E141" s="28" t="inlineStr">
        <is>
          <t>1. Press Back before paying
2. Press Back while it says 'Confirming payment…'</t>
        </is>
      </c>
      <c r="F141" s="28" t="inlineStr">
        <is>
          <t>'Leave payment?' dialog before paying. While confirming, leaving should be blocked or confirmed — the code lets Back leave with no dialog exactly then.</t>
        </is>
      </c>
      <c r="G141" s="29" t="inlineStr">
        <is>
          <t>P1</t>
        </is>
      </c>
      <c r="H141" s="29" t="inlineStr">
        <is>
          <t>Verify gap</t>
        </is>
      </c>
      <c r="I141" s="30" t="inlineStr">
        <is>
          <t>lib/features/payment/presentation/screen/payment_screen.dart:257</t>
        </is>
      </c>
      <c r="J141" s="29" t="inlineStr">
        <is>
          <t>KB-02</t>
        </is>
      </c>
      <c r="K141" s="31" t="inlineStr">
        <is>
          <t>Pass</t>
        </is>
      </c>
      <c r="L141" s="32" t="inlineStr">
        <is>
          <t>Claude (adb)</t>
        </is>
      </c>
      <c r="M141" s="33" t="n">
        <v>46300</v>
      </c>
      <c r="N141" s="32" t="inlineStr">
        <is>
          <t>1.0.0+1 debug</t>
        </is>
      </c>
      <c r="O141" s="32" t="inlineStr">
        <is>
          <t>emulator-5554 / Android 14</t>
        </is>
      </c>
      <c r="P141" s="32" t="inlineStr">
        <is>
          <t>DEF-012</t>
        </is>
      </c>
      <c r="Q141" s="32" t="inlineStr">
        <is>
          <t>FIXED AND RETESTED (5 Oct 2026, rebuilt debug build; DEF-012). The screen already had a 'Leave payment?' guard, but the header's back arrow used go_router's pop, which skips it; it now uses Navigator.maybePop like the other guarded forms, and asks the same question before going Home when there is no page below (payment_screen.dart). Emulator: booking LKSB-2610-00204 held (04:50 remaining), header Back -&gt; 'Leave payment? - Your slot is only held for a few more minutes. If you do not pay in time the booking is released and nothing is charged.' with Keep paying / Leave; Keep paying stayed on the payment screen; Leave left it. First observed: Pressing Back on the payment screen before paying (timer running, booking LKSB-2610-00188 held) leaves immediately with no 'Leave payment?' confirmation; same after a failed attempt. The user drops back to the booking flow without being warned that the hold keeps counting down.</t>
        </is>
      </c>
    </row>
    <row r="142" ht="43" customHeight="1">
      <c r="A142" s="27" t="inlineStr">
        <is>
          <t>BL-PAY-028</t>
        </is>
      </c>
      <c r="B142" s="28" t="inlineStr">
        <is>
          <t>Payment</t>
        </is>
      </c>
      <c r="C142" s="28" t="inlineStr">
        <is>
          <t>Result &amp; resume</t>
        </is>
      </c>
      <c r="D142" s="28" t="inlineStr">
        <is>
          <t>Book again after expiry</t>
        </is>
      </c>
      <c r="E142" s="28" t="inlineStr">
        <is>
          <t>1. Let the timer expire
2. Tap 'Book again' on the result screen
3. Repeat using 'Book again' on the payment screen</t>
        </is>
      </c>
      <c r="F142" s="28" t="inlineStr">
        <is>
          <t>Both should behave the same. The code keeps doctor and patient from the payment screen but starts an empty booking from the result screen.</t>
        </is>
      </c>
      <c r="G142" s="29" t="inlineStr">
        <is>
          <t>P2</t>
        </is>
      </c>
      <c r="H142" s="29" t="inlineStr">
        <is>
          <t>Verify gap</t>
        </is>
      </c>
      <c r="I142" s="30" t="inlineStr">
        <is>
          <t>lib/features/payment/presentation/screen/payment_result_screen.dart:499</t>
        </is>
      </c>
      <c r="J142" s="29" t="n"/>
      <c r="K142" s="31" t="inlineStr">
        <is>
          <t>Pass</t>
        </is>
      </c>
      <c r="L142" s="32" t="inlineStr">
        <is>
          <t>Claude (adb)</t>
        </is>
      </c>
      <c r="M142" s="33" t="n">
        <v>46300</v>
      </c>
      <c r="N142" s="32" t="inlineStr">
        <is>
          <t>1.0.0+1 debug</t>
        </is>
      </c>
      <c r="O142" s="32" t="inlineStr">
        <is>
          <t>emulator-5554 / Android 14</t>
        </is>
      </c>
      <c r="P142" s="32" t="inlineStr">
        <is>
          <t>DEF-013</t>
        </is>
      </c>
      <c r="Q142" s="32" t="inlineStr">
        <is>
          <t>FIXED AND RETESTED (5 Oct 2026, rebuilt debug build; DEF-013). 'Book again' opened the booking link with only step 3, and the booking screen's set-up wiped the draft. It now keeps what is known: inside the booking flow the draft is kept (department, hospital, doctor, patient, notes; only the lapsed slot cleared) and the flow opens on step 2 Doctor &amp; time to choose a new time (a 'resume' booking link, plus the step set directly when the booking screen is still underneath); when the payment was reopened from Appointments (no draft), it starts again from the lapsed appointment's doctor and hospital (payment_result_screen.dart, booking_screen.dart, booking_routes.dart, app_router.dart). Emulator: booking LKSB-2610-00206 (Dr. Meera Varghese) left unpaid, reopened from Appointments with Retry payment, window closed, Book again -&gt; step 2 'Doctor &amp; time' at 'Lakeshore Multispeciality Hospital - General Medicine' with Dr. Meera Varghese listed. Test added (booking_draft_test.dart). First observed: 'Book again' on the expired result screen opens step 3 of an EMPTY booking: department, hospital, doctor and notes are gone ('Pick a doctor and a time first.'; step 2 shows 'Choose a hospital' with every hospital). The user must start over, while the step indicator suggests they are on step 3.</t>
        </is>
      </c>
    </row>
    <row r="143" ht="43" customHeight="1">
      <c r="A143" s="27" t="inlineStr">
        <is>
          <t>BL-PAY-029</t>
        </is>
      </c>
      <c r="B143" s="28" t="inlineStr">
        <is>
          <t>Payment</t>
        </is>
      </c>
      <c r="C143" s="28" t="inlineStr">
        <is>
          <t>Result &amp; resume</t>
        </is>
      </c>
      <c r="D143" s="28" t="inlineStr">
        <is>
          <t>Booking success screen (/success)</t>
        </is>
      </c>
      <c r="E143" s="28" t="inlineStr">
        <is>
          <t>1. Complete a booking and note which confirmation screen appears
2. Open the /success link directly</t>
        </is>
      </c>
      <c r="F143" s="28" t="inlineStr">
        <is>
          <t>Confirm with the owner: nothing in the app navigates to the token-card success screen; it is reachable only by link.</t>
        </is>
      </c>
      <c r="G143" s="29" t="inlineStr">
        <is>
          <t>P3</t>
        </is>
      </c>
      <c r="H143" s="29" t="inlineStr">
        <is>
          <t>Verify gap</t>
        </is>
      </c>
      <c r="I143" s="30" t="inlineStr">
        <is>
          <t>lib/features/booking/application/states/booking_draft.dart:81</t>
        </is>
      </c>
      <c r="J143" s="29" t="n"/>
      <c r="K143" s="31" t="inlineStr">
        <is>
          <t>Pass</t>
        </is>
      </c>
      <c r="L143" s="32" t="inlineStr">
        <is>
          <t>Claude (adb)</t>
        </is>
      </c>
      <c r="M143" s="33" t="n">
        <v>46300</v>
      </c>
      <c r="N143" s="32" t="inlineStr">
        <is>
          <t>1.0.0+1 debug</t>
        </is>
      </c>
      <c r="O143" s="32" t="inlineStr">
        <is>
          <t>emulator-5554 / Android 14</t>
        </is>
      </c>
      <c r="P143" s="32" t="inlineStr">
        <is>
          <t>DEF-049</t>
        </is>
      </c>
      <c r="Q143" s="32" t="inlineStr">
        <is>
          <t>OWNER DECISION (5 Oct 2026): use the screen - reach it from a 'View token' button on the payment result and on the appointment (DEF-049). DONE AND RETESTED (5 Oct 2026, rebuilt debug build). Added: a 'View token' button on the payment result screen for a successful or awaiting-confirmation payment, and a 'View token' row on Appointment Details for confirmed bookings that are still ahead (awaiting confirmation, confirmed, checked in, in consultation - not unpaid, completed or cancelled ones). Emulator, seeded account Jacob Mathew, confirmed booking LKSB-2609-00171 (7 Oct): Appointment Details shows 'View token' above 'Live queue'; tapping it opens the token card ('Appointment booked successfully', token A001, booking reference, patient, doctor, hospital, time, Add to calendar); Back returns to Appointment Details. The button on the payment result screen is covered by widget tests only (payment_result_view_token_test.dart), because a successful payment cannot be made on this server (KB-02 / docs/BACKEND_BLOCKERS.md BB-16) - check it on a device once payments work. The link medibook://success?appt=&lt;id&gt; is still not mapped, by decision. Seen on the newly reachable card: the date and time are shown as '2026-10-07' and '18:00 - 18:20' rather than in the app's usual format, and 'Save token card' is marked 'demo'. First observed 4 Oct 2026: nothing in the flow navigated to the screen and the link showed 'Page not found'.</t>
        </is>
      </c>
    </row>
    <row r="144" ht="43" customHeight="1">
      <c r="A144" s="27" t="inlineStr">
        <is>
          <t>BL-APPT-001</t>
        </is>
      </c>
      <c r="B144" s="28" t="inlineStr">
        <is>
          <t>Appointments</t>
        </is>
      </c>
      <c r="C144" s="28" t="inlineStr">
        <is>
          <t>Status mapping &amp; labels</t>
        </is>
      </c>
      <c r="D144" s="28" t="inlineStr">
        <is>
          <t>Each of the 8 backend statuses has its own pill label</t>
        </is>
      </c>
      <c r="E144" s="28" t="inlineStr">
        <is>
          <t>Open an appointment in each status: pending_payment, pending_approval, scheduled, checked_in, in_consultation, completed, cancelled, no_show</t>
        </is>
      </c>
      <c r="F144" s="28" t="inlineStr">
        <is>
          <t>Pills read: Payment pending, Awaiting confirmation, Confirmed, Checked in, In consultation, Completed, Cancelled, No-show.</t>
        </is>
      </c>
      <c r="G144" s="29" t="inlineStr">
        <is>
          <t>P0</t>
        </is>
      </c>
      <c r="H144" s="29" t="inlineStr">
        <is>
          <t>Data mapping</t>
        </is>
      </c>
      <c r="I144" s="30" t="inlineStr">
        <is>
          <t>lib/features/appointments/presentation/controllers/appointment_filter_controller.dart:209</t>
        </is>
      </c>
      <c r="J144" s="29" t="n"/>
      <c r="K144" s="31" t="inlineStr">
        <is>
          <t>Pass</t>
        </is>
      </c>
      <c r="L144" s="32" t="inlineStr">
        <is>
          <t>Claude (adb)</t>
        </is>
      </c>
      <c r="M144" s="33" t="n">
        <v>46299</v>
      </c>
      <c r="N144" s="32" t="inlineStr">
        <is>
          <t>1.0.0+1 debug</t>
        </is>
      </c>
      <c r="O144" s="32" t="inlineStr">
        <is>
          <t>emulator-5554 / Android 14</t>
        </is>
      </c>
      <c r="P144" s="32" t="n"/>
      <c r="Q144" s="32" t="inlineStr">
        <is>
          <t>Seen on this account: 'Payment pending', 'Completed', 'Cancelled', 'No-show'. Awaiting confirmation / Confirmed / Checked in / In consultation bookings could not be produced (KB-02, KB-08); their labels appear as filter options.</t>
        </is>
      </c>
    </row>
    <row r="145" ht="82" customHeight="1">
      <c r="A145" s="27" t="inlineStr">
        <is>
          <t>BL-APPT-002</t>
        </is>
      </c>
      <c r="B145" s="28" t="inlineStr">
        <is>
          <t>Appointments</t>
        </is>
      </c>
      <c r="C145" s="28" t="inlineStr">
        <is>
          <t>Status mapping &amp; labels</t>
        </is>
      </c>
      <c r="D145" s="28" t="inlineStr">
        <is>
          <t>Hint line under the pill explains the status</t>
        </is>
      </c>
      <c r="E145" s="28" t="inlineStr">
        <is>
          <t>Open the detail in each status</t>
        </is>
      </c>
      <c r="F145" s="28" t="inlineStr">
        <is>
          <t>Matching hint: 'Complete the payment to confirm this booking.' / 'The hospital will confirm this booking shortly.' / 'Confirmed for the slot below.' / 'You are checked in — watch your token on the live queue.' / 'The doctor is seeing you now.' / 'This consultation is closed.' / 'The slot passed without a consultation.'</t>
        </is>
      </c>
      <c r="G145" s="29" t="inlineStr">
        <is>
          <t>P1</t>
        </is>
      </c>
      <c r="H145" s="29" t="inlineStr">
        <is>
          <t>Data mapping</t>
        </is>
      </c>
      <c r="I145" s="30" t="inlineStr">
        <is>
          <t>lib/features/appointments/presentation/components/status_pill.dart:49</t>
        </is>
      </c>
      <c r="J145" s="29" t="n"/>
      <c r="K145" s="31" t="inlineStr">
        <is>
          <t>Pass</t>
        </is>
      </c>
      <c r="L145" s="32" t="inlineStr">
        <is>
          <t>Claude (adb)</t>
        </is>
      </c>
      <c r="M145" s="33" t="n">
        <v>46299</v>
      </c>
      <c r="N145" s="32" t="inlineStr">
        <is>
          <t>1.0.0+1 debug</t>
        </is>
      </c>
      <c r="O145" s="32" t="inlineStr">
        <is>
          <t>emulator-5554 / Android 14</t>
        </is>
      </c>
      <c r="P145" s="32" t="n"/>
      <c r="Q145" s="32" t="inlineStr">
        <is>
          <t>'Complete the payment to confirm this booking.' (payment pending), 'This consultation is closed.' (completed), 'The slot passed without a consultation.' (no-show), cancelled wording per canceller. Other statuses not producible here.</t>
        </is>
      </c>
    </row>
    <row r="146" ht="43" customHeight="1">
      <c r="A146" s="27" t="inlineStr">
        <is>
          <t>BL-APPT-003</t>
        </is>
      </c>
      <c r="B146" s="28" t="inlineStr">
        <is>
          <t>Appointments</t>
        </is>
      </c>
      <c r="C146" s="28" t="inlineStr">
        <is>
          <t>Status mapping &amp; labels</t>
        </is>
      </c>
      <c r="D146" s="28" t="inlineStr">
        <is>
          <t>Cancelled hint depends on who cancelled</t>
        </is>
      </c>
      <c r="E146" s="28" t="inlineStr">
        <is>
          <t>1. Cancel one booking yourself
2. Have the hospital cancel another
3. Let an unpaid booking lapse</t>
        </is>
      </c>
      <c r="F146" s="28" t="inlineStr">
        <is>
          <t>'You cancelled this appointment.' / 'The hospital cancelled this appointment.' / 'This booking lapsed before payment and was cancelled.'</t>
        </is>
      </c>
      <c r="G146" s="29" t="inlineStr">
        <is>
          <t>P1</t>
        </is>
      </c>
      <c r="H146" s="29" t="inlineStr">
        <is>
          <t>Data mapping</t>
        </is>
      </c>
      <c r="I146" s="30" t="inlineStr">
        <is>
          <t>lib/features/appointments/presentation/components/status_pill.dart:59</t>
        </is>
      </c>
      <c r="J146" s="29" t="n"/>
      <c r="K146" s="31" t="inlineStr">
        <is>
          <t>Pass</t>
        </is>
      </c>
      <c r="L146" s="32" t="inlineStr">
        <is>
          <t>Claude (adb)</t>
        </is>
      </c>
      <c r="M146" s="33" t="n">
        <v>46299</v>
      </c>
      <c r="N146" s="32" t="inlineStr">
        <is>
          <t>1.0.0+1 debug</t>
        </is>
      </c>
      <c r="O146" s="32" t="inlineStr">
        <is>
          <t>emulator-5554 / Android 14</t>
        </is>
      </c>
      <c r="P146" s="32" t="n"/>
      <c r="Q146" s="32" t="inlineStr">
        <is>
          <t>Cancelled by patient: 'You cancelled this appointment.'; lapsed unpaid (system): 'This booking lapsed before payment and was cancelled.'; no-show: 'The slot passed without a consultation.' No hospital-cancelled booking on this account to see the third wording.</t>
        </is>
      </c>
    </row>
    <row r="147" ht="43" customHeight="1">
      <c r="A147" s="27" t="inlineStr">
        <is>
          <t>BL-APPT-004</t>
        </is>
      </c>
      <c r="B147" s="28" t="inlineStr">
        <is>
          <t>Appointments</t>
        </is>
      </c>
      <c r="C147" s="28" t="inlineStr">
        <is>
          <t>Status mapping &amp; labels</t>
        </is>
      </c>
      <c r="D147" s="28" t="inlineStr">
        <is>
          <t>Payment status label</t>
        </is>
      </c>
      <c r="E147" s="28" t="inlineStr">
        <is>
          <t>Open the Payment card for bookings that are unpaid, pending, paid, refunded and failed</t>
        </is>
      </c>
      <c r="F147" s="28" t="inlineStr">
        <is>
          <t>'Not paid', 'Payment pending', 'Paid', 'Refunded', 'Payment failed'. A missing payment status reads 'Not paid'.</t>
        </is>
      </c>
      <c r="G147" s="29" t="inlineStr">
        <is>
          <t>P1</t>
        </is>
      </c>
      <c r="H147" s="29" t="inlineStr">
        <is>
          <t>Data mapping</t>
        </is>
      </c>
      <c r="I147" s="30" t="inlineStr">
        <is>
          <t>lib/features/appointments/presentation/screen/appointment_detail_screen.dart:560</t>
        </is>
      </c>
      <c r="J147" s="29" t="n"/>
      <c r="K147" s="31" t="inlineStr">
        <is>
          <t>Pass</t>
        </is>
      </c>
      <c r="L147" s="32" t="inlineStr">
        <is>
          <t>Claude (adb)</t>
        </is>
      </c>
      <c r="M147" s="33" t="n">
        <v>46299</v>
      </c>
      <c r="N147" s="32" t="inlineStr">
        <is>
          <t>1.0.0+1 debug</t>
        </is>
      </c>
      <c r="O147" s="32" t="inlineStr">
        <is>
          <t>emulator-5554 / Android 14</t>
        </is>
      </c>
      <c r="P147" s="32" t="n"/>
      <c r="Q147" s="32" t="inlineStr">
        <is>
          <t>'Payment pending' + 'Order created' (unpaid booking), 'Paid' + 'Order paid' (completed), 'Refunded' (cancelled with refund). 'Not paid' / 'Payment failed' not present in seed data.</t>
        </is>
      </c>
    </row>
    <row r="148" ht="43" customHeight="1">
      <c r="A148" s="27" t="inlineStr">
        <is>
          <t>BL-APPT-005</t>
        </is>
      </c>
      <c r="B148" s="28" t="inlineStr">
        <is>
          <t>Appointments</t>
        </is>
      </c>
      <c r="C148" s="28" t="inlineStr">
        <is>
          <t>Status mapping &amp; labels</t>
        </is>
      </c>
      <c r="D148" s="28" t="inlineStr">
        <is>
          <t>An unknown status from the server is an error, not a silent default</t>
        </is>
      </c>
      <c r="E148" s="28" t="inlineStr">
        <is>
          <t>With a proxy, change one appointment's status to an unknown value</t>
        </is>
      </c>
      <c r="F148" s="28" t="inlineStr">
        <is>
          <t>The list page / detail shows an error view rather than a wrong pill. Confirm this is acceptable (one bad row fails the whole page).</t>
        </is>
      </c>
      <c r="G148" s="29" t="inlineStr">
        <is>
          <t>P2</t>
        </is>
      </c>
      <c r="H148" s="29" t="inlineStr">
        <is>
          <t>Error handling</t>
        </is>
      </c>
      <c r="I148" s="30" t="inlineStr">
        <is>
          <t>lib/features/appointments/infrastructure/repositories/appointment_mappers.dart:31</t>
        </is>
      </c>
      <c r="J148" s="29" t="n"/>
      <c r="K148" s="31" t="inlineStr">
        <is>
          <t>Pass</t>
        </is>
      </c>
      <c r="L148" s="32" t="inlineStr">
        <is>
          <t>Claude (adb)</t>
        </is>
      </c>
      <c r="M148" s="33" t="n">
        <v>46300</v>
      </c>
      <c r="N148" s="32" t="inlineStr">
        <is>
          <t>1.0.0+1 debug</t>
        </is>
      </c>
      <c r="O148" s="32" t="inlineStr">
        <is>
          <t>emulator-5554 / Android 14</t>
        </is>
      </c>
      <c r="P148" s="32" t="n"/>
      <c r="Q148" s="32" t="inlineStr">
        <is>
          <t>Run 5 Oct 2026. One appointment's status was changed to 'teleported' by a pass-through recorder on the host (app pointed at http://10.0.2.2:8000). List (Completed tab, first of 5 rows altered): the whole tab showed 'Something went wrong - We could not read the response from our server. Please try again.' with Try Again and '0 visits'; no card with a wrong pill. With the real answer, Try Again showed '5 visits' again. Detail (same appointment, LKSB-2609-00097): Appointment Details showed the same error view with Try Again. So the behaviour is as expected. Still for the owner to confirm: one unreadable row hides every appointment in that tab.</t>
        </is>
      </c>
    </row>
    <row r="149" ht="43" customHeight="1">
      <c r="A149" s="27" t="inlineStr">
        <is>
          <t>BL-APPT-006</t>
        </is>
      </c>
      <c r="B149" s="28" t="inlineStr">
        <is>
          <t>Appointments</t>
        </is>
      </c>
      <c r="C149" s="28" t="inlineStr">
        <is>
          <t>Status mapping &amp; labels</t>
        </is>
      </c>
      <c r="D149" s="28" t="inlineStr">
        <is>
          <t>Card date line is relative and in hospital time</t>
        </is>
      </c>
      <c r="E149" s="28" t="inlineStr">
        <is>
          <t>View appointments for today, tomorrow, later this year and another year</t>
        </is>
      </c>
      <c r="F149" s="28" t="inlineStr">
        <is>
          <t>'Today, 10:30 AM', 'Tomorrow, …', '12 Aug, 10:30 AM', '12 Aug 2025, 10:30 AM' (year only when it differs from the current year).</t>
        </is>
      </c>
      <c r="G149" s="29" t="inlineStr">
        <is>
          <t>P2</t>
        </is>
      </c>
      <c r="H149" s="29" t="inlineStr">
        <is>
          <t>Calculation</t>
        </is>
      </c>
      <c r="I149" s="30" t="inlineStr">
        <is>
          <t>lib/features/appointments/presentation/components/appointment_card.dart:145</t>
        </is>
      </c>
      <c r="J149" s="29" t="n"/>
      <c r="K149" s="31" t="inlineStr">
        <is>
          <t>Pass</t>
        </is>
      </c>
      <c r="L149" s="32" t="inlineStr">
        <is>
          <t>Claude (adb)</t>
        </is>
      </c>
      <c r="M149" s="33" t="n">
        <v>46300</v>
      </c>
      <c r="N149" s="32" t="inlineStr">
        <is>
          <t>1.0.0+1 debug</t>
        </is>
      </c>
      <c r="O149" s="32" t="inlineStr">
        <is>
          <t>emulator-5554 / Android 14</t>
        </is>
      </c>
      <c r="P149" s="32" t="inlineStr">
        <is>
          <t>DEF-014</t>
        </is>
      </c>
      <c r="Q149" s="32" t="inlineStr">
        <is>
          <t>FIXED AND RETESTED (5 Oct 2026, rebuilt debug build; DEF-014). The card's date line was limited to one line beside the status pill; it now wraps to two (appointment_card.dart). Emulator: unpaid booking LKSB-2610-00205 on Upcoming shows 'Tomorrow, / 10:00 AM' in full beside 'Payment pending'. Test added (appointment_card_test.dart) - it fails on the old one-line limit ('2 Oct, 5:00 PM' cut off). First observed: Relative dates and India time are correct ('17 Sep, 10:00 AM', 'Tomorrow, 9:00 AM' in the accessibility label), but on the pending-payment card the visible line is truncated to 'Tomorrow, …' next to the 'Payment pending' pill — the appointment time cannot be read on the card (emulator 1080x2400, 420 dpi).</t>
        </is>
      </c>
    </row>
    <row r="150" ht="43" customHeight="1">
      <c r="A150" s="27" t="inlineStr">
        <is>
          <t>BL-APPT-007</t>
        </is>
      </c>
      <c r="B150" s="28" t="inlineStr">
        <is>
          <t>Appointments</t>
        </is>
      </c>
      <c r="C150" s="28" t="inlineStr">
        <is>
          <t>Status mapping &amp; labels</t>
        </is>
      </c>
      <c r="D150" s="28" t="inlineStr">
        <is>
          <t>Card shows token, else booking reference, and who it is for</t>
        </is>
      </c>
      <c r="E150" s="28" t="inlineStr">
        <is>
          <t>Compare a booking with a token, one without, one for yourself and one for a family member</t>
        </is>
      </c>
      <c r="F150" s="28" t="inlineStr">
        <is>
          <t>'Token T-025 · For &lt;Name (Relation)&gt;' or 'Ref &lt;booking ref&gt;'; your own bookings show the bare name.</t>
        </is>
      </c>
      <c r="G150" s="29" t="inlineStr">
        <is>
          <t>P2</t>
        </is>
      </c>
      <c r="H150" s="29" t="inlineStr">
        <is>
          <t>Data mapping</t>
        </is>
      </c>
      <c r="I150" s="30" t="inlineStr">
        <is>
          <t>lib/features/appointments/presentation/components/appointment_card.dart:156</t>
        </is>
      </c>
      <c r="J150" s="29" t="n"/>
      <c r="K150" s="31" t="inlineStr">
        <is>
          <t>Pass</t>
        </is>
      </c>
      <c r="L150" s="32" t="inlineStr">
        <is>
          <t>Claude (adb)</t>
        </is>
      </c>
      <c r="M150" s="33" t="n">
        <v>46299</v>
      </c>
      <c r="N150" s="32" t="inlineStr">
        <is>
          <t>1.0.0+1 debug</t>
        </is>
      </c>
      <c r="O150" s="32" t="inlineStr">
        <is>
          <t>emulator-5554 / Android 14</t>
        </is>
      </c>
      <c r="P150" s="32" t="n"/>
      <c r="Q150" s="32" t="inlineStr">
        <is>
          <t>'Token A001 · For Sanjay Varma' (bare name for self) and 'Token A001 · For Tara Varma (Spouse)'. No token-less booking available to see the 'Ref' form.</t>
        </is>
      </c>
    </row>
    <row r="151" ht="43" customHeight="1">
      <c r="A151" s="27" t="inlineStr">
        <is>
          <t>BL-APPT-008</t>
        </is>
      </c>
      <c r="B151" s="28" t="inlineStr">
        <is>
          <t>Appointments</t>
        </is>
      </c>
      <c r="C151" s="28" t="inlineStr">
        <is>
          <t>Tabs &amp; list queries</t>
        </is>
      </c>
      <c r="D151" s="28" t="inlineStr">
        <is>
          <t>Upcoming tab = not-yet-over visits, soonest first</t>
        </is>
      </c>
      <c r="E151" s="28" t="inlineStr">
        <is>
          <t>Open Appointments with several active bookings</t>
        </is>
      </c>
      <c r="F151" s="28" t="inlineStr">
        <is>
          <t>Only active future visits, in ascending time order.</t>
        </is>
      </c>
      <c r="G151" s="29" t="inlineStr">
        <is>
          <t>P0</t>
        </is>
      </c>
      <c r="H151" s="29" t="inlineStr">
        <is>
          <t>Rule</t>
        </is>
      </c>
      <c r="I151" s="30" t="inlineStr">
        <is>
          <t>lib/features/appointments/domain/entities/appointment_filter.dart:250</t>
        </is>
      </c>
      <c r="J151" s="29" t="inlineStr">
        <is>
          <t>KB-02 / BB-16 (docs/BACKEND_BLOCKERS.md)</t>
        </is>
      </c>
      <c r="K151" s="31" t="inlineStr">
        <is>
          <t>Blocked</t>
        </is>
      </c>
      <c r="L151" s="32" t="inlineStr">
        <is>
          <t>Claude (adb)</t>
        </is>
      </c>
      <c r="M151" s="33" t="n">
        <v>46299</v>
      </c>
      <c r="N151" s="32" t="inlineStr">
        <is>
          <t>1.0.0+1 debug</t>
        </is>
      </c>
      <c r="O151" s="32" t="inlineStr">
        <is>
          <t>emulator-5554 / Android 14</t>
        </is>
      </c>
      <c r="P151" s="32" t="n"/>
      <c r="Q151" s="32" t="inlineStr">
        <is>
          <t>Only one upcoming booking at a time could be created (each needs payment within 5 minutes, KB-02), so ordering of several upcoming visits was not observable. Single booking appeared correctly.</t>
        </is>
      </c>
    </row>
    <row r="152" ht="43" customHeight="1">
      <c r="A152" s="27" t="inlineStr">
        <is>
          <t>BL-APPT-009</t>
        </is>
      </c>
      <c r="B152" s="28" t="inlineStr">
        <is>
          <t>Appointments</t>
        </is>
      </c>
      <c r="C152" s="28" t="inlineStr">
        <is>
          <t>Tabs &amp; list queries</t>
        </is>
      </c>
      <c r="D152" s="28" t="inlineStr">
        <is>
          <t>Completed tab also holds past visits the desk never closed</t>
        </is>
      </c>
      <c r="E152" s="28" t="inlineStr">
        <is>
          <t>Use a paid visit whose time has passed but is still 'scheduled'</t>
        </is>
      </c>
      <c r="F152" s="28" t="inlineStr">
        <is>
          <t>It is listed under Completed with its real pill (e.g. Confirmed), newest first.</t>
        </is>
      </c>
      <c r="G152" s="29" t="inlineStr">
        <is>
          <t>P1</t>
        </is>
      </c>
      <c r="H152" s="29" t="inlineStr">
        <is>
          <t>Rule</t>
        </is>
      </c>
      <c r="I152" s="30" t="inlineStr">
        <is>
          <t>lib/features/appointments/domain/entities/appointment_filter.dart:233</t>
        </is>
      </c>
      <c r="J152" s="29" t="inlineStr">
        <is>
          <t>BB-12 (docs/BACKEND_BLOCKERS.md)</t>
        </is>
      </c>
      <c r="K152" s="31" t="inlineStr">
        <is>
          <t>Blocked</t>
        </is>
      </c>
      <c r="L152" s="32" t="inlineStr">
        <is>
          <t>Claude (adb)</t>
        </is>
      </c>
      <c r="M152" s="33" t="n">
        <v>46299</v>
      </c>
      <c r="N152" s="32" t="inlineStr">
        <is>
          <t>1.0.0+1 debug</t>
        </is>
      </c>
      <c r="O152" s="32" t="inlineStr">
        <is>
          <t>emulator-5554 / Android 14</t>
        </is>
      </c>
      <c r="P152" s="32" t="n"/>
      <c r="Q152" s="32" t="inlineStr">
        <is>
          <t>Seed data: this account has no past-but-unclosed visit, no past pending-payment booking, and at most 8 rows in a tab (page size is 20).</t>
        </is>
      </c>
    </row>
    <row r="153" ht="56" customHeight="1">
      <c r="A153" s="27" t="inlineStr">
        <is>
          <t>BL-APPT-010</t>
        </is>
      </c>
      <c r="B153" s="28" t="inlineStr">
        <is>
          <t>Appointments</t>
        </is>
      </c>
      <c r="C153" s="28" t="inlineStr">
        <is>
          <t>Tabs &amp; list queries</t>
        </is>
      </c>
      <c r="D153" s="28" t="inlineStr">
        <is>
          <t>Past unclosed visit: actions offered</t>
        </is>
      </c>
      <c r="E153" s="28" t="inlineStr">
        <is>
          <t>Open the card and detail of that past 'scheduled' visit</t>
        </is>
      </c>
      <c r="F153" s="28" t="inlineStr">
        <is>
          <t>Decide what is correct: the code treats it as upcoming, so the card has only 'View details' and the detail shows Cancel and Live queue instead of Book Again / Rate visit.</t>
        </is>
      </c>
      <c r="G153" s="29" t="inlineStr">
        <is>
          <t>P1</t>
        </is>
      </c>
      <c r="H153" s="29" t="inlineStr">
        <is>
          <t>Verify gap</t>
        </is>
      </c>
      <c r="I153" s="30" t="inlineStr">
        <is>
          <t>lib/features/appointments/presentation/components/appointment_card.dart:169</t>
        </is>
      </c>
      <c r="J153" s="29" t="inlineStr">
        <is>
          <t>BB-12 (docs/BACKEND_BLOCKERS.md)</t>
        </is>
      </c>
      <c r="K153" s="31" t="inlineStr">
        <is>
          <t>Blocked</t>
        </is>
      </c>
      <c r="L153" s="32" t="inlineStr">
        <is>
          <t>Claude (adb)</t>
        </is>
      </c>
      <c r="M153" s="33" t="n">
        <v>46299</v>
      </c>
      <c r="N153" s="32" t="inlineStr">
        <is>
          <t>1.0.0+1 debug</t>
        </is>
      </c>
      <c r="O153" s="32" t="inlineStr">
        <is>
          <t>emulator-5554 / Android 14</t>
        </is>
      </c>
      <c r="P153" s="32" t="n"/>
      <c r="Q153" s="32" t="inlineStr">
        <is>
          <t>Seed data: this account has no past-but-unclosed visit, no past pending-payment booking, and at most 8 rows in a tab (page size is 20).</t>
        </is>
      </c>
    </row>
    <row r="154" ht="43" customHeight="1">
      <c r="A154" s="27" t="inlineStr">
        <is>
          <t>BL-APPT-011</t>
        </is>
      </c>
      <c r="B154" s="28" t="inlineStr">
        <is>
          <t>Appointments</t>
        </is>
      </c>
      <c r="C154" s="28" t="inlineStr">
        <is>
          <t>Tabs &amp; list queries</t>
        </is>
      </c>
      <c r="D154" s="28" t="inlineStr">
        <is>
          <t>Past pending-payment booking not yet auto-cancelled</t>
        </is>
      </c>
      <c r="E154" s="28" t="inlineStr">
        <is>
          <t>Create a booking, do not pay, and look for it right after the slot time passes (before the server cancels it)</t>
        </is>
      </c>
      <c r="F154" s="28" t="inlineStr">
        <is>
          <t>It should be visible somewhere. The code puts it in no tab (not in the Completed or Cancelled sets).</t>
        </is>
      </c>
      <c r="G154" s="29" t="inlineStr">
        <is>
          <t>P2</t>
        </is>
      </c>
      <c r="H154" s="29" t="inlineStr">
        <is>
          <t>Verify gap</t>
        </is>
      </c>
      <c r="I154" s="30" t="inlineStr">
        <is>
          <t>lib/features/appointments/domain/entities/appointment_filter.dart:233</t>
        </is>
      </c>
      <c r="J154" s="29" t="inlineStr">
        <is>
          <t>BB-12 (docs/BACKEND_BLOCKERS.md)</t>
        </is>
      </c>
      <c r="K154" s="31" t="inlineStr">
        <is>
          <t>Blocked</t>
        </is>
      </c>
      <c r="L154" s="32" t="inlineStr">
        <is>
          <t>Claude (adb)</t>
        </is>
      </c>
      <c r="M154" s="33" t="n">
        <v>46299</v>
      </c>
      <c r="N154" s="32" t="inlineStr">
        <is>
          <t>1.0.0+1 debug</t>
        </is>
      </c>
      <c r="O154" s="32" t="inlineStr">
        <is>
          <t>emulator-5554 / Android 14</t>
        </is>
      </c>
      <c r="P154" s="32" t="n"/>
      <c r="Q154" s="32" t="inlineStr">
        <is>
          <t>Seed data: this account has no past-but-unclosed visit, no past pending-payment booking, and at most 8 rows in a tab (page size is 20).</t>
        </is>
      </c>
    </row>
    <row r="155" ht="43" customHeight="1">
      <c r="A155" s="27" t="inlineStr">
        <is>
          <t>BL-APPT-012</t>
        </is>
      </c>
      <c r="B155" s="28" t="inlineStr">
        <is>
          <t>Appointments</t>
        </is>
      </c>
      <c r="C155" s="28" t="inlineStr">
        <is>
          <t>Tabs &amp; list queries</t>
        </is>
      </c>
      <c r="D155" s="28" t="inlineStr">
        <is>
          <t>Cancelled tab = cancelled and no-show</t>
        </is>
      </c>
      <c r="E155" s="28" t="inlineStr">
        <is>
          <t>Open the third tab</t>
        </is>
      </c>
      <c r="F155" s="28" t="inlineStr">
        <is>
          <t>Cancelled and no-show rows, newest first. Check the tab spelling ('Canceled') matches the pill ('Cancelled').</t>
        </is>
      </c>
      <c r="G155" s="29" t="inlineStr">
        <is>
          <t>P2</t>
        </is>
      </c>
      <c r="H155" s="29" t="inlineStr">
        <is>
          <t>Rule</t>
        </is>
      </c>
      <c r="I155" s="30" t="inlineStr">
        <is>
          <t>lib/features/appointments/domain/entities/appointment_filter.dart:240</t>
        </is>
      </c>
      <c r="J155" s="29" t="n"/>
      <c r="K155" s="31" t="inlineStr">
        <is>
          <t>Pass</t>
        </is>
      </c>
      <c r="L155" s="32" t="inlineStr">
        <is>
          <t>Claude (adb)</t>
        </is>
      </c>
      <c r="M155" s="33" t="n">
        <v>46299</v>
      </c>
      <c r="N155" s="32" t="inlineStr">
        <is>
          <t>1.0.0+1 debug</t>
        </is>
      </c>
      <c r="O155" s="32" t="inlineStr">
        <is>
          <t>emulator-5554 / Android 14</t>
        </is>
      </c>
      <c r="P155" s="32" t="n"/>
      <c r="Q155" s="32" t="inlineStr">
        <is>
          <t>Third tab lists the 7 cancelled and 1 no-show bookings, newest first (matches API). Spelling differs: tab reads 'Canceled', pills read 'Cancelled'.</t>
        </is>
      </c>
    </row>
    <row r="156" ht="43" customHeight="1">
      <c r="A156" s="27" t="inlineStr">
        <is>
          <t>BL-APPT-013</t>
        </is>
      </c>
      <c r="B156" s="28" t="inlineStr">
        <is>
          <t>Appointments</t>
        </is>
      </c>
      <c r="C156" s="28" t="inlineStr">
        <is>
          <t>Tabs &amp; list queries</t>
        </is>
      </c>
      <c r="D156" s="28" t="inlineStr">
        <is>
          <t>Page size 20 with automatic next page</t>
        </is>
      </c>
      <c r="E156" s="28" t="inlineStr">
        <is>
          <t>1. Use an account with 45+ rows in one tab
2. Scroll
3. Cut the network mid-scroll</t>
        </is>
      </c>
      <c r="F156" s="28" t="inlineStr">
        <is>
          <t>Pages of 20 append as you scroll; a failed page keeps the rows and shows an inline 'Load more' retry.</t>
        </is>
      </c>
      <c r="G156" s="29" t="inlineStr">
        <is>
          <t>P1</t>
        </is>
      </c>
      <c r="H156" s="29" t="inlineStr">
        <is>
          <t>Boundary</t>
        </is>
      </c>
      <c r="I156" s="30" t="inlineStr">
        <is>
          <t>lib/features/appointments/application/providers/appointments_provider.dart:167</t>
        </is>
      </c>
      <c r="J156" s="29" t="inlineStr">
        <is>
          <t>BB-10 (docs/BACKEND_BLOCKERS.md)</t>
        </is>
      </c>
      <c r="K156" s="31" t="inlineStr">
        <is>
          <t>Blocked</t>
        </is>
      </c>
      <c r="L156" s="32" t="inlineStr">
        <is>
          <t>Claude (adb)</t>
        </is>
      </c>
      <c r="M156" s="33" t="n">
        <v>46299</v>
      </c>
      <c r="N156" s="32" t="inlineStr">
        <is>
          <t>1.0.0+1 debug</t>
        </is>
      </c>
      <c r="O156" s="32" t="inlineStr">
        <is>
          <t>emulator-5554 / Android 14</t>
        </is>
      </c>
      <c r="P156" s="32" t="n"/>
      <c r="Q156" s="32" t="inlineStr">
        <is>
          <t>Seed data: this account has no past-but-unclosed visit, no past pending-payment booking, and at most 8 rows in a tab (page size is 20).</t>
        </is>
      </c>
    </row>
    <row r="157" ht="43" customHeight="1">
      <c r="A157" s="27" t="inlineStr">
        <is>
          <t>BL-APPT-014</t>
        </is>
      </c>
      <c r="B157" s="28" t="inlineStr">
        <is>
          <t>Appointments</t>
        </is>
      </c>
      <c r="C157" s="28" t="inlineStr">
        <is>
          <t>Tabs &amp; list queries</t>
        </is>
      </c>
      <c r="D157" s="28" t="inlineStr">
        <is>
          <t>Count label uses the server total</t>
        </is>
      </c>
      <c r="E157" s="28" t="inlineStr">
        <is>
          <t>View tabs with 0, 1 and 25 appointments</t>
        </is>
      </c>
      <c r="F157" s="28" t="inlineStr">
        <is>
          <t>'0 visits', '1 visit', '25 visits' — the total, not the rows loaded so far.</t>
        </is>
      </c>
      <c r="G157" s="29" t="inlineStr">
        <is>
          <t>P3</t>
        </is>
      </c>
      <c r="H157" s="29" t="inlineStr">
        <is>
          <t>Calculation</t>
        </is>
      </c>
      <c r="I157" s="30" t="inlineStr">
        <is>
          <t>lib/features/appointments/presentation/screen/appointments_screen.dart:154</t>
        </is>
      </c>
      <c r="J157" s="29" t="n"/>
      <c r="K157" s="31" t="inlineStr">
        <is>
          <t>Pass</t>
        </is>
      </c>
      <c r="L157" s="32" t="inlineStr">
        <is>
          <t>Claude (adb)</t>
        </is>
      </c>
      <c r="M157" s="33" t="n">
        <v>46299</v>
      </c>
      <c r="N157" s="32" t="inlineStr">
        <is>
          <t>1.0.0+1 debug</t>
        </is>
      </c>
      <c r="O157" s="32" t="inlineStr">
        <is>
          <t>emulator-5554 / Android 14</t>
        </is>
      </c>
      <c r="P157" s="32" t="n"/>
      <c r="Q157" s="32" t="inlineStr">
        <is>
          <t>'0 visits' on empty Upcoming, '5 visits' on Completed (API total 5), '8 visits' on Cancelled.</t>
        </is>
      </c>
    </row>
    <row r="158" ht="56" customHeight="1">
      <c r="A158" s="27" t="inlineStr">
        <is>
          <t>BL-APPT-015</t>
        </is>
      </c>
      <c r="B158" s="28" t="inlineStr">
        <is>
          <t>Appointments</t>
        </is>
      </c>
      <c r="C158" s="28" t="inlineStr">
        <is>
          <t>Tabs &amp; list queries</t>
        </is>
      </c>
      <c r="D158" s="28" t="inlineStr">
        <is>
          <t>Card buttons by status</t>
        </is>
      </c>
      <c r="E158" s="28" t="inlineStr">
        <is>
          <t>Look at cards in every status</t>
        </is>
      </c>
      <c r="F158" s="28" t="inlineStr">
        <is>
          <t>Upcoming statuses: one button ('Complete payment' for pending payment, otherwise 'View details'). Completed: 'View details' + 'Book Again'. Cancelled / no-show: hint + 'Book Again'. No Cancel button on any card.</t>
        </is>
      </c>
      <c r="G158" s="29" t="inlineStr">
        <is>
          <t>P1</t>
        </is>
      </c>
      <c r="H158" s="29" t="inlineStr">
        <is>
          <t>Rule</t>
        </is>
      </c>
      <c r="I158" s="30" t="inlineStr">
        <is>
          <t>lib/features/appointments/presentation/components/appointment_card.dart:167</t>
        </is>
      </c>
      <c r="J158" s="29" t="n"/>
      <c r="K158" s="31" t="inlineStr">
        <is>
          <t>Pass</t>
        </is>
      </c>
      <c r="L158" s="32" t="inlineStr">
        <is>
          <t>Claude (adb)</t>
        </is>
      </c>
      <c r="M158" s="33" t="n">
        <v>46299</v>
      </c>
      <c r="N158" s="32" t="inlineStr">
        <is>
          <t>1.0.0+1 debug</t>
        </is>
      </c>
      <c r="O158" s="32" t="inlineStr">
        <is>
          <t>emulator-5554 / Android 14</t>
        </is>
      </c>
      <c r="P158" s="32" t="n"/>
      <c r="Q158" s="32" t="inlineStr">
        <is>
          <t>Completed cards: 'View details' + 'Book Again'. Cancelled / no-show cards: hint line + 'Book Again'. Pending-payment card: one action (accessible label 'Open this appointment'). No Cancel button on any card.</t>
        </is>
      </c>
    </row>
    <row r="159" ht="43" customHeight="1">
      <c r="A159" s="27" t="inlineStr">
        <is>
          <t>BL-APPT-016</t>
        </is>
      </c>
      <c r="B159" s="28" t="inlineStr">
        <is>
          <t>Appointments</t>
        </is>
      </c>
      <c r="C159" s="28" t="inlineStr">
        <is>
          <t>Tabs &amp; list queries</t>
        </is>
      </c>
      <c r="D159" s="28" t="inlineStr">
        <is>
          <t>Book Again carries the doctor and department</t>
        </is>
      </c>
      <c r="E159" s="28" t="inlineStr">
        <is>
          <t>Tap Book Again on a completed and a cancelled appointment</t>
        </is>
      </c>
      <c r="F159" s="28" t="inlineStr">
        <is>
          <t>Booking opens at the doctor &amp; time step with that doctor preselected.</t>
        </is>
      </c>
      <c r="G159" s="29" t="inlineStr">
        <is>
          <t>P1</t>
        </is>
      </c>
      <c r="H159" s="29" t="inlineStr">
        <is>
          <t>Rule</t>
        </is>
      </c>
      <c r="I159" s="30" t="inlineStr">
        <is>
          <t>lib/features/appointments/presentation/screen/appointments_screen.dart:266</t>
        </is>
      </c>
      <c r="J159" s="29" t="n"/>
      <c r="K159" s="31" t="inlineStr">
        <is>
          <t>Pass</t>
        </is>
      </c>
      <c r="L159" s="32" t="inlineStr">
        <is>
          <t>Claude (adb)</t>
        </is>
      </c>
      <c r="M159" s="33" t="n">
        <v>46299</v>
      </c>
      <c r="N159" s="32" t="inlineStr">
        <is>
          <t>1.0.0+1 debug</t>
        </is>
      </c>
      <c r="O159" s="32" t="inlineStr">
        <is>
          <t>emulator-5554 / Android 14</t>
        </is>
      </c>
      <c r="P159" s="32" t="n"/>
      <c r="Q159" s="32" t="inlineStr">
        <is>
          <t>Book Again on a completed visit opens the booking with Lakeshore · Orthopaedics and Dr. Thomas Chacko already selected (Continue enabled); patient and time still to be chosen.</t>
        </is>
      </c>
    </row>
    <row r="160" ht="43" customHeight="1">
      <c r="A160" s="27" t="inlineStr">
        <is>
          <t>BL-APPT-017</t>
        </is>
      </c>
      <c r="B160" s="28" t="inlineStr">
        <is>
          <t>Appointments</t>
        </is>
      </c>
      <c r="C160" s="28" t="inlineStr">
        <is>
          <t>Tabs &amp; list queries</t>
        </is>
      </c>
      <c r="D160" s="28" t="inlineStr">
        <is>
          <t>Tab resets, filter persists</t>
        </is>
      </c>
      <c r="E160" s="28" t="inlineStr">
        <is>
          <t>1. Set a filter
2. Open a detail and go back
3. Leave Appointments and return</t>
        </is>
      </c>
      <c r="F160" s="28" t="inlineStr">
        <is>
          <t>Filter is still applied; the tab is back on Upcoming.</t>
        </is>
      </c>
      <c r="G160" s="29" t="inlineStr">
        <is>
          <t>P3</t>
        </is>
      </c>
      <c r="H160" s="29" t="inlineStr">
        <is>
          <t>State</t>
        </is>
      </c>
      <c r="I160" s="30" t="inlineStr">
        <is>
          <t>lib/features/appointments/presentation/controllers/appt_tab_controller.dart:15</t>
        </is>
      </c>
      <c r="J160" s="29" t="n"/>
      <c r="K160" s="31" t="inlineStr">
        <is>
          <t>Pass</t>
        </is>
      </c>
      <c r="L160" s="32" t="inlineStr">
        <is>
          <t>Claude (adb)</t>
        </is>
      </c>
      <c r="M160" s="33" t="n">
        <v>46299</v>
      </c>
      <c r="N160" s="32" t="inlineStr">
        <is>
          <t>1.0.0+1 debug</t>
        </is>
      </c>
      <c r="O160" s="32" t="inlineStr">
        <is>
          <t>emulator-5554 / Android 14</t>
        </is>
      </c>
      <c r="P160" s="32" t="n"/>
      <c r="Q160" s="32" t="inlineStr">
        <is>
          <t>Filter persisted after leaving Appointments and returning. Note: the selected tab also persisted (stayed on Completed) when switching bottom tabs, rather than resetting to Upcoming.</t>
        </is>
      </c>
    </row>
    <row r="161" ht="43" customHeight="1">
      <c r="A161" s="27" t="inlineStr">
        <is>
          <t>BL-APPT-018</t>
        </is>
      </c>
      <c r="B161" s="28" t="inlineStr">
        <is>
          <t>Appointments</t>
        </is>
      </c>
      <c r="C161" s="28" t="inlineStr">
        <is>
          <t>Search &amp; filters</t>
        </is>
      </c>
      <c r="D161" s="28" t="inlineStr">
        <is>
          <t>Appointment search spans all tabs and is debounced</t>
        </is>
      </c>
      <c r="E161" s="28" t="inlineStr">
        <is>
          <t>1. Appointments &gt; search
2. Type one character and wait
3. Type a booking reference from the Cancelled tab</t>
        </is>
      </c>
      <c r="F161" s="28" t="inlineStr">
        <is>
          <t>'Searching…' then results from every tab after about 300 ms. Note: no minimum length here (global search needs 2) — confirm intended.</t>
        </is>
      </c>
      <c r="G161" s="29" t="inlineStr">
        <is>
          <t>P2</t>
        </is>
      </c>
      <c r="H161" s="29" t="inlineStr">
        <is>
          <t>Rule</t>
        </is>
      </c>
      <c r="I161" s="30" t="inlineStr">
        <is>
          <t>lib/features/appointments/presentation/controllers/appointment_search_controller.dart:48</t>
        </is>
      </c>
      <c r="J161" s="29" t="n"/>
      <c r="K161" s="31" t="inlineStr">
        <is>
          <t>Pass</t>
        </is>
      </c>
      <c r="L161" s="32" t="inlineStr">
        <is>
          <t>Claude (adb)</t>
        </is>
      </c>
      <c r="M161" s="33" t="n">
        <v>46299</v>
      </c>
      <c r="N161" s="32" t="inlineStr">
        <is>
          <t>1.0.0+1 debug</t>
        </is>
      </c>
      <c r="O161" s="32" t="inlineStr">
        <is>
          <t>emulator-5554 / Android 14</t>
        </is>
      </c>
      <c r="P161" s="32" t="n"/>
      <c r="Q161" s="32" t="inlineStr">
        <is>
          <t>One character ('L') returns '14 appointments' from every tab (completed and cancelled); a cancelled booking's reference returns '1 appointment'. No minimum length here (global search needs 2) — confirm intended.</t>
        </is>
      </c>
    </row>
    <row r="162" ht="43" customHeight="1">
      <c r="A162" s="27" t="inlineStr">
        <is>
          <t>BL-APPT-019</t>
        </is>
      </c>
      <c r="B162" s="28" t="inlineStr">
        <is>
          <t>Appointments</t>
        </is>
      </c>
      <c r="C162" s="28" t="inlineStr">
        <is>
          <t>Search &amp; filters</t>
        </is>
      </c>
      <c r="D162" s="28" t="inlineStr">
        <is>
          <t>No results vs still typing</t>
        </is>
      </c>
      <c r="E162" s="28" t="inlineStr">
        <is>
          <t>1. Type quickly
2. Search a nonsense term</t>
        </is>
      </c>
      <c r="F162" s="28" t="inlineStr">
        <is>
          <t>Loader while typing, never a premature 'no results'; then 'No appointments for "&lt;term&gt;"' with 'Clear search' and 'Book an appointment'.</t>
        </is>
      </c>
      <c r="G162" s="29" t="inlineStr">
        <is>
          <t>P3</t>
        </is>
      </c>
      <c r="H162" s="29" t="inlineStr">
        <is>
          <t>State</t>
        </is>
      </c>
      <c r="I162" s="30" t="inlineStr">
        <is>
          <t>lib/features/appointments/presentation/screen/appointment_search_screen.dart:125</t>
        </is>
      </c>
      <c r="J162" s="29" t="n"/>
      <c r="K162" s="31" t="inlineStr">
        <is>
          <t>Pass</t>
        </is>
      </c>
      <c r="L162" s="32" t="inlineStr">
        <is>
          <t>Claude (adb)</t>
        </is>
      </c>
      <c r="M162" s="33" t="n">
        <v>46299</v>
      </c>
      <c r="N162" s="32" t="inlineStr">
        <is>
          <t>1.0.0+1 debug</t>
        </is>
      </c>
      <c r="O162" s="32" t="inlineStr">
        <is>
          <t>emulator-5554 / Android 14</t>
        </is>
      </c>
      <c r="P162" s="32" t="n"/>
      <c r="Q162" s="32" t="inlineStr">
        <is>
          <t>Nonsense term: 'No appointments for "zzqq"' with 'Clear search' and 'Book an appointment'. Idle view: 'Find a past or upcoming appointment' + 'Browse with filters instead'.</t>
        </is>
      </c>
    </row>
    <row r="163" ht="43" customHeight="1">
      <c r="A163" s="27" t="inlineStr">
        <is>
          <t>BL-APPT-020</t>
        </is>
      </c>
      <c r="B163" s="28" t="inlineStr">
        <is>
          <t>Appointments</t>
        </is>
      </c>
      <c r="C163" s="28" t="inlineStr">
        <is>
          <t>Search &amp; filters</t>
        </is>
      </c>
      <c r="D163" s="28" t="inlineStr">
        <is>
          <t>Filters apply only on 'Show results'</t>
        </is>
      </c>
      <c r="E163" s="28" t="inlineStr">
        <is>
          <t>1. Change filters and swipe the sheet away
2. Change them again and tap 'Show results'</t>
        </is>
      </c>
      <c r="F163" s="28" t="inlineStr">
        <is>
          <t>List is unchanged after dismissing; it reloads after 'Show results'.</t>
        </is>
      </c>
      <c r="G163" s="29" t="inlineStr">
        <is>
          <t>P2</t>
        </is>
      </c>
      <c r="H163" s="29" t="inlineStr">
        <is>
          <t>State</t>
        </is>
      </c>
      <c r="I163" s="30" t="inlineStr">
        <is>
          <t>lib/features/appointments/presentation/screen/appointment_filter_sheet.dart:279</t>
        </is>
      </c>
      <c r="J163" s="29" t="n"/>
      <c r="K163" s="31" t="inlineStr">
        <is>
          <t>Pass</t>
        </is>
      </c>
      <c r="L163" s="32" t="inlineStr">
        <is>
          <t>Claude (adb)</t>
        </is>
      </c>
      <c r="M163" s="33" t="n">
        <v>46299</v>
      </c>
      <c r="N163" s="32" t="inlineStr">
        <is>
          <t>1.0.0+1 debug</t>
        </is>
      </c>
      <c r="O163" s="32" t="inlineStr">
        <is>
          <t>emulator-5554 / Android 14</t>
        </is>
      </c>
      <c r="P163" s="32" t="n"/>
      <c r="Q163" s="32" t="inlineStr">
        <is>
          <t>Selecting two statuses then closing the sheet left the list unchanged and the sheet reopened with 'No filters set'; after 'Show results' the list reloaded with chips.</t>
        </is>
      </c>
    </row>
    <row r="164" ht="43" customHeight="1">
      <c r="A164" s="27" t="inlineStr">
        <is>
          <t>BL-APPT-021</t>
        </is>
      </c>
      <c r="B164" s="28" t="inlineStr">
        <is>
          <t>Appointments</t>
        </is>
      </c>
      <c r="C164" s="28" t="inlineStr">
        <is>
          <t>Search &amp; filters</t>
        </is>
      </c>
      <c r="D164" s="28" t="inlineStr">
        <is>
          <t>Status filter exists only on Upcoming</t>
        </is>
      </c>
      <c r="E164" s="28" t="inlineStr">
        <is>
          <t>Open the filter sheet from each tab</t>
        </is>
      </c>
      <c r="F164" s="28" t="inlineStr">
        <is>
          <t>Status chips appear only on Upcoming.</t>
        </is>
      </c>
      <c r="G164" s="29" t="inlineStr">
        <is>
          <t>P2</t>
        </is>
      </c>
      <c r="H164" s="29" t="inlineStr">
        <is>
          <t>Rule</t>
        </is>
      </c>
      <c r="I164" s="30" t="inlineStr">
        <is>
          <t>lib/features/appointments/presentation/screen/appointment_filter_sheet.dart:132</t>
        </is>
      </c>
      <c r="J164" s="29" t="n"/>
      <c r="K164" s="31" t="inlineStr">
        <is>
          <t>Pass</t>
        </is>
      </c>
      <c r="L164" s="32" t="inlineStr">
        <is>
          <t>Claude (adb)</t>
        </is>
      </c>
      <c r="M164" s="33" t="n">
        <v>46299</v>
      </c>
      <c r="N164" s="32" t="inlineStr">
        <is>
          <t>1.0.0+1 debug</t>
        </is>
      </c>
      <c r="O164" s="32" t="inlineStr">
        <is>
          <t>emulator-5554 / Android 14</t>
        </is>
      </c>
      <c r="P164" s="32" t="n"/>
      <c r="Q164" s="32" t="inlineStr">
        <is>
          <t>Status chips (Payment pending, Awaiting confirmation, Confirmed, Checked in, In consultation) appear in the sheet on Upcoming only; on Completed the sheet has Date range / Doctor / Hospital / Patient.</t>
        </is>
      </c>
    </row>
    <row r="165" ht="56" customHeight="1">
      <c r="A165" s="27" t="inlineStr">
        <is>
          <t>BL-APPT-022</t>
        </is>
      </c>
      <c r="B165" s="28" t="inlineStr">
        <is>
          <t>Appointments</t>
        </is>
      </c>
      <c r="C165" s="28" t="inlineStr">
        <is>
          <t>Search &amp; filters</t>
        </is>
      </c>
      <c r="D165" s="28" t="inlineStr">
        <is>
          <t>Status filter must not leak into other tabs</t>
        </is>
      </c>
      <c r="E165" s="28" t="inlineStr">
        <is>
          <t>1. On Upcoming select a status filter
2. Switch to Completed and Cancelled</t>
        </is>
      </c>
      <c r="F165" s="28" t="inlineStr">
        <is>
          <t>Decide what is correct: the code keeps the status chip and counts it in 'Filters · n' on the other tabs although it is not applied there, and an empty tab then says 'No appointments match these filters.'</t>
        </is>
      </c>
      <c r="G165" s="29" t="inlineStr">
        <is>
          <t>P2</t>
        </is>
      </c>
      <c r="H165" s="29" t="inlineStr">
        <is>
          <t>Verify gap</t>
        </is>
      </c>
      <c r="I165" s="30" t="inlineStr">
        <is>
          <t>lib/features/appointments/domain/entities/appointment_filter.dart:244</t>
        </is>
      </c>
      <c r="J165" s="29" t="n"/>
      <c r="K165" s="31" t="inlineStr">
        <is>
          <t>Pass</t>
        </is>
      </c>
      <c r="L165" s="32" t="inlineStr">
        <is>
          <t>Claude (adb)</t>
        </is>
      </c>
      <c r="M165" s="33" t="n">
        <v>46300</v>
      </c>
      <c r="N165" s="32" t="inlineStr">
        <is>
          <t>1.0.0+1 debug</t>
        </is>
      </c>
      <c r="O165" s="32" t="inlineStr">
        <is>
          <t>emulator-5554 / Android 14</t>
        </is>
      </c>
      <c r="P165" s="32" t="inlineStr">
        <is>
          <t>DEF-015</t>
        </is>
      </c>
      <c r="Q165" s="32" t="inlineStr">
        <is>
          <t>FIXED AND RETESTED (5 Oct 2026, rebuilt debug build; DEF-015). Decision taken: status filters belong to the Upcoming tab. On Completed and Cancelled they are not applied, shown as chips or counted (button and filter sheet), and they come back on Upcoming (AppointmentFilter.forTab; chips, query, screen count and sheet summary use it). Emulator: Upcoming, Status Confirmed + Checked in -&gt; 'Filter appointments, 2 active' with two removable chips; Completed -&gt; 'Filter appointments' (no count), no chips, 5 visits, sheet says 'No filters set'; back to Upcoming -&gt; 2 active and both chips again. Tests added (filter_tab_scope_test.dart). First observed: Status filters set on Upcoming (Confirmed, Checked in) stay as removable chips and count in 'Filter appointments, 3 active' on the Completed tab, where they are not applied — a Completed visit is listed under chips saying 'Status Confirmed / Checked in'. The Completed filter sheet also says '3 filters set' while showing no status section.</t>
        </is>
      </c>
    </row>
    <row r="166" ht="43" customHeight="1">
      <c r="A166" s="27" t="inlineStr">
        <is>
          <t>BL-APPT-023</t>
        </is>
      </c>
      <c r="B166" s="28" t="inlineStr">
        <is>
          <t>Appointments</t>
        </is>
      </c>
      <c r="C166" s="28" t="inlineStr">
        <is>
          <t>Search &amp; filters</t>
        </is>
      </c>
      <c r="D166" s="28" t="inlineStr">
        <is>
          <t>Date range limits and auto-swap</t>
        </is>
      </c>
      <c r="E166" s="28" t="inlineStr">
        <is>
          <t>1. Try to pick a date more than 24 months back or 12 months ahead
2. Pick From = 20 Aug, To = 10 Aug</t>
        </is>
      </c>
      <c r="F166" s="28" t="inlineStr">
        <is>
          <t>Dates outside the window cannot be chosen; a reversed range becomes 10 Aug – 20 Aug.</t>
        </is>
      </c>
      <c r="G166" s="29" t="inlineStr">
        <is>
          <t>P2</t>
        </is>
      </c>
      <c r="H166" s="29" t="inlineStr">
        <is>
          <t>Boundary</t>
        </is>
      </c>
      <c r="I166" s="30" t="inlineStr">
        <is>
          <t>lib/features/appointments/presentation/screen/appointment_filter_sheet.dart:258</t>
        </is>
      </c>
      <c r="J166" s="29" t="n"/>
      <c r="K166" s="31" t="inlineStr">
        <is>
          <t>Pass</t>
        </is>
      </c>
      <c r="L166" s="32" t="inlineStr">
        <is>
          <t>Claude (adb)</t>
        </is>
      </c>
      <c r="M166" s="33" t="n">
        <v>46299</v>
      </c>
      <c r="N166" s="32" t="inlineStr">
        <is>
          <t>1.0.0+1 debug</t>
        </is>
      </c>
      <c r="O166" s="32" t="inlineStr">
        <is>
          <t>emulator-5554 / Android 14</t>
        </is>
      </c>
      <c r="P166" s="32" t="n"/>
      <c r="Q166" s="32" t="inlineStr">
        <is>
          <t>Calendar is limited to October 2024 (Previous disabled) through October 2027 (Next disabled). Picking From = 20 Sep then To = 10 Sep gave From 10 Sep, To 20 Sep; chip 'Dates 10 Sep – 20 Sep 2026' and '4 visits' (matches API).</t>
        </is>
      </c>
    </row>
    <row r="167" ht="43" customHeight="1">
      <c r="A167" s="27" t="inlineStr">
        <is>
          <t>BL-APPT-024</t>
        </is>
      </c>
      <c r="B167" s="28" t="inlineStr">
        <is>
          <t>Appointments</t>
        </is>
      </c>
      <c r="C167" s="28" t="inlineStr">
        <is>
          <t>Search &amp; filters</t>
        </is>
      </c>
      <c r="D167" s="28" t="inlineStr">
        <is>
          <t>Active filter count</t>
        </is>
      </c>
      <c r="E167" s="28" t="inlineStr">
        <is>
          <t>1. Set a date range plus two statuses
2. Remove one chip</t>
        </is>
      </c>
      <c r="F167" s="28" t="inlineStr">
        <is>
          <t>'Filters · 3' (range = 1, each status = 1); removing a chip drops only that facet.</t>
        </is>
      </c>
      <c r="G167" s="29" t="inlineStr">
        <is>
          <t>P3</t>
        </is>
      </c>
      <c r="H167" s="29" t="inlineStr">
        <is>
          <t>Calculation</t>
        </is>
      </c>
      <c r="I167" s="30" t="inlineStr">
        <is>
          <t>lib/features/appointments/domain/entities/appointment_filter.dart:106</t>
        </is>
      </c>
      <c r="J167" s="29" t="n"/>
      <c r="K167" s="31" t="inlineStr">
        <is>
          <t>Pass</t>
        </is>
      </c>
      <c r="L167" s="32" t="inlineStr">
        <is>
          <t>Claude (adb)</t>
        </is>
      </c>
      <c r="M167" s="33" t="n">
        <v>46299</v>
      </c>
      <c r="N167" s="32" t="inlineStr">
        <is>
          <t>1.0.0+1 debug</t>
        </is>
      </c>
      <c r="O167" s="32" t="inlineStr">
        <is>
          <t>emulator-5554 / Android 14</t>
        </is>
      </c>
      <c r="P167" s="32" t="n"/>
      <c r="Q167" s="32" t="inlineStr">
        <is>
          <t>Doctor + two statuses = '3 filters set' / '3 active'; removing the 'Status Confirmed' chip leaves the other two ('2 active').</t>
        </is>
      </c>
    </row>
    <row r="168" ht="43" customHeight="1">
      <c r="A168" s="27" t="inlineStr">
        <is>
          <t>BL-APPT-025</t>
        </is>
      </c>
      <c r="B168" s="28" t="inlineStr">
        <is>
          <t>Appointments</t>
        </is>
      </c>
      <c r="C168" s="28" t="inlineStr">
        <is>
          <t>Search &amp; filters</t>
        </is>
      </c>
      <c r="D168" s="28" t="inlineStr">
        <is>
          <t>Doctor and hospital options come from your own appointments</t>
        </is>
      </c>
      <c r="E168" s="28" t="inlineStr">
        <is>
          <t>Open the filter on an account with appointments under 2 doctors</t>
        </is>
      </c>
      <c r="F168" s="28" t="inlineStr">
        <is>
          <t>Only those 2 doctors (plus 'Any doctor') are offered.</t>
        </is>
      </c>
      <c r="G168" s="29" t="inlineStr">
        <is>
          <t>P3</t>
        </is>
      </c>
      <c r="H168" s="29" t="inlineStr">
        <is>
          <t>Rule</t>
        </is>
      </c>
      <c r="I168" s="30" t="inlineStr">
        <is>
          <t>lib/features/appointments/presentation/controllers/appointment_filter_controller.dart:92</t>
        </is>
      </c>
      <c r="J168" s="29" t="n"/>
      <c r="K168" s="31" t="inlineStr">
        <is>
          <t>Pass</t>
        </is>
      </c>
      <c r="L168" s="32" t="inlineStr">
        <is>
          <t>Claude (adb)</t>
        </is>
      </c>
      <c r="M168" s="33" t="n">
        <v>46299</v>
      </c>
      <c r="N168" s="32" t="inlineStr">
        <is>
          <t>1.0.0+1 debug</t>
        </is>
      </c>
      <c r="O168" s="32" t="inlineStr">
        <is>
          <t>emulator-5554 / Android 14</t>
        </is>
      </c>
      <c r="P168" s="32" t="n"/>
      <c r="Q168" s="32" t="inlineStr">
        <is>
          <t>Doctor options: Any doctor + the 5 doctors in this account's own appointments (none from the other hospital).</t>
        </is>
      </c>
    </row>
    <row r="169" ht="43" customHeight="1">
      <c r="A169" s="27" t="inlineStr">
        <is>
          <t>BL-APPT-026</t>
        </is>
      </c>
      <c r="B169" s="28" t="inlineStr">
        <is>
          <t>Appointments</t>
        </is>
      </c>
      <c r="C169" s="28" t="inlineStr">
        <is>
          <t>Search &amp; filters</t>
        </is>
      </c>
      <c r="D169" s="28" t="inlineStr">
        <is>
          <t>'Browse with filters instead' on the search screen</t>
        </is>
      </c>
      <c r="E169" s="28" t="inlineStr">
        <is>
          <t>1. On appointment search tap 'Browse with filters instead'
2. Apply a filter</t>
        </is>
      </c>
      <c r="F169" s="28" t="inlineStr">
        <is>
          <t>Decide what is correct: the filter changes the tab list underneath, not the search results.</t>
        </is>
      </c>
      <c r="G169" s="29" t="inlineStr">
        <is>
          <t>P3</t>
        </is>
      </c>
      <c r="H169" s="29" t="inlineStr">
        <is>
          <t>Verify gap</t>
        </is>
      </c>
      <c r="I169" s="30" t="inlineStr">
        <is>
          <t>lib/features/appointments/presentation/controllers/appointment_search_controller.dart:91</t>
        </is>
      </c>
      <c r="J169" s="29" t="n"/>
      <c r="K169" s="31" t="inlineStr">
        <is>
          <t>Pass</t>
        </is>
      </c>
      <c r="L169" s="32" t="inlineStr">
        <is>
          <t>Claude (adb)</t>
        </is>
      </c>
      <c r="M169" s="33" t="n">
        <v>46300</v>
      </c>
      <c r="N169" s="32" t="inlineStr">
        <is>
          <t>1.0.0+1 debug</t>
        </is>
      </c>
      <c r="O169" s="32" t="inlineStr">
        <is>
          <t>emulator-5554 / Android 14</t>
        </is>
      </c>
      <c r="P169" s="32" t="inlineStr">
        <is>
          <t>DEF-074</t>
        </is>
      </c>
      <c r="Q169" s="32" t="inlineStr">
        <is>
          <t>PASS (5 Oct 2026, debug build). Decided: filters narrow the appointments list, not search results, so they must be applied where that list is visible. FIXED (DEF-074): 'Browse with filters instead' now closes search and opens the filter sheet over the Appointments list (opened from a link, it goes to the filter screen, which lands on the list after Apply). Before, the sheet opened over the empty search screen and the change happened unseen underneath. Retest: Canceled tab -&gt; Search -&gt; 'Browse with filters instead' -&gt; sheet over the list -&gt; Doctor Dr. Meera Varghese -&gt; Show results -&gt; list shows 'Filter appointments, 1 active' and only her appointments. Filter cleared afterwards.</t>
        </is>
      </c>
    </row>
    <row r="170" ht="43" customHeight="1">
      <c r="A170" s="27" t="inlineStr">
        <is>
          <t>BL-APPT-027</t>
        </is>
      </c>
      <c r="B170" s="28" t="inlineStr">
        <is>
          <t>Appointments</t>
        </is>
      </c>
      <c r="C170" s="28" t="inlineStr">
        <is>
          <t>Detail actions by status</t>
        </is>
      </c>
      <c r="D170" s="28" t="inlineStr">
        <is>
          <t>Cancel is enabled only when the server allows it</t>
        </is>
      </c>
      <c r="E170" s="28" t="inlineStr">
        <is>
          <t>Open details for a scheduled booking, one whose token was called, and one in consultation</t>
        </is>
      </c>
      <c r="F170" s="28" t="inlineStr">
        <is>
          <t>Cancel is active only where the server's can_cancel is true; otherwise shown disabled.</t>
        </is>
      </c>
      <c r="G170" s="29" t="inlineStr">
        <is>
          <t>P0</t>
        </is>
      </c>
      <c r="H170" s="29" t="inlineStr">
        <is>
          <t>Rule</t>
        </is>
      </c>
      <c r="I170" s="30" t="inlineStr">
        <is>
          <t>lib/features/appointments/presentation/screen/appointment_detail_screen.dart:733</t>
        </is>
      </c>
      <c r="J170" s="29" t="n"/>
      <c r="K170" s="31" t="inlineStr">
        <is>
          <t>Pass</t>
        </is>
      </c>
      <c r="L170" s="32" t="inlineStr">
        <is>
          <t>Claude (adb)</t>
        </is>
      </c>
      <c r="M170" s="33" t="n">
        <v>46299</v>
      </c>
      <c r="N170" s="32" t="inlineStr">
        <is>
          <t>1.0.0+1 debug</t>
        </is>
      </c>
      <c r="O170" s="32" t="inlineStr">
        <is>
          <t>emulator-5554 / Android 14</t>
        </is>
      </c>
      <c r="P170" s="32" t="n"/>
      <c r="Q170" s="32" t="inlineStr">
        <is>
          <t>Pending-payment booking: 'Cancel this appointment' enabled (API can_cancel). Completed booking: no Cancel offered. Token-called / in-consultation states not available (KB-08).</t>
        </is>
      </c>
    </row>
    <row r="171" ht="43" customHeight="1">
      <c r="A171" s="27" t="inlineStr">
        <is>
          <t>BL-APPT-028</t>
        </is>
      </c>
      <c r="B171" s="28" t="inlineStr">
        <is>
          <t>Appointments</t>
        </is>
      </c>
      <c r="C171" s="28" t="inlineStr">
        <is>
          <t>Detail actions by status</t>
        </is>
      </c>
      <c r="D171" s="28" t="inlineStr">
        <is>
          <t>Reason for a disabled Cancel is visible to sighted users</t>
        </is>
      </c>
      <c r="E171" s="28" t="inlineStr">
        <is>
          <t>Open a booking whose Cancel is disabled</t>
        </is>
      </c>
      <c r="F171" s="28" t="inlineStr">
        <is>
          <t>The reason should be readable on screen. The code exposes it only to screen readers ('Cancel unavailable — &lt;reason&gt;').</t>
        </is>
      </c>
      <c r="G171" s="29" t="inlineStr">
        <is>
          <t>P2</t>
        </is>
      </c>
      <c r="H171" s="29" t="inlineStr">
        <is>
          <t>Verify gap</t>
        </is>
      </c>
      <c r="I171" s="30" t="inlineStr">
        <is>
          <t>lib/features/appointments/presentation/screen/appointment_detail_screen.dart:808</t>
        </is>
      </c>
      <c r="J171" s="29" t="inlineStr">
        <is>
          <t>KB-08 / BB-12 (docs/BACKEND_BLOCKERS.md)</t>
        </is>
      </c>
      <c r="K171" s="31" t="inlineStr">
        <is>
          <t>Blocked</t>
        </is>
      </c>
      <c r="L171" s="32" t="inlineStr">
        <is>
          <t>Claude (adb)</t>
        </is>
      </c>
      <c r="M171" s="33" t="n">
        <v>46299</v>
      </c>
      <c r="N171" s="32" t="inlineStr">
        <is>
          <t>1.0.0+1 debug</t>
        </is>
      </c>
      <c r="O171" s="32" t="inlineStr">
        <is>
          <t>emulator-5554 / Android 14</t>
        </is>
      </c>
      <c r="P171" s="32" t="n"/>
      <c r="Q171" s="32" t="inlineStr">
        <is>
          <t>Seed data / KB-08: no upcoming booking with Cancel disabled (token called, in consultation) could be produced.</t>
        </is>
      </c>
    </row>
    <row r="172" ht="43" customHeight="1">
      <c r="A172" s="27" t="inlineStr">
        <is>
          <t>BL-APPT-029</t>
        </is>
      </c>
      <c r="B172" s="28" t="inlineStr">
        <is>
          <t>Appointments</t>
        </is>
      </c>
      <c r="C172" s="28" t="inlineStr">
        <is>
          <t>Detail actions by status</t>
        </is>
      </c>
      <c r="D172" s="28" t="inlineStr">
        <is>
          <t>Retry payment appears only when the server allows it</t>
        </is>
      </c>
      <c r="E172" s="28" t="inlineStr">
        <is>
          <t>Open a pending-payment booking before and after its deadline</t>
        </is>
      </c>
      <c r="F172" s="28" t="inlineStr">
        <is>
          <t>'Retry payment' before; gone after. It opens the payment screen for that booking and order.</t>
        </is>
      </c>
      <c r="G172" s="29" t="inlineStr">
        <is>
          <t>P0</t>
        </is>
      </c>
      <c r="H172" s="29" t="inlineStr">
        <is>
          <t>Rule</t>
        </is>
      </c>
      <c r="I172" s="30" t="inlineStr">
        <is>
          <t>lib/features/appointments/presentation/screen/appointment_detail_screen.dart:262</t>
        </is>
      </c>
      <c r="J172" s="29" t="n"/>
      <c r="K172" s="31" t="inlineStr">
        <is>
          <t>Pass</t>
        </is>
      </c>
      <c r="L172" s="32" t="inlineStr">
        <is>
          <t>Claude (adb)</t>
        </is>
      </c>
      <c r="M172" s="33" t="n">
        <v>46299</v>
      </c>
      <c r="N172" s="32" t="inlineStr">
        <is>
          <t>1.0.0+1 debug</t>
        </is>
      </c>
      <c r="O172" s="32" t="inlineStr">
        <is>
          <t>emulator-5554 / Android 14</t>
        </is>
      </c>
      <c r="P172" s="32" t="n"/>
      <c r="Q172" s="32" t="inlineStr">
        <is>
          <t>Pending-payment booking within its deadline shows 'Retry payment'; completed and cancelled bookings do not.</t>
        </is>
      </c>
    </row>
    <row r="173" ht="43" customHeight="1">
      <c r="A173" s="27" t="inlineStr">
        <is>
          <t>BL-APPT-030</t>
        </is>
      </c>
      <c r="B173" s="28" t="inlineStr">
        <is>
          <t>Appointments</t>
        </is>
      </c>
      <c r="C173" s="28" t="inlineStr">
        <is>
          <t>Detail actions by status</t>
        </is>
      </c>
      <c r="D173" s="28" t="inlineStr">
        <is>
          <t>'Pay within mm:ss' countdown</t>
        </is>
      </c>
      <c r="E173" s="28" t="inlineStr">
        <is>
          <t>1. Open a pending-payment booking with time left
2. Watch it reach 00:00
3. Reopen after the deadline</t>
        </is>
      </c>
      <c r="F173" s="28" t="inlineStr">
        <is>
          <t>Countdown while time remains; absent after. Check what happens at 00:00 without leaving the screen (the code does not re-evaluate until rebuild).</t>
        </is>
      </c>
      <c r="G173" s="29" t="inlineStr">
        <is>
          <t>P1</t>
        </is>
      </c>
      <c r="H173" s="29" t="inlineStr">
        <is>
          <t>Boundary</t>
        </is>
      </c>
      <c r="I173" s="30" t="inlineStr">
        <is>
          <t>lib/features/appointments/presentation/screen/appointment_detail_screen.dart:368</t>
        </is>
      </c>
      <c r="J173" s="29" t="n"/>
      <c r="K173" s="31" t="inlineStr">
        <is>
          <t>Pass</t>
        </is>
      </c>
      <c r="L173" s="32" t="inlineStr">
        <is>
          <t>Claude (adb)</t>
        </is>
      </c>
      <c r="M173" s="33" t="n">
        <v>46299</v>
      </c>
      <c r="N173" s="32" t="inlineStr">
        <is>
          <t>1.0.0+1 debug</t>
        </is>
      </c>
      <c r="O173" s="32" t="inlineStr">
        <is>
          <t>emulator-5554 / Android 14</t>
        </is>
      </c>
      <c r="P173" s="32" t="n"/>
      <c r="Q173" s="32" t="inlineStr">
        <is>
          <t>'Pay within 04:08 remaining' at 07:32:11Z against a 07:36:17Z deadline; counting down. Behaviour exactly at 00:00 on this screen not observed (booking was cancelled first).</t>
        </is>
      </c>
    </row>
    <row r="174" ht="43" customHeight="1">
      <c r="A174" s="27" t="inlineStr">
        <is>
          <t>BL-APPT-031</t>
        </is>
      </c>
      <c r="B174" s="28" t="inlineStr">
        <is>
          <t>Appointments</t>
        </is>
      </c>
      <c r="C174" s="28" t="inlineStr">
        <is>
          <t>Detail actions by status</t>
        </is>
      </c>
      <c r="D174" s="28" t="inlineStr">
        <is>
          <t>Closed appointments: Book Again and Rate visit</t>
        </is>
      </c>
      <c r="E174" s="28" t="inlineStr">
        <is>
          <t>Open a completed-unreviewed, completed-reviewed and cancelled appointment</t>
        </is>
      </c>
      <c r="F174" s="28" t="inlineStr">
        <is>
          <t>Rate visit + Book Again / Book Again only / Book Again only.</t>
        </is>
      </c>
      <c r="G174" s="29" t="inlineStr">
        <is>
          <t>P1</t>
        </is>
      </c>
      <c r="H174" s="29" t="inlineStr">
        <is>
          <t>Rule</t>
        </is>
      </c>
      <c r="I174" s="30" t="inlineStr">
        <is>
          <t>lib/features/appointments/presentation/screen/appointment_detail_screen.dart:763</t>
        </is>
      </c>
      <c r="J174" s="29" t="n"/>
      <c r="K174" s="31" t="inlineStr">
        <is>
          <t>Pass</t>
        </is>
      </c>
      <c r="L174" s="32" t="inlineStr">
        <is>
          <t>Claude (adb)</t>
        </is>
      </c>
      <c r="M174" s="33" t="n">
        <v>46299</v>
      </c>
      <c r="N174" s="32" t="inlineStr">
        <is>
          <t>1.0.0+1 debug</t>
        </is>
      </c>
      <c r="O174" s="32" t="inlineStr">
        <is>
          <t>emulator-5554 / Android 14</t>
        </is>
      </c>
      <c r="P174" s="32" t="n"/>
      <c r="Q174" s="32" t="inlineStr">
        <is>
          <t>Completed + not reviewed: 'Rate visit' + 'Book Again'; completed + reviewed: 'Book Again' only. Cancelled detail checked separately.</t>
        </is>
      </c>
    </row>
    <row r="175" ht="69" customHeight="1">
      <c r="A175" s="27" t="inlineStr">
        <is>
          <t>BL-APPT-032</t>
        </is>
      </c>
      <c r="B175" s="28" t="inlineStr">
        <is>
          <t>Appointments</t>
        </is>
      </c>
      <c r="C175" s="28" t="inlineStr">
        <is>
          <t>Detail actions by status</t>
        </is>
      </c>
      <c r="D175" s="28" t="inlineStr">
        <is>
          <t>Live queue row and its wording</t>
        </is>
      </c>
      <c r="E175" s="28" t="inlineStr">
        <is>
          <t>Open the detail in scheduled and in checked-in status</t>
        </is>
      </c>
      <c r="F175" s="28" t="inlineStr">
        <is>
          <t>'Opens on the day — see the desk move in real time once the session starts.' vs 'See who is being seen and how far your token is from the desk.' Confirm the row should also appear for pending-payment and awaiting-confirmation bookings (it does).</t>
        </is>
      </c>
      <c r="G175" s="29" t="inlineStr">
        <is>
          <t>P2</t>
        </is>
      </c>
      <c r="H175" s="29" t="inlineStr">
        <is>
          <t>Rule</t>
        </is>
      </c>
      <c r="I175" s="30" t="inlineStr">
        <is>
          <t>lib/features/appointments/presentation/screen/appointment_detail_screen.dart:148</t>
        </is>
      </c>
      <c r="J175" s="29" t="inlineStr">
        <is>
          <t>KB-08 (checked-in wording)</t>
        </is>
      </c>
      <c r="K175" s="31" t="inlineStr">
        <is>
          <t>Blocked</t>
        </is>
      </c>
      <c r="L175" s="32" t="inlineStr">
        <is>
          <t>Claude (adb)</t>
        </is>
      </c>
      <c r="M175" s="33" t="n">
        <v>46300</v>
      </c>
      <c r="N175" s="32" t="inlineStr">
        <is>
          <t>1.0.0+1 debug</t>
        </is>
      </c>
      <c r="O175" s="32" t="inlineStr">
        <is>
          <t>emulator-5554 / Android 14</t>
        </is>
      </c>
      <c r="P175" s="32" t="inlineStr">
        <is>
          <t>DEF-050</t>
        </is>
      </c>
      <c r="Q175" s="32" t="inlineStr">
        <is>
          <t>OWNER DECISION for part 2 (5 Oct 2026): hide the Live queue row on unpaid bookings; keep it for bookings awaiting confirmation (DEF-050). FIXED AND RETESTED (5 Oct 2026, rebuilt debug build). Unpaid booking LKSB-2610-00196 (created for this test, then cancelled): Appointment Details shows no 'Live queue' row and no 'View token' row - only Retry payment and Cancel. Confirmed booking LKSB-2609-00171 (seeded account Jacob Mathew): the 'Live queue' row is still there. A booking awaiting the hospital's confirmation was not available on this server; that it keeps the row is covered by a unit test of the rule. Part 1 still open: the checked-in wording cannot be seen without a desk user (KB-08), and the before-the-day wording was not re-read in this run. First observed 4 Oct 2026: a pending-payment booking showed 'Open the live queue for Dr. Thomas Chacko' and the queue opened ('The desk has not opened yet').</t>
        </is>
      </c>
    </row>
    <row r="176" ht="69" customHeight="1">
      <c r="A176" s="27" t="inlineStr">
        <is>
          <t>BL-APPT-033</t>
        </is>
      </c>
      <c r="B176" s="28" t="inlineStr">
        <is>
          <t>Appointments</t>
        </is>
      </c>
      <c r="C176" s="28" t="inlineStr">
        <is>
          <t>Detail actions by status</t>
        </is>
      </c>
      <c r="D176" s="28" t="inlineStr">
        <is>
          <t>Fee rows show only what applies, from the booking snapshot</t>
        </is>
      </c>
      <c r="E176" s="28" t="inlineStr">
        <is>
          <t>Open a discounted booking and a refunded one</t>
        </is>
      </c>
      <c r="F176" s="28" t="inlineStr">
        <is>
          <t>Zero-value rows (service fee, discount, convenience fee, tax) are hidden; discount shows as '−₹X'; one refund row per refund with status and date. Values equal what was charged at booking even if the doctor's fee changed since.</t>
        </is>
      </c>
      <c r="G176" s="29" t="inlineStr">
        <is>
          <t>P0</t>
        </is>
      </c>
      <c r="H176" s="29" t="inlineStr">
        <is>
          <t>Calculation</t>
        </is>
      </c>
      <c r="I176" s="30" t="inlineStr">
        <is>
          <t>lib/features/appointments/presentation/screen/appointment_detail_screen.dart:500</t>
        </is>
      </c>
      <c r="J176" s="29" t="n"/>
      <c r="K176" s="31" t="inlineStr">
        <is>
          <t>Pass</t>
        </is>
      </c>
      <c r="L176" s="32" t="inlineStr">
        <is>
          <t>Claude (adb)</t>
        </is>
      </c>
      <c r="M176" s="33" t="n">
        <v>46299</v>
      </c>
      <c r="N176" s="32" t="inlineStr">
        <is>
          <t>1.0.0+1 debug</t>
        </is>
      </c>
      <c r="O176" s="32" t="inlineStr">
        <is>
          <t>emulator-5554 / Android 14</t>
        </is>
      </c>
      <c r="P176" s="32" t="n"/>
      <c r="Q176" s="32" t="inlineStr">
        <is>
          <t>Completed booking LKSB-2609-00097: Consultation fee ₹900, Convenience fee ₹20, Taxes ₹4, Total ₹924 (API 90000/2000/400/92400); zero-value rows (service fee, discount) are not shown. Discounted/refunded rows checked separately.</t>
        </is>
      </c>
    </row>
    <row r="177" ht="43" customHeight="1">
      <c r="A177" s="27" t="inlineStr">
        <is>
          <t>BL-APPT-034</t>
        </is>
      </c>
      <c r="B177" s="28" t="inlineStr">
        <is>
          <t>Appointments</t>
        </is>
      </c>
      <c r="C177" s="28" t="inlineStr">
        <is>
          <t>Detail actions by status</t>
        </is>
      </c>
      <c r="D177" s="28" t="inlineStr">
        <is>
          <t>Fallbacks for missing data</t>
        </is>
      </c>
      <c r="E177" s="28" t="inlineStr">
        <is>
          <t>1. Open a booking with no token yet
2. Open an appointment id that is not yours</t>
        </is>
      </c>
      <c r="F177" s="28" t="inlineStr">
        <is>
          <t>'Issued at the desk' for the token; 'Appointment not found — This appointment is not on your account…' for the foreign id.</t>
        </is>
      </c>
      <c r="G177" s="29" t="inlineStr">
        <is>
          <t>P1</t>
        </is>
      </c>
      <c r="H177" s="29" t="inlineStr">
        <is>
          <t>Error handling</t>
        </is>
      </c>
      <c r="I177" s="30" t="inlineStr">
        <is>
          <t>lib/features/appointments/presentation/screen/appointment_detail_screen.dart:87</t>
        </is>
      </c>
      <c r="J177" s="29" t="n"/>
      <c r="K177" s="31" t="inlineStr">
        <is>
          <t>Pass</t>
        </is>
      </c>
      <c r="L177" s="32" t="inlineStr">
        <is>
          <t>Claude (adb)</t>
        </is>
      </c>
      <c r="M177" s="33" t="n">
        <v>46299</v>
      </c>
      <c r="N177" s="32" t="inlineStr">
        <is>
          <t>1.0.0+1 debug</t>
        </is>
      </c>
      <c r="O177" s="32" t="inlineStr">
        <is>
          <t>emulator-5554 / Android 14</t>
        </is>
      </c>
      <c r="P177" s="32" t="n"/>
      <c r="Q177" s="32" t="inlineStr">
        <is>
          <t>Another user's appointment id: 'Appointment not found — This appointment is not on your account. It may have been booked under another sign-in.' with Go to Home. CAUTION: the screen also prints the raw path including the internal id ('/appointment/01a105c6-…'). Token fallback not seen (all bookings have tokens).</t>
        </is>
      </c>
    </row>
    <row r="178" ht="43" customHeight="1">
      <c r="A178" s="27" t="inlineStr">
        <is>
          <t>BL-APPT-035</t>
        </is>
      </c>
      <c r="B178" s="28" t="inlineStr">
        <is>
          <t>Appointments</t>
        </is>
      </c>
      <c r="C178" s="28" t="inlineStr">
        <is>
          <t>Detail actions by status</t>
        </is>
      </c>
      <c r="D178" s="28" t="inlineStr">
        <is>
          <t>History lists each event with its resulting status</t>
        </is>
      </c>
      <c r="E178" s="28" t="inlineStr">
        <is>
          <t>1. Book, get checked in, then cancel or complete
2. Open History</t>
        </is>
      </c>
      <c r="F178" s="28" t="inlineStr">
        <is>
          <t>Rows such as 'Booked → Payment pending', 'Checked in → Checked in', in time order; 'No events recorded yet.' when empty.</t>
        </is>
      </c>
      <c r="G178" s="29" t="inlineStr">
        <is>
          <t>P2</t>
        </is>
      </c>
      <c r="H178" s="29" t="inlineStr">
        <is>
          <t>Data mapping</t>
        </is>
      </c>
      <c r="I178" s="30" t="inlineStr">
        <is>
          <t>lib/features/appointments/presentation/screen/appointment_detail_screen.dart:645</t>
        </is>
      </c>
      <c r="J178" s="29" t="n"/>
      <c r="K178" s="31" t="inlineStr">
        <is>
          <t>Pass</t>
        </is>
      </c>
      <c r="L178" s="32" t="inlineStr">
        <is>
          <t>Claude (adb)</t>
        </is>
      </c>
      <c r="M178" s="33" t="n">
        <v>46299</v>
      </c>
      <c r="N178" s="32" t="inlineStr">
        <is>
          <t>1.0.0+1 debug</t>
        </is>
      </c>
      <c r="O178" s="32" t="inlineStr">
        <is>
          <t>emulator-5554 / Android 14</t>
        </is>
      </c>
      <c r="P178" s="32" t="n"/>
      <c r="Q178" s="32" t="inlineStr">
        <is>
          <t>History shows 'Booked → Payment pending (by patient)', 'Payment updated → Confirmed (by system)', 'Checked in → Checked in (by staff)', 'Token called', 'Consultation started → In consultation', 'Completed → Completed' in time order.</t>
        </is>
      </c>
    </row>
    <row r="179" ht="43" customHeight="1">
      <c r="A179" s="27" t="inlineStr">
        <is>
          <t>BL-APPT-036</t>
        </is>
      </c>
      <c r="B179" s="28" t="inlineStr">
        <is>
          <t>Appointments</t>
        </is>
      </c>
      <c r="C179" s="28" t="inlineStr">
        <is>
          <t>Cancellation preview &amp; refund</t>
        </is>
      </c>
      <c r="D179" s="28" t="inlineStr">
        <is>
          <t>A fresh policy check precedes every cancel</t>
        </is>
      </c>
      <c r="E179" s="28" t="inlineStr">
        <is>
          <t>1. Tap Cancel online
2. Tap Cancel offline</t>
        </is>
      </c>
      <c r="F179" s="28" t="inlineStr">
        <is>
          <t>Online: the dialog reflects the server's current policy. Offline: toast 'Could not check the cancellation policy. Please try again.' and no dialog.</t>
        </is>
      </c>
      <c r="G179" s="29" t="inlineStr">
        <is>
          <t>P0</t>
        </is>
      </c>
      <c r="H179" s="29" t="inlineStr">
        <is>
          <t>Rule</t>
        </is>
      </c>
      <c r="I179" s="30" t="inlineStr">
        <is>
          <t>lib/features/appointments/presentation/screen/appointment_detail_screen.dart:211</t>
        </is>
      </c>
      <c r="J179" s="29" t="n"/>
      <c r="K179" s="31" t="inlineStr">
        <is>
          <t>Pass</t>
        </is>
      </c>
      <c r="L179" s="32" t="inlineStr">
        <is>
          <t>Claude (adb)</t>
        </is>
      </c>
      <c r="M179" s="33" t="n">
        <v>46299</v>
      </c>
      <c r="N179" s="32" t="inlineStr">
        <is>
          <t>1.0.0+1 debug</t>
        </is>
      </c>
      <c r="O179" s="32" t="inlineStr">
        <is>
          <t>emulator-5554 / Android 14</t>
        </is>
      </c>
      <c r="P179" s="32" t="n"/>
      <c r="Q179" s="32" t="inlineStr">
        <is>
          <t>Online: Cancel fetches the policy and shows the dialog. Offline: tapping Cancel shows the toast 'You appear to be offline. Check your connection and try again.' and no dialog (banner: 'You're offline. Showing data from Just now.').</t>
        </is>
      </c>
    </row>
    <row r="180" ht="43" customHeight="1">
      <c r="A180" s="27" t="inlineStr">
        <is>
          <t>BL-APPT-037</t>
        </is>
      </c>
      <c r="B180" s="28" t="inlineStr">
        <is>
          <t>Appointments</t>
        </is>
      </c>
      <c r="C180" s="28" t="inlineStr">
        <is>
          <t>Cancellation preview &amp; refund</t>
        </is>
      </c>
      <c r="D180" s="28" t="inlineStr">
        <is>
          <t>Cancellation refused by policy</t>
        </is>
      </c>
      <c r="E180" s="28" t="inlineStr">
        <is>
          <t>Tap Cancel after the token was called, and after the token cancel window closed</t>
        </is>
      </c>
      <c r="F180" s="28" t="inlineStr">
        <is>
          <t>No dialog; toast 'Your token has already been called, so only the hospital can cancel this appointment now.' / 'The cancellation window for this token has closed.'</t>
        </is>
      </c>
      <c r="G180" s="29" t="inlineStr">
        <is>
          <t>P0</t>
        </is>
      </c>
      <c r="H180" s="29" t="inlineStr">
        <is>
          <t>Rule</t>
        </is>
      </c>
      <c r="I180" s="30" t="inlineStr">
        <is>
          <t>lib/features/appointments/presentation/components/cancellation_notice.dart:129</t>
        </is>
      </c>
      <c r="J180" s="29" t="inlineStr">
        <is>
          <t>KB-02 / BB-16 (docs/BACKEND_BLOCKERS.md); KB-08</t>
        </is>
      </c>
      <c r="K180" s="31" t="inlineStr">
        <is>
          <t>Blocked</t>
        </is>
      </c>
      <c r="L180" s="32" t="inlineStr">
        <is>
          <t>Claude (adb)</t>
        </is>
      </c>
      <c r="M180" s="33" t="n">
        <v>46299</v>
      </c>
      <c r="N180" s="32" t="inlineStr">
        <is>
          <t>1.0.0+1 debug</t>
        </is>
      </c>
      <c r="O180" s="32" t="inlineStr">
        <is>
          <t>emulator-5554 / Android 14</t>
        </is>
      </c>
      <c r="P180" s="32" t="n"/>
      <c r="Q180" s="32" t="inlineStr">
        <is>
          <t>KB-02 / KB-08: needs a paid upcoming booking (payments cannot be completed on this server) or a desk user to call the token; neither is available.</t>
        </is>
      </c>
    </row>
    <row r="181" ht="43" customHeight="1">
      <c r="A181" s="27" t="inlineStr">
        <is>
          <t>BL-APPT-038</t>
        </is>
      </c>
      <c r="B181" s="28" t="inlineStr">
        <is>
          <t>Appointments</t>
        </is>
      </c>
      <c r="C181" s="28" t="inlineStr">
        <is>
          <t>Cancellation preview &amp; refund</t>
        </is>
      </c>
      <c r="D181" s="28" t="inlineStr">
        <is>
          <t>Unpaid booking: nothing to refund</t>
        </is>
      </c>
      <c r="E181" s="28" t="inlineStr">
        <is>
          <t>Cancel a pending-payment booking</t>
        </is>
      </c>
      <c r="F181" s="28" t="inlineStr">
        <is>
          <t>'Nothing has been paid on this booking, so there is nothing to refund. Cancelling releases the slot and the token.'</t>
        </is>
      </c>
      <c r="G181" s="29" t="inlineStr">
        <is>
          <t>P1</t>
        </is>
      </c>
      <c r="H181" s="29" t="inlineStr">
        <is>
          <t>Rule</t>
        </is>
      </c>
      <c r="I181" s="30" t="inlineStr">
        <is>
          <t>lib/features/appointments/presentation/components/cancellation_notice.dart:139</t>
        </is>
      </c>
      <c r="J181" s="29" t="n"/>
      <c r="K181" s="31" t="inlineStr">
        <is>
          <t>Pass</t>
        </is>
      </c>
      <c r="L181" s="32" t="inlineStr">
        <is>
          <t>Claude (adb)</t>
        </is>
      </c>
      <c r="M181" s="33" t="n">
        <v>46299</v>
      </c>
      <c r="N181" s="32" t="inlineStr">
        <is>
          <t>1.0.0+1 debug</t>
        </is>
      </c>
      <c r="O181" s="32" t="inlineStr">
        <is>
          <t>emulator-5554 / Android 14</t>
        </is>
      </c>
      <c r="P181" s="32" t="n"/>
      <c r="Q181" s="32" t="inlineStr">
        <is>
          <t>'Cancel this appointment? Nothing has been paid on this booking, so there is nothing to refund. Cancelling releases the slot and the token.' with Keep appointment / Yes, cancel.</t>
        </is>
      </c>
    </row>
    <row r="182" ht="43" customHeight="1">
      <c r="A182" s="27" t="inlineStr">
        <is>
          <t>BL-APPT-039</t>
        </is>
      </c>
      <c r="B182" s="28" t="inlineStr">
        <is>
          <t>Appointments</t>
        </is>
      </c>
      <c r="C182" s="28" t="inlineStr">
        <is>
          <t>Cancellation preview &amp; refund</t>
        </is>
      </c>
      <c r="D182" s="28" t="inlineStr">
        <is>
          <t>Paid booking with 0% refund</t>
        </is>
      </c>
      <c r="E182" s="28" t="inlineStr">
        <is>
          <t>Cancel a paid booking past the hospital's cut-off</t>
        </is>
      </c>
      <c r="F182" s="28" t="inlineStr">
        <is>
          <t>'You are past the hospital's cut-off, so the ₹X paid is not refundable.' X equals the amount paid.</t>
        </is>
      </c>
      <c r="G182" s="29" t="inlineStr">
        <is>
          <t>P0</t>
        </is>
      </c>
      <c r="H182" s="29" t="inlineStr">
        <is>
          <t>Calculation</t>
        </is>
      </c>
      <c r="I182" s="30" t="inlineStr">
        <is>
          <t>lib/features/appointments/presentation/components/cancellation_notice.dart:143</t>
        </is>
      </c>
      <c r="J182" s="29" t="inlineStr">
        <is>
          <t>KB-02 / BB-16 (docs/BACKEND_BLOCKERS.md); KB-08</t>
        </is>
      </c>
      <c r="K182" s="31" t="inlineStr">
        <is>
          <t>Blocked</t>
        </is>
      </c>
      <c r="L182" s="32" t="inlineStr">
        <is>
          <t>Claude (adb)</t>
        </is>
      </c>
      <c r="M182" s="33" t="n">
        <v>46299</v>
      </c>
      <c r="N182" s="32" t="inlineStr">
        <is>
          <t>1.0.0+1 debug</t>
        </is>
      </c>
      <c r="O182" s="32" t="inlineStr">
        <is>
          <t>emulator-5554 / Android 14</t>
        </is>
      </c>
      <c r="P182" s="32" t="n"/>
      <c r="Q182" s="32" t="inlineStr">
        <is>
          <t>KB-02 / KB-08: needs a paid upcoming booking (payments cannot be completed on this server) or a desk user to call the token; neither is available.</t>
        </is>
      </c>
    </row>
    <row r="183" ht="56" customHeight="1">
      <c r="A183" s="27" t="inlineStr">
        <is>
          <t>BL-APPT-040</t>
        </is>
      </c>
      <c r="B183" s="28" t="inlineStr">
        <is>
          <t>Appointments</t>
        </is>
      </c>
      <c r="C183" s="28" t="inlineStr">
        <is>
          <t>Cancellation preview &amp; refund</t>
        </is>
      </c>
      <c r="D183" s="28" t="inlineStr">
        <is>
          <t>Paid booking with a refund</t>
        </is>
      </c>
      <c r="E183" s="28" t="inlineStr">
        <is>
          <t>Cancel paid bookings with a full refund, a partial refund, and one where the convenience fee is refunded</t>
        </is>
      </c>
      <c r="F183" s="28" t="inlineStr">
        <is>
          <t>'₹450 (100%) goes back to the original payment method. Refunds usually take 5–7 working days.' Partial adds '; ₹Y is not refundable'; fee-inclusive adds 'including the convenience fee'. Amounts equal the server preview.</t>
        </is>
      </c>
      <c r="G183" s="29" t="inlineStr">
        <is>
          <t>P0</t>
        </is>
      </c>
      <c r="H183" s="29" t="inlineStr">
        <is>
          <t>Calculation</t>
        </is>
      </c>
      <c r="I183" s="30" t="inlineStr">
        <is>
          <t>lib/features/appointments/presentation/components/cancellation_notice.dart:147</t>
        </is>
      </c>
      <c r="J183" s="29" t="inlineStr">
        <is>
          <t>KB-02 / BB-16 (docs/BACKEND_BLOCKERS.md); KB-08</t>
        </is>
      </c>
      <c r="K183" s="31" t="inlineStr">
        <is>
          <t>Blocked</t>
        </is>
      </c>
      <c r="L183" s="32" t="inlineStr">
        <is>
          <t>Claude (adb)</t>
        </is>
      </c>
      <c r="M183" s="33" t="n">
        <v>46299</v>
      </c>
      <c r="N183" s="32" t="inlineStr">
        <is>
          <t>1.0.0+1 debug</t>
        </is>
      </c>
      <c r="O183" s="32" t="inlineStr">
        <is>
          <t>emulator-5554 / Android 14</t>
        </is>
      </c>
      <c r="P183" s="32" t="n"/>
      <c r="Q183" s="32" t="inlineStr">
        <is>
          <t>KB-02 / KB-08: needs a paid upcoming booking (payments cannot be completed on this server) or a desk user to call the token; neither is available.</t>
        </is>
      </c>
    </row>
    <row r="184" ht="43" customHeight="1">
      <c r="A184" s="27" t="inlineStr">
        <is>
          <t>BL-APPT-041</t>
        </is>
      </c>
      <c r="B184" s="28" t="inlineStr">
        <is>
          <t>Appointments</t>
        </is>
      </c>
      <c r="C184" s="28" t="inlineStr">
        <is>
          <t>Cancellation preview &amp; refund</t>
        </is>
      </c>
      <c r="D184" s="28" t="inlineStr">
        <is>
          <t>Refund percentage display</t>
        </is>
      </c>
      <c r="E184" s="28" t="inlineStr">
        <is>
          <t>Use hospitals with 100%, 50% and 37.5% refund tiers</t>
        </is>
      </c>
      <c r="F184" s="28" t="inlineStr">
        <is>
          <t>'100%', '50%', '37.5%'.</t>
        </is>
      </c>
      <c r="G184" s="29" t="inlineStr">
        <is>
          <t>P2</t>
        </is>
      </c>
      <c r="H184" s="29" t="inlineStr">
        <is>
          <t>Calculation</t>
        </is>
      </c>
      <c r="I184" s="30" t="inlineStr">
        <is>
          <t>lib/features/appointments/domain/entities/cancellation_preview.dart:38</t>
        </is>
      </c>
      <c r="J184" s="29" t="inlineStr">
        <is>
          <t>KB-02 / BB-16 (docs/BACKEND_BLOCKERS.md); KB-08</t>
        </is>
      </c>
      <c r="K184" s="31" t="inlineStr">
        <is>
          <t>Blocked</t>
        </is>
      </c>
      <c r="L184" s="32" t="inlineStr">
        <is>
          <t>Claude (adb)</t>
        </is>
      </c>
      <c r="M184" s="33" t="n">
        <v>46299</v>
      </c>
      <c r="N184" s="32" t="inlineStr">
        <is>
          <t>1.0.0+1 debug</t>
        </is>
      </c>
      <c r="O184" s="32" t="inlineStr">
        <is>
          <t>emulator-5554 / Android 14</t>
        </is>
      </c>
      <c r="P184" s="32" t="n"/>
      <c r="Q184" s="32" t="inlineStr">
        <is>
          <t>KB-02 / KB-08: needs a paid upcoming booking (payments cannot be completed on this server) or a desk user to call the token; neither is available.</t>
        </is>
      </c>
    </row>
    <row r="185" ht="43" customHeight="1">
      <c r="A185" s="27" t="inlineStr">
        <is>
          <t>BL-APPT-042</t>
        </is>
      </c>
      <c r="B185" s="28" t="inlineStr">
        <is>
          <t>Appointments</t>
        </is>
      </c>
      <c r="C185" s="28" t="inlineStr">
        <is>
          <t>Cancellation preview &amp; refund</t>
        </is>
      </c>
      <c r="D185" s="28" t="inlineStr">
        <is>
          <t>Wording when 0% refund applies before the cut-off</t>
        </is>
      </c>
      <c r="E185" s="28" t="inlineStr">
        <is>
          <t>1. Use a hospital whose policy refunds 0% even before the cut-off
2. Tap Cancel</t>
        </is>
      </c>
      <c r="F185" s="28" t="inlineStr">
        <is>
          <t>Message should not claim the user is past the cut-off. The code always says so when refund is 0 and money was paid.</t>
        </is>
      </c>
      <c r="G185" s="29" t="inlineStr">
        <is>
          <t>P2</t>
        </is>
      </c>
      <c r="H185" s="29" t="inlineStr">
        <is>
          <t>Verify gap</t>
        </is>
      </c>
      <c r="I185" s="30" t="inlineStr">
        <is>
          <t>lib/features/appointments/presentation/components/cancellation_notice.dart:143</t>
        </is>
      </c>
      <c r="J185" s="29" t="inlineStr">
        <is>
          <t>KB-02 / BB-16 (docs/BACKEND_BLOCKERS.md); KB-08</t>
        </is>
      </c>
      <c r="K185" s="31" t="inlineStr">
        <is>
          <t>Blocked</t>
        </is>
      </c>
      <c r="L185" s="32" t="inlineStr">
        <is>
          <t>Claude (adb)</t>
        </is>
      </c>
      <c r="M185" s="33" t="n">
        <v>46299</v>
      </c>
      <c r="N185" s="32" t="inlineStr">
        <is>
          <t>1.0.0+1 debug</t>
        </is>
      </c>
      <c r="O185" s="32" t="inlineStr">
        <is>
          <t>emulator-5554 / Android 14</t>
        </is>
      </c>
      <c r="P185" s="32" t="n"/>
      <c r="Q185" s="32" t="inlineStr">
        <is>
          <t>KB-02 / KB-08: needs a paid upcoming booking (payments cannot be completed on this server) or a desk user to call the token; neither is available.</t>
        </is>
      </c>
    </row>
    <row r="186" ht="43" customHeight="1">
      <c r="A186" s="27" t="inlineStr">
        <is>
          <t>BL-APPT-043</t>
        </is>
      </c>
      <c r="B186" s="28" t="inlineStr">
        <is>
          <t>Appointments</t>
        </is>
      </c>
      <c r="C186" s="28" t="inlineStr">
        <is>
          <t>Cancellation preview &amp; refund</t>
        </is>
      </c>
      <c r="D186" s="28" t="inlineStr">
        <is>
          <t>Policy panel after 'Keep appointment'</t>
        </is>
      </c>
      <c r="E186" s="28" t="inlineStr">
        <is>
          <t>Tap Cancel, then 'Keep appointment'</t>
        </is>
      </c>
      <c r="F186" s="28" t="inlineStr">
        <is>
          <t>Detail shows 'Cancellation policy · Before the cut-off' (or 'Past the cut-off') with cut-off time and 'Refund 100% · ₹450'.</t>
        </is>
      </c>
      <c r="G186" s="29" t="inlineStr">
        <is>
          <t>P3</t>
        </is>
      </c>
      <c r="H186" s="29" t="inlineStr">
        <is>
          <t>State</t>
        </is>
      </c>
      <c r="I186" s="30" t="inlineStr">
        <is>
          <t>lib/features/appointments/presentation/screen/appointment_detail_screen.dart:163</t>
        </is>
      </c>
      <c r="J186" s="29" t="inlineStr">
        <is>
          <t>KB-02 / BB-16 (docs/BACKEND_BLOCKERS.md)</t>
        </is>
      </c>
      <c r="K186" s="31" t="inlineStr">
        <is>
          <t>Blocked</t>
        </is>
      </c>
      <c r="L186" s="32" t="inlineStr">
        <is>
          <t>Claude (adb)</t>
        </is>
      </c>
      <c r="M186" s="33" t="n">
        <v>46299</v>
      </c>
      <c r="N186" s="32" t="inlineStr">
        <is>
          <t>1.0.0+1 debug</t>
        </is>
      </c>
      <c r="O186" s="32" t="inlineStr">
        <is>
          <t>emulator-5554 / Android 14</t>
        </is>
      </c>
      <c r="P186" s="32" t="n"/>
      <c r="Q186" s="32" t="inlineStr">
        <is>
          <t>Not observable for an unpaid booking: after 'Keep appointment' no policy panel is exposed on the detail screen. Paid booking needed (KB-02).</t>
        </is>
      </c>
    </row>
    <row r="187" ht="43" customHeight="1">
      <c r="A187" s="27" t="inlineStr">
        <is>
          <t>BL-APPT-044</t>
        </is>
      </c>
      <c r="B187" s="28" t="inlineStr">
        <is>
          <t>Appointments</t>
        </is>
      </c>
      <c r="C187" s="28" t="inlineStr">
        <is>
          <t>Cancel submit</t>
        </is>
      </c>
      <c r="D187" s="28" t="inlineStr">
        <is>
          <t>Exactly one cancellation per confirmation</t>
        </is>
      </c>
      <c r="E187" s="28" t="inlineStr">
        <is>
          <t>1. Double-tap Cancel and 'Yes, cancel'
2. Inspect requests</t>
        </is>
      </c>
      <c r="F187" s="28" t="inlineStr">
        <is>
          <t>One policy request and one cancel request, carrying an Idempotency-Key.</t>
        </is>
      </c>
      <c r="G187" s="29" t="inlineStr">
        <is>
          <t>P0</t>
        </is>
      </c>
      <c r="H187" s="29" t="inlineStr">
        <is>
          <t>Rule</t>
        </is>
      </c>
      <c r="I187" s="30" t="inlineStr">
        <is>
          <t>lib/features/appointments/application/providers/appointments_provider.dart:290</t>
        </is>
      </c>
      <c r="J187" s="29" t="n"/>
      <c r="K187" s="31" t="inlineStr">
        <is>
          <t>Pass</t>
        </is>
      </c>
      <c r="L187" s="32" t="inlineStr">
        <is>
          <t>Claude (adb)</t>
        </is>
      </c>
      <c r="M187" s="33" t="n">
        <v>46299</v>
      </c>
      <c r="N187" s="32" t="inlineStr">
        <is>
          <t>1.0.0+1 debug</t>
        </is>
      </c>
      <c r="O187" s="32" t="inlineStr">
        <is>
          <t>emulator-5554 / Android 14</t>
        </is>
      </c>
      <c r="P187" s="32" t="n"/>
      <c r="Q187" s="32" t="inlineStr">
        <is>
          <t>Two simultaneous taps on 'Yes, cancel': server shows one 'cancelled' event; booking cancelled by patient.</t>
        </is>
      </c>
    </row>
    <row r="188" ht="56" customHeight="1">
      <c r="A188" s="27" t="inlineStr">
        <is>
          <t>BL-APPT-045</t>
        </is>
      </c>
      <c r="B188" s="28" t="inlineStr">
        <is>
          <t>Appointments</t>
        </is>
      </c>
      <c r="C188" s="28" t="inlineStr">
        <is>
          <t>Cancel submit</t>
        </is>
      </c>
      <c r="D188" s="28" t="inlineStr">
        <is>
          <t>Retry after a timeout reuses the same key</t>
        </is>
      </c>
      <c r="E188" s="28" t="inlineStr">
        <is>
          <t>1. Make the cancel request time out
2. Retry without leaving the screen
3. Repeat, but leave the screen and come back before retrying</t>
        </is>
      </c>
      <c r="F188" s="28" t="inlineStr">
        <is>
          <t>Same key on the in-screen retry (one cancellation, one refund). Check the leave-and-return case: the code creates a new key there.</t>
        </is>
      </c>
      <c r="G188" s="29" t="inlineStr">
        <is>
          <t>P1</t>
        </is>
      </c>
      <c r="H188" s="29" t="inlineStr">
        <is>
          <t>Verify gap</t>
        </is>
      </c>
      <c r="I188" s="30" t="inlineStr">
        <is>
          <t>lib/features/appointments/application/providers/appointments_provider.dart:301</t>
        </is>
      </c>
      <c r="J188" s="29" t="inlineStr">
        <is>
          <t>KB-02 / BB-16 (refund half only)</t>
        </is>
      </c>
      <c r="K188" s="31" t="inlineStr">
        <is>
          <t>Pass</t>
        </is>
      </c>
      <c r="L188" s="32" t="inlineStr">
        <is>
          <t>Claude (adb)</t>
        </is>
      </c>
      <c r="M188" s="33" t="n">
        <v>46300</v>
      </c>
      <c r="N188" s="32" t="inlineStr">
        <is>
          <t>1.0.0+1 debug</t>
        </is>
      </c>
      <c r="O188" s="32" t="inlineStr">
        <is>
          <t>emulator-5554 / Android 14</t>
        </is>
      </c>
      <c r="P188" s="32" t="n"/>
      <c r="Q188" s="32" t="inlineStr">
        <is>
          <t>Run 5 Oct 2026 on unpaid test bookings (created for the test, cancelled afterwards), with the cancel call's answer controlled by a pass-through recorder on the host (app pointed at http://10.0.2.2:8000). Cancel with the connection cut: Idempotency-Key (short hash) ec7214. Retried without leaving the screen: the same key ec7214. Left Appointment Details, came back and retried: a new key bbd0e1 - as the row expected, the key does not survive leaving the screen. Not checked: 'one cancellation, one refund' on a paid booking (KB-02 / docs/BACKEND_BLOCKERS.md BB-16). For the owner to note: after leaving and returning, a retry is a new request; the server is then relied on to refuse a second cancellation.</t>
        </is>
      </c>
    </row>
    <row r="189" ht="43" customHeight="1">
      <c r="A189" s="27" t="inlineStr">
        <is>
          <t>BL-APPT-046</t>
        </is>
      </c>
      <c r="B189" s="28" t="inlineStr">
        <is>
          <t>Appointments</t>
        </is>
      </c>
      <c r="C189" s="28" t="inlineStr">
        <is>
          <t>Cancel submit</t>
        </is>
      </c>
      <c r="D189" s="28" t="inlineStr">
        <is>
          <t>Success message reflects the refund</t>
        </is>
      </c>
      <c r="E189" s="28" t="inlineStr">
        <is>
          <t>1. Cancel an unpaid booking
2. Cancel a paid refundable one</t>
        </is>
      </c>
      <c r="F189" s="28" t="inlineStr">
        <is>
          <t>'Appointment cancelled.' vs 'Appointment cancelled · ₹X refund requested'.</t>
        </is>
      </c>
      <c r="G189" s="29" t="inlineStr">
        <is>
          <t>P1</t>
        </is>
      </c>
      <c r="H189" s="29" t="inlineStr">
        <is>
          <t>Calculation</t>
        </is>
      </c>
      <c r="I189" s="30" t="inlineStr">
        <is>
          <t>lib/features/appointments/presentation/screen/appointment_detail_screen.dart:245</t>
        </is>
      </c>
      <c r="J189" s="29" t="n"/>
      <c r="K189" s="31" t="inlineStr">
        <is>
          <t>Pass</t>
        </is>
      </c>
      <c r="L189" s="32" t="inlineStr">
        <is>
          <t>Claude (adb)</t>
        </is>
      </c>
      <c r="M189" s="33" t="n">
        <v>46299</v>
      </c>
      <c r="N189" s="32" t="inlineStr">
        <is>
          <t>1.0.0+1 debug</t>
        </is>
      </c>
      <c r="O189" s="32" t="inlineStr">
        <is>
          <t>emulator-5554 / Android 14</t>
        </is>
      </c>
      <c r="P189" s="32" t="n"/>
      <c r="Q189" s="32" t="inlineStr">
        <is>
          <t>Unpaid booking: toast 'Appointment cancelled.' Paid/refund wording blocked by KB-02.</t>
        </is>
      </c>
    </row>
    <row r="190" ht="43" customHeight="1">
      <c r="A190" s="27" t="inlineStr">
        <is>
          <t>BL-APPT-047</t>
        </is>
      </c>
      <c r="B190" s="28" t="inlineStr">
        <is>
          <t>Appointments</t>
        </is>
      </c>
      <c r="C190" s="28" t="inlineStr">
        <is>
          <t>Cancel submit</t>
        </is>
      </c>
      <c r="D190" s="28" t="inlineStr">
        <is>
          <t>Everything refreshes after a cancel</t>
        </is>
      </c>
      <c r="E190" s="28" t="inlineStr">
        <is>
          <t>Cancel, then look at Upcoming, Cancelled and Home</t>
        </is>
      </c>
      <c r="F190" s="28" t="inlineStr">
        <is>
          <t>Booking leaves Upcoming and the Home token card and appears under Cancelled without a manual refresh.</t>
        </is>
      </c>
      <c r="G190" s="29" t="inlineStr">
        <is>
          <t>P0</t>
        </is>
      </c>
      <c r="H190" s="29" t="inlineStr">
        <is>
          <t>State</t>
        </is>
      </c>
      <c r="I190" s="30" t="inlineStr">
        <is>
          <t>lib/features/appointments/presentation/screen/appointment_detail_screen.dart:254</t>
        </is>
      </c>
      <c r="J190" s="29" t="n"/>
      <c r="K190" s="31" t="inlineStr">
        <is>
          <t>Pass</t>
        </is>
      </c>
      <c r="L190" s="32" t="inlineStr">
        <is>
          <t>Claude (adb)</t>
        </is>
      </c>
      <c r="M190" s="33" t="n">
        <v>46299</v>
      </c>
      <c r="N190" s="32" t="inlineStr">
        <is>
          <t>1.0.0+1 debug</t>
        </is>
      </c>
      <c r="O190" s="32" t="inlineStr">
        <is>
          <t>emulator-5554 / Android 14</t>
        </is>
      </c>
      <c r="P190" s="32" t="n"/>
      <c r="Q190" s="32" t="inlineStr">
        <is>
          <t>After cancelling: returned to Appointments, Upcoming shows '0 visits', the booking is first in the Cancelled tab ('You cancelled this appointment.'), and the Home 'Your Token' card is gone — no manual refresh.</t>
        </is>
      </c>
    </row>
    <row r="191" ht="56" customHeight="1">
      <c r="A191" s="27" t="inlineStr">
        <is>
          <t>BL-APPT-048</t>
        </is>
      </c>
      <c r="B191" s="28" t="inlineStr">
        <is>
          <t>Appointments</t>
        </is>
      </c>
      <c r="C191" s="28" t="inlineStr">
        <is>
          <t>Cancel submit</t>
        </is>
      </c>
      <c r="D191" s="28" t="inlineStr">
        <is>
          <t>Conflict errors have specific messages</t>
        </is>
      </c>
      <c r="E191" s="28" t="inlineStr">
        <is>
          <t>Cancel a booking that another device just cancelled, and one whose token was just called</t>
        </is>
      </c>
      <c r="F191" s="28" t="inlineStr">
        <is>
          <t>'This appointment can no longer be changed.' / token messages as above; a duplicate in-flight request says 'That request is already being processed. Please wait a moment.'</t>
        </is>
      </c>
      <c r="G191" s="29" t="inlineStr">
        <is>
          <t>P1</t>
        </is>
      </c>
      <c r="H191" s="29" t="inlineStr">
        <is>
          <t>Error handling</t>
        </is>
      </c>
      <c r="I191" s="30" t="inlineStr">
        <is>
          <t>lib/core/network/network_exceptions.dart:513</t>
        </is>
      </c>
      <c r="J191" s="29" t="inlineStr">
        <is>
          <t>KB-08 (a real called token)</t>
        </is>
      </c>
      <c r="K191" s="31" t="inlineStr">
        <is>
          <t>Pass</t>
        </is>
      </c>
      <c r="L191" s="32" t="inlineStr">
        <is>
          <t>Claude (adb)</t>
        </is>
      </c>
      <c r="M191" s="33" t="n">
        <v>46300</v>
      </c>
      <c r="N191" s="32" t="inlineStr">
        <is>
          <t>1.0.0+1 debug</t>
        </is>
      </c>
      <c r="O191" s="32" t="inlineStr">
        <is>
          <t>emulator-5554 / Android 14</t>
        </is>
      </c>
      <c r="P191" s="32" t="n"/>
      <c r="Q191" s="32" t="inlineStr">
        <is>
          <t>Run 5 Oct 2026 on unpaid test bookings (created for the test, cancelled afterwards), with the cancel call's answer controlled by a pass-through recorder on the host (app pointed at http://10.0.2.2:8000). POST …/cancel answered 409 with each code; the toast shown was: APPOINTMENT_NOT_ACTIONABLE - 'This appointment can no longer be changed.'; TOKEN_ALREADY_CALLED - 'Your token has already been called, so only the hospital can cancel this appointment now.'; TOKEN_CANCEL_WINDOW_CLOSED - 'The cancellation window for this token has closed.'; IDEMPOTENCY_CONFLICT - 'That request is already being processed. Please wait a moment.' All four match. The conflicts were produced by the recorder, not by a second device or a called token (KB-08). Seen in the captures: toast text is drawn with a yellow underline (missing text style around the toast).</t>
        </is>
      </c>
    </row>
    <row r="192" ht="43" customHeight="1">
      <c r="A192" s="27" t="inlineStr">
        <is>
          <t>BL-APPT-049</t>
        </is>
      </c>
      <c r="B192" s="28" t="inlineStr">
        <is>
          <t>Appointments</t>
        </is>
      </c>
      <c r="C192" s="28" t="inlineStr">
        <is>
          <t>Cancel submit</t>
        </is>
      </c>
      <c r="D192" s="28" t="inlineStr">
        <is>
          <t>Screen state after a refused cancel</t>
        </is>
      </c>
      <c r="E192" s="28" t="inlineStr">
        <is>
          <t>Trigger a 409 on cancel and stay on the screen</t>
        </is>
      </c>
      <c r="F192" s="28" t="inlineStr">
        <is>
          <t>Cancel should become disabled / status should update. The code does not re-fetch the detail after a failed cancel.</t>
        </is>
      </c>
      <c r="G192" s="29" t="inlineStr">
        <is>
          <t>P2</t>
        </is>
      </c>
      <c r="H192" s="29" t="inlineStr">
        <is>
          <t>Verify gap</t>
        </is>
      </c>
      <c r="I192" s="30" t="inlineStr">
        <is>
          <t>lib/features/appointments/application/providers/appointments_provider.dart:279</t>
        </is>
      </c>
      <c r="J192" s="29" t="inlineStr">
        <is>
          <t/>
        </is>
      </c>
      <c r="K192" s="31" t="inlineStr">
        <is>
          <t>Pass</t>
        </is>
      </c>
      <c r="L192" s="32" t="inlineStr">
        <is>
          <t>Claude (adb)</t>
        </is>
      </c>
      <c r="M192" s="33" t="n">
        <v>46300</v>
      </c>
      <c r="N192" s="32" t="inlineStr">
        <is>
          <t>1.0.0+1 debug</t>
        </is>
      </c>
      <c r="O192" s="32" t="inlineStr">
        <is>
          <t>emulator-5554 / Android 14</t>
        </is>
      </c>
      <c r="P192" s="32" t="inlineStr">
        <is>
          <t>DEF-051</t>
        </is>
      </c>
      <c r="Q192" s="32" t="inlineStr">
        <is>
          <t>FIXED AND RETESTED (5 Oct 2026, rebuilt debug build). Run 5 Oct 2026 on unpaid test bookings (created for the test, cancelled afterwards), with the cancel call's answer controlled by a pass-through recorder on the host (app pointed at http://10.0.2.2:8000). Before: after a 409 on cancel nothing was read again - the pill and the Cancel button stayed as they were (DEF-051). After the fix (appointment_detail_screen.dart: a refused cancel drops the saved copy and re-reads the booking and its history): a 409 TOKEN_ALREADY_CALLED was followed at once by GET detail and GET events. A cancel whose connection was cut triggered no re-read, so its retry keeps its key. On this booking the re-read still said 'Payment pending' because the refusal was simulated; with a real refusal the screen would show the server's new state.</t>
        </is>
      </c>
    </row>
    <row r="193" ht="43" customHeight="1">
      <c r="A193" s="27" t="inlineStr">
        <is>
          <t>BL-APPT-050</t>
        </is>
      </c>
      <c r="B193" s="28" t="inlineStr">
        <is>
          <t>Appointments</t>
        </is>
      </c>
      <c r="C193" s="28" t="inlineStr">
        <is>
          <t>Cancel submit</t>
        </is>
      </c>
      <c r="D193" s="28" t="inlineStr">
        <is>
          <t>Cancellation reason</t>
        </is>
      </c>
      <c r="E193" s="28" t="inlineStr">
        <is>
          <t>Look for a reason field in the cancel dialog</t>
        </is>
      </c>
      <c r="F193" s="28" t="inlineStr">
        <is>
          <t>Confirm with the owner: the API accepts an optional reason, but the screen never collects one.</t>
        </is>
      </c>
      <c r="G193" s="29" t="inlineStr">
        <is>
          <t>P3</t>
        </is>
      </c>
      <c r="H193" s="29" t="inlineStr">
        <is>
          <t>Verify gap</t>
        </is>
      </c>
      <c r="I193" s="30" t="inlineStr">
        <is>
          <t>lib/features/appointments/presentation/screen/appointment_detail_screen.dart:235</t>
        </is>
      </c>
      <c r="J193" s="29" t="n"/>
      <c r="K193" s="31" t="inlineStr">
        <is>
          <t>Pass</t>
        </is>
      </c>
      <c r="L193" s="32" t="inlineStr">
        <is>
          <t>Claude (adb)</t>
        </is>
      </c>
      <c r="M193" s="33" t="n">
        <v>46300</v>
      </c>
      <c r="N193" s="32" t="inlineStr">
        <is>
          <t>1.0.0+1 debug</t>
        </is>
      </c>
      <c r="O193" s="32" t="inlineStr">
        <is>
          <t>emulator-5554 / Android 14</t>
        </is>
      </c>
      <c r="P193" s="32" t="n"/>
      <c r="Q193" s="32" t="inlineStr">
        <is>
          <t>OWNER DECISION (5 Oct 2026): intended - cancelling stays one tap; the app does not collect a reason. No code change. Observed 4 Oct 2026: the cancel dialog has no reason field (only 'Keep appointment' / 'Yes, cancel'); the server stored reason 'patient_request'.</t>
        </is>
      </c>
    </row>
    <row r="194" ht="43" customHeight="1">
      <c r="A194" s="27" t="inlineStr">
        <is>
          <t>BL-APPT-051</t>
        </is>
      </c>
      <c r="B194" s="28" t="inlineStr">
        <is>
          <t>Appointments</t>
        </is>
      </c>
      <c r="C194" s="28" t="inlineStr">
        <is>
          <t>Receipt</t>
        </is>
      </c>
      <c r="D194" s="28" t="inlineStr">
        <is>
          <t>No receipt until the fee is paid</t>
        </is>
      </c>
      <c r="E194" s="28" t="inlineStr">
        <is>
          <t>Open the receipt of an unpaid booking (deep link)</t>
        </is>
      </c>
      <c r="F194" s="28" t="inlineStr">
        <is>
          <t>'No receipt yet — A receipt is issued once the consultation fee is paid…' with 'Back to appointment'.</t>
        </is>
      </c>
      <c r="G194" s="29" t="inlineStr">
        <is>
          <t>P1</t>
        </is>
      </c>
      <c r="H194" s="29" t="inlineStr">
        <is>
          <t>Rule</t>
        </is>
      </c>
      <c r="I194" s="30" t="inlineStr">
        <is>
          <t>lib/features/appointments/presentation/screen/appointment_receipt_screen.dart:72</t>
        </is>
      </c>
      <c r="J194" s="29" t="n"/>
      <c r="K194" s="31" t="inlineStr">
        <is>
          <t>Pass</t>
        </is>
      </c>
      <c r="L194" s="32" t="inlineStr">
        <is>
          <t>Claude (adb)</t>
        </is>
      </c>
      <c r="M194" s="33" t="n">
        <v>46299</v>
      </c>
      <c r="N194" s="32" t="inlineStr">
        <is>
          <t>1.0.0+1 debug</t>
        </is>
      </c>
      <c r="O194" s="32" t="inlineStr">
        <is>
          <t>emulator-5554 / Android 14</t>
        </is>
      </c>
      <c r="P194" s="32" t="n"/>
      <c r="Q194" s="32" t="inlineStr">
        <is>
          <t>Receipt link for an unpaid (cancelled, never paid) booking: 'No receipt yet — A receipt is issued once the consultation fee is paid. Until then there is nothing to show here.' with 'Back to appointment'. Detail screen row reads 'Receipt unavailable — the payment has not settled'.</t>
        </is>
      </c>
    </row>
    <row r="195" ht="43" customHeight="1">
      <c r="A195" s="27" t="inlineStr">
        <is>
          <t>BL-APPT-052</t>
        </is>
      </c>
      <c r="B195" s="28" t="inlineStr">
        <is>
          <t>Appointments</t>
        </is>
      </c>
      <c r="C195" s="28" t="inlineStr">
        <is>
          <t>Receipt</t>
        </is>
      </c>
      <c r="D195" s="28" t="inlineStr">
        <is>
          <t>Line notes show supplier and tax</t>
        </is>
      </c>
      <c r="E195" s="28" t="inlineStr">
        <is>
          <t>Open a receipt with a consultation line, a discount and a convenience fee</t>
        </is>
      </c>
      <c r="F195" s="28" t="inlineStr">
        <is>
          <t>e.g. 'Hospital · tax exempt', discount in green with no tax note, 'Medibook · GST 18% (₹5)' (', included' when tax-inclusive); quantity above 1 shows '× qty'.</t>
        </is>
      </c>
      <c r="G195" s="29" t="inlineStr">
        <is>
          <t>P0</t>
        </is>
      </c>
      <c r="H195" s="29" t="inlineStr">
        <is>
          <t>Calculation</t>
        </is>
      </c>
      <c r="I195" s="30" t="inlineStr">
        <is>
          <t>lib/features/appointments/presentation/components/receipt_lines.dart:70</t>
        </is>
      </c>
      <c r="J195" s="29" t="n"/>
      <c r="K195" s="31" t="inlineStr">
        <is>
          <t>Pass</t>
        </is>
      </c>
      <c r="L195" s="32" t="inlineStr">
        <is>
          <t>Claude (adb)</t>
        </is>
      </c>
      <c r="M195" s="33" t="n">
        <v>46299</v>
      </c>
      <c r="N195" s="32" t="inlineStr">
        <is>
          <t>1.0.0+1 debug</t>
        </is>
      </c>
      <c r="O195" s="32" t="inlineStr">
        <is>
          <t>emulator-5554 / Android 14</t>
        </is>
      </c>
      <c r="P195" s="32" t="n"/>
      <c r="Q195" s="32" t="inlineStr">
        <is>
          <t>Receipt lines: 'Consultation ₹900 — Hospital · tax exempt' and 'Convenience fee ₹20 — Medibook · GST 18% (₹4)'; matches API lines (rate 0 / 1800 bp, tax 400 paise).</t>
        </is>
      </c>
    </row>
    <row r="196" ht="43" customHeight="1">
      <c r="A196" s="27" t="inlineStr">
        <is>
          <t>BL-APPT-053</t>
        </is>
      </c>
      <c r="B196" s="28" t="inlineStr">
        <is>
          <t>Appointments</t>
        </is>
      </c>
      <c r="C196" s="28" t="inlineStr">
        <is>
          <t>Receipt</t>
        </is>
      </c>
      <c r="D196" s="28" t="inlineStr">
        <is>
          <t>Totals are the server's, never recomputed</t>
        </is>
      </c>
      <c r="E196" s="28" t="inlineStr">
        <is>
          <t>Compare Subtotal, tax caption and 'Total paid' with the API response and the amount charged</t>
        </is>
      </c>
      <c r="F196" s="28" t="inlineStr">
        <is>
          <t>Identical; caption 'No tax applies' or 'Plus ₹X tax'.</t>
        </is>
      </c>
      <c r="G196" s="29" t="inlineStr">
        <is>
          <t>P0</t>
        </is>
      </c>
      <c r="H196" s="29" t="inlineStr">
        <is>
          <t>Calculation</t>
        </is>
      </c>
      <c r="I196" s="30" t="inlineStr">
        <is>
          <t>lib/features/appointments/presentation/screen/appointment_receipt_screen.dart:207</t>
        </is>
      </c>
      <c r="J196" s="29" t="n"/>
      <c r="K196" s="31" t="inlineStr">
        <is>
          <t>Pass</t>
        </is>
      </c>
      <c r="L196" s="32" t="inlineStr">
        <is>
          <t>Claude (adb)</t>
        </is>
      </c>
      <c r="M196" s="33" t="n">
        <v>46299</v>
      </c>
      <c r="N196" s="32" t="inlineStr">
        <is>
          <t>1.0.0+1 debug</t>
        </is>
      </c>
      <c r="O196" s="32" t="inlineStr">
        <is>
          <t>emulator-5554 / Android 14</t>
        </is>
      </c>
      <c r="P196" s="32" t="n"/>
      <c r="Q196" s="32" t="inlineStr">
        <is>
          <t>Subtotal ₹920 with 'Plus ₹4 tax', Total paid ₹924 — equal to API subtotal 92000, tax 400, total 92400 and to the amount on the appointment.</t>
        </is>
      </c>
    </row>
    <row r="197" ht="43" customHeight="1">
      <c r="A197" s="27" t="inlineStr">
        <is>
          <t>BL-APPT-054</t>
        </is>
      </c>
      <c r="B197" s="28" t="inlineStr">
        <is>
          <t>Appointments</t>
        </is>
      </c>
      <c r="C197" s="28" t="inlineStr">
        <is>
          <t>Receipt</t>
        </is>
      </c>
      <c r="D197" s="28" t="inlineStr">
        <is>
          <t>Payment method labels</t>
        </is>
      </c>
      <c r="E197" s="28" t="inlineStr">
        <is>
          <t>View receipts paid by UPI, card, net banking, wallet and at the desk</t>
        </is>
      </c>
      <c r="F197" s="28" t="inlineStr">
        <is>
          <t>'UPI', 'Card', 'Net banking', 'Wallet', 'Cash', 'Card (desk)'; reference shown beneath.</t>
        </is>
      </c>
      <c r="G197" s="29" t="inlineStr">
        <is>
          <t>P2</t>
        </is>
      </c>
      <c r="H197" s="29" t="inlineStr">
        <is>
          <t>Data mapping</t>
        </is>
      </c>
      <c r="I197" s="30" t="inlineStr">
        <is>
          <t>lib/features/appointments/presentation/screen/appointment_receipt_screen.dart:367</t>
        </is>
      </c>
      <c r="J197" s="29" t="n"/>
      <c r="K197" s="31" t="inlineStr">
        <is>
          <t>Pass</t>
        </is>
      </c>
      <c r="L197" s="32" t="inlineStr">
        <is>
          <t>Claude (adb)</t>
        </is>
      </c>
      <c r="M197" s="33" t="n">
        <v>46299</v>
      </c>
      <c r="N197" s="32" t="inlineStr">
        <is>
          <t>1.0.0+1 debug</t>
        </is>
      </c>
      <c r="O197" s="32" t="inlineStr">
        <is>
          <t>emulator-5554 / Android 14</t>
        </is>
      </c>
      <c r="P197" s="32" t="n"/>
      <c r="Q197" s="32" t="inlineStr">
        <is>
          <t>API method 'netbanking' shown as 'Net banking' with reference pay_fake74879d5cf48243 beneath. Other methods not present on this account.</t>
        </is>
      </c>
    </row>
    <row r="198" ht="43" customHeight="1">
      <c r="A198" s="27" t="inlineStr">
        <is>
          <t>BL-APPT-055</t>
        </is>
      </c>
      <c r="B198" s="28" t="inlineStr">
        <is>
          <t>Appointments</t>
        </is>
      </c>
      <c r="C198" s="28" t="inlineStr">
        <is>
          <t>Receipt</t>
        </is>
      </c>
      <c r="D198" s="28" t="inlineStr">
        <is>
          <t>GST registration blocks</t>
        </is>
      </c>
      <c r="E198" s="28" t="inlineStr">
        <is>
          <t>View a receipt for a hospital with and without a GSTIN, and a desk receipt</t>
        </is>
      </c>
      <c r="F198" s="28" t="inlineStr">
        <is>
          <t>Missing GSTIN reads 'Not registered'; the 'Convenience fee by' block appears only when the platform charged one.</t>
        </is>
      </c>
      <c r="G198" s="29" t="inlineStr">
        <is>
          <t>P1</t>
        </is>
      </c>
      <c r="H198" s="29" t="inlineStr">
        <is>
          <t>Data mapping</t>
        </is>
      </c>
      <c r="I198" s="30" t="inlineStr">
        <is>
          <t>lib/features/appointments/presentation/screen/appointment_receipt_screen.dart:265</t>
        </is>
      </c>
      <c r="J198" s="29" t="n"/>
      <c r="K198" s="31" t="inlineStr">
        <is>
          <t>Pass</t>
        </is>
      </c>
      <c r="L198" s="32" t="inlineStr">
        <is>
          <t>Claude (adb)</t>
        </is>
      </c>
      <c r="M198" s="33" t="n">
        <v>46299</v>
      </c>
      <c r="N198" s="32" t="inlineStr">
        <is>
          <t>1.0.0+1 debug</t>
        </is>
      </c>
      <c r="O198" s="32" t="inlineStr">
        <is>
          <t>emulator-5554 / Android 14</t>
        </is>
      </c>
      <c r="P198" s="32" t="n"/>
      <c r="Q198" s="32" t="inlineStr">
        <is>
          <t>'Billed by Lakeshore Healthcare Pvt Ltd … GSTIN 32AABCL1234F1Z5' and 'Convenience fee by Medibook Health Technologies Pvt Ltd … GSTIN 32AAKCM4321Q1Z8'. No hospital without GSTIN in seed data.</t>
        </is>
      </c>
    </row>
    <row r="199" ht="43" customHeight="1">
      <c r="A199" s="27" t="inlineStr">
        <is>
          <t>BL-APPT-056</t>
        </is>
      </c>
      <c r="B199" s="28" t="inlineStr">
        <is>
          <t>Appointments</t>
        </is>
      </c>
      <c r="C199" s="28" t="inlineStr">
        <is>
          <t>Receipt</t>
        </is>
      </c>
      <c r="D199" s="28" t="inlineStr">
        <is>
          <t>Receipt status after a refund</t>
        </is>
      </c>
      <c r="E199" s="28" t="inlineStr">
        <is>
          <t>Open the receipt of a cancelled, refunded appointment</t>
        </is>
      </c>
      <c r="F199" s="28" t="inlineStr">
        <is>
          <t>The header should reflect the refund. The code shows a fixed 'Paid' pill.</t>
        </is>
      </c>
      <c r="G199" s="29" t="inlineStr">
        <is>
          <t>P2</t>
        </is>
      </c>
      <c r="H199" s="29" t="inlineStr">
        <is>
          <t>Verify gap</t>
        </is>
      </c>
      <c r="I199" s="30" t="inlineStr">
        <is>
          <t>lib/features/appointments/presentation/screen/appointment_receipt_screen.dart:153</t>
        </is>
      </c>
      <c r="J199" s="29" t="n"/>
      <c r="K199" s="31" t="inlineStr">
        <is>
          <t>Pass</t>
        </is>
      </c>
      <c r="L199" s="32" t="inlineStr">
        <is>
          <t>Claude (adb)</t>
        </is>
      </c>
      <c r="M199" s="33" t="n">
        <v>46300</v>
      </c>
      <c r="N199" s="32" t="inlineStr">
        <is>
          <t>1.0.0+1 debug</t>
        </is>
      </c>
      <c r="O199" s="32" t="inlineStr">
        <is>
          <t>emulator-5554 / Android 14</t>
        </is>
      </c>
      <c r="P199" s="32" t="inlineStr">
        <is>
          <t>DEF-016</t>
        </is>
      </c>
      <c r="Q199" s="32" t="inlineStr">
        <is>
          <t>FIXED AND RETESTED (5 Oct 2026, rebuilt debug build; DEF-016). The receipt header pill now follows the booking's refunds - 'Refunded' when processed, 'Refund in progress' while requested/processing, 'Paid' otherwise - and a Refund card lists each refund with its amount and date (appointment_receipt_screen.dart, from the appointment detail already loaded). Emulator: receipt LKSR/26-27/00137 (booking LKSB-2609-00147) -&gt; pill 'Refunded'; Refund card 'Refunded - Rs 500 - Returned on 26 Sep 2026 to the account you paid from'. First observed: Receipt LKSR/26-27/00137 belongs to a cancelled appointment whose payment status is 'Refunded' (₹500 refund processed 26 Sep), yet the receipt header pill still reads 'Paid' and nothing on the receipt mentions the refund.</t>
        </is>
      </c>
    </row>
    <row r="200" ht="43" customHeight="1">
      <c r="A200" s="27" t="inlineStr">
        <is>
          <t>BL-APPT-057</t>
        </is>
      </c>
      <c r="B200" s="28" t="inlineStr">
        <is>
          <t>Appointments</t>
        </is>
      </c>
      <c r="C200" s="28" t="inlineStr">
        <is>
          <t>Receipt</t>
        </is>
      </c>
      <c r="D200" s="28" t="inlineStr">
        <is>
          <t>PDF download states</t>
        </is>
      </c>
      <c r="E200" s="28" t="inlineStr">
        <is>
          <t>Tap Download PDF when ready, while still generating, and with no PDF app installed</t>
        </is>
      </c>
      <c r="F200" s="28" t="inlineStr">
        <is>
          <t>Opens the PDF / 'The PDF is still being generated. Try again in a moment.' / 'Nothing on this phone can open the PDF link.'</t>
        </is>
      </c>
      <c r="G200" s="29" t="inlineStr">
        <is>
          <t>P1</t>
        </is>
      </c>
      <c r="H200" s="29" t="inlineStr">
        <is>
          <t>Error handling</t>
        </is>
      </c>
      <c r="I200" s="30" t="inlineStr">
        <is>
          <t>lib/features/appointments/presentation/screen/appointment_receipt_screen.dart:345</t>
        </is>
      </c>
      <c r="J200" s="29" t="inlineStr">
        <is>
          <t>KB-01</t>
        </is>
      </c>
      <c r="K200" s="31" t="inlineStr">
        <is>
          <t>Blocked</t>
        </is>
      </c>
      <c r="L200" s="32" t="inlineStr">
        <is>
          <t>Claude (adb)</t>
        </is>
      </c>
      <c r="M200" s="33" t="n">
        <v>46299</v>
      </c>
      <c r="N200" s="32" t="inlineStr">
        <is>
          <t>1.0.0+1 debug</t>
        </is>
      </c>
      <c r="O200" s="32" t="inlineStr">
        <is>
          <t>emulator-5554 / Android 14</t>
        </is>
      </c>
      <c r="P200" s="32" t="n"/>
      <c r="Q200" s="32" t="inlineStr">
        <is>
          <t>KB-01 confirmed: 'Download the receipt PDF' fetches a link and opens Chrome at storage.fake.local/…, which fails with DNS_PROBE_FINISHED_NXDOMAIN ('This site can't be reached'). The app-side hand-off works; the file host does not exist.</t>
        </is>
      </c>
    </row>
    <row r="201" ht="43" customHeight="1">
      <c r="A201" s="27" t="inlineStr">
        <is>
          <t>BL-APPT-058</t>
        </is>
      </c>
      <c r="B201" s="28" t="inlineStr">
        <is>
          <t>Appointments</t>
        </is>
      </c>
      <c r="C201" s="28" t="inlineStr">
        <is>
          <t>Receipt</t>
        </is>
      </c>
      <c r="D201" s="28" t="inlineStr">
        <is>
          <t>Two receipt actions at once</t>
        </is>
      </c>
      <c r="E201" s="28" t="inlineStr">
        <is>
          <t>Tap Download PDF and immediately tap Add to calendar</t>
        </is>
      </c>
      <c r="F201" s="28" t="inlineStr">
        <is>
          <t>No false error. The code returns silently for the second action and then shows 'Could not download the calendar file.'</t>
        </is>
      </c>
      <c r="G201" s="29" t="inlineStr">
        <is>
          <t>P3</t>
        </is>
      </c>
      <c r="H201" s="29" t="inlineStr">
        <is>
          <t>Verify gap</t>
        </is>
      </c>
      <c r="I201" s="30" t="inlineStr">
        <is>
          <t>lib/features/appointments/application/providers/appointments_provider.dart:337</t>
        </is>
      </c>
      <c r="J201" s="29" t="n"/>
      <c r="K201" s="31" t="inlineStr">
        <is>
          <t>Pass</t>
        </is>
      </c>
      <c r="L201" s="32" t="inlineStr">
        <is>
          <t>Claude (adb)</t>
        </is>
      </c>
      <c r="M201" s="33" t="n">
        <v>46300</v>
      </c>
      <c r="N201" s="32" t="inlineStr">
        <is>
          <t>1.0.0+1 debug</t>
        </is>
      </c>
      <c r="O201" s="32" t="inlineStr">
        <is>
          <t>emulator-5554 / Android 14</t>
        </is>
      </c>
      <c r="P201" s="32" t="inlineStr">
        <is>
          <t>DEF-055</t>
        </is>
      </c>
      <c r="Q201" s="32" t="inlineStr">
        <is>
          <t>FIXED (5 Oct 2026); retested by automated test, not on the device (DEF-055). Confirmed in the code: while one receipt action ran, the other was refused quietly and its button then showed 'Could not download the calendar file.' (or 'Could not fetch the PDF.') although nothing had failed. Fix: each action now ignores a tap while another action on the same appointment is running (calendar_action.dart, appointment_receipt_screen.dart). New test test/features/appointments/receipt_actions_test.dart taps Add to calendar while the PDF link is still being fetched: no toast, no calendar request; the same test fails with the fix removed. Still not reproducible by hand, as on 4 Oct: both actions hand off to another app (Chrome / share sheet) at once.</t>
        </is>
      </c>
    </row>
    <row r="202" ht="43" customHeight="1">
      <c r="A202" s="27" t="inlineStr">
        <is>
          <t>BL-APPT-059</t>
        </is>
      </c>
      <c r="B202" s="28" t="inlineStr">
        <is>
          <t>Appointments</t>
        </is>
      </c>
      <c r="C202" s="28" t="inlineStr">
        <is>
          <t>Review / rating</t>
        </is>
      </c>
      <c r="D202" s="28" t="inlineStr">
        <is>
          <t>A rating needs at least one star</t>
        </is>
      </c>
      <c r="E202" s="28" t="inlineStr">
        <is>
          <t>1. Tap Rate visit
2. Try to send with no stars
3. Pick a star</t>
        </is>
      </c>
      <c r="F202" s="28" t="inlineStr">
        <is>
          <t>'Send review' is disabled until a star is chosen; comment is optional, up to 2000 characters.</t>
        </is>
      </c>
      <c r="G202" s="29" t="inlineStr">
        <is>
          <t>P1</t>
        </is>
      </c>
      <c r="H202" s="29" t="inlineStr">
        <is>
          <t>Boundary</t>
        </is>
      </c>
      <c r="I202" s="30" t="inlineStr">
        <is>
          <t>lib/features/appointments/presentation/screen/appointment_detail_screen.dart:885</t>
        </is>
      </c>
      <c r="J202" s="29" t="n"/>
      <c r="K202" s="31" t="inlineStr">
        <is>
          <t>Pass</t>
        </is>
      </c>
      <c r="L202" s="32" t="inlineStr">
        <is>
          <t>Claude (adb)</t>
        </is>
      </c>
      <c r="M202" s="33" t="n">
        <v>46299</v>
      </c>
      <c r="N202" s="32" t="inlineStr">
        <is>
          <t>1.0.0+1 debug</t>
        </is>
      </c>
      <c r="O202" s="32" t="inlineStr">
        <is>
          <t>emulator-5554 / Android 14</t>
        </is>
      </c>
      <c r="P202" s="32" t="n"/>
      <c r="Q202" s="32" t="inlineStr">
        <is>
          <t>Rate visit opens 'How was your visit?'; 'Send review — pick a star rating first' is disabled until a star is chosen; comment optional.</t>
        </is>
      </c>
    </row>
    <row r="203" ht="43" customHeight="1">
      <c r="A203" s="27" t="inlineStr">
        <is>
          <t>BL-APPT-060</t>
        </is>
      </c>
      <c r="B203" s="28" t="inlineStr">
        <is>
          <t>Appointments</t>
        </is>
      </c>
      <c r="C203" s="28" t="inlineStr">
        <is>
          <t>Review / rating</t>
        </is>
      </c>
      <c r="D203" s="28" t="inlineStr">
        <is>
          <t>Review can be sent once</t>
        </is>
      </c>
      <c r="E203" s="28" t="inlineStr">
        <is>
          <t>1. Submit a review
2. Reopen the appointment
3. Try from a second device</t>
        </is>
      </c>
      <c r="F203" s="28" t="inlineStr">
        <is>
          <t>'Thanks — your review is with the hospital for moderation.'; Rate visit disappears; the second attempt is refused with a clear message.</t>
        </is>
      </c>
      <c r="G203" s="29" t="inlineStr">
        <is>
          <t>P1</t>
        </is>
      </c>
      <c r="H203" s="29" t="inlineStr">
        <is>
          <t>State</t>
        </is>
      </c>
      <c r="I203" s="30" t="inlineStr">
        <is>
          <t>lib/features/appointments/presentation/screen/appointment_detail_screen.dart:296</t>
        </is>
      </c>
      <c r="J203" s="29" t="n"/>
      <c r="K203" s="31" t="inlineStr">
        <is>
          <t>Pass</t>
        </is>
      </c>
      <c r="L203" s="32" t="inlineStr">
        <is>
          <t>Claude (adb)</t>
        </is>
      </c>
      <c r="M203" s="33" t="n">
        <v>46299</v>
      </c>
      <c r="N203" s="32" t="inlineStr">
        <is>
          <t>1.0.0+1 debug</t>
        </is>
      </c>
      <c r="O203" s="32" t="inlineStr">
        <is>
          <t>emulator-5554 / Android 14</t>
        </is>
      </c>
      <c r="P203" s="32" t="n"/>
      <c r="Q203" s="32" t="inlineStr">
        <is>
          <t>4 stars sent on LKSB-2609-00082: toast 'Thanks — your review is with the hospital for moderation.', Rate visit disappears (only Book Again). Server: reviewed=true, can_review=false; a second review via the API is refused (409).</t>
        </is>
      </c>
    </row>
    <row r="204" ht="43" customHeight="1">
      <c r="A204" s="27" t="inlineStr">
        <is>
          <t>BL-APPT-061</t>
        </is>
      </c>
      <c r="B204" s="28" t="inlineStr">
        <is>
          <t>Appointments</t>
        </is>
      </c>
      <c r="C204" s="28" t="inlineStr">
        <is>
          <t>Calendar export</t>
        </is>
      </c>
      <c r="D204" s="28" t="inlineStr">
        <is>
          <t>Calendar file is named by the booking reference</t>
        </is>
      </c>
      <c r="E204" s="28" t="inlineStr">
        <is>
          <t>1. Tap Add to calendar
2. Check the shared file name and event</t>
        </is>
      </c>
      <c r="F204" s="28" t="inlineStr">
        <is>
          <t>'&lt;booking ref&gt;.ics' (never an internal id); event date, time and hospital are correct.</t>
        </is>
      </c>
      <c r="G204" s="29" t="inlineStr">
        <is>
          <t>P2</t>
        </is>
      </c>
      <c r="H204" s="29" t="inlineStr">
        <is>
          <t>Rule</t>
        </is>
      </c>
      <c r="I204" s="30" t="inlineStr">
        <is>
          <t>lib/features/appointments/infrastructure/repositories/appointments_repository_impl.dart:171</t>
        </is>
      </c>
      <c r="J204" s="29" t="n"/>
      <c r="K204" s="31" t="inlineStr">
        <is>
          <t>Pass</t>
        </is>
      </c>
      <c r="L204" s="32" t="inlineStr">
        <is>
          <t>Claude (adb)</t>
        </is>
      </c>
      <c r="M204" s="33" t="n">
        <v>46299</v>
      </c>
      <c r="N204" s="32" t="inlineStr">
        <is>
          <t>1.0.0+1 debug</t>
        </is>
      </c>
      <c r="O204" s="32" t="inlineStr">
        <is>
          <t>emulator-5554 / Android 14</t>
        </is>
      </c>
      <c r="P204" s="32" t="n"/>
      <c r="Q204" s="32" t="inlineStr">
        <is>
          <t>Add to calendar opens the Android share sheet with 'LKSB-2609-00097.ics' (booking reference, not an internal id). Event contents not opened.</t>
        </is>
      </c>
    </row>
    <row r="205" ht="43" customHeight="1">
      <c r="A205" s="27" t="inlineStr">
        <is>
          <t>BL-APPT-062</t>
        </is>
      </c>
      <c r="B205" s="28" t="inlineStr">
        <is>
          <t>Appointments</t>
        </is>
      </c>
      <c r="C205" s="28" t="inlineStr">
        <is>
          <t>Calendar export</t>
        </is>
      </c>
      <c r="D205" s="28" t="inlineStr">
        <is>
          <t>Where Add to calendar is offered</t>
        </is>
      </c>
      <c r="E205" s="28" t="inlineStr">
        <is>
          <t>Look for it on booking success, payment result, receipt and appointment detail</t>
        </is>
      </c>
      <c r="F205" s="28" t="inlineStr">
        <is>
          <t>Confirm with the owner: within Appointments it is reachable only from the Receipt screen, so unpaid/awaiting bookings cannot be exported.</t>
        </is>
      </c>
      <c r="G205" s="29" t="inlineStr">
        <is>
          <t>P3</t>
        </is>
      </c>
      <c r="H205" s="29" t="inlineStr">
        <is>
          <t>Verify gap</t>
        </is>
      </c>
      <c r="I205" s="30" t="inlineStr">
        <is>
          <t>lib/features/appointments/presentation/screen/appointment_receipt_screen.dart:321</t>
        </is>
      </c>
      <c r="J205" s="29" t="n"/>
      <c r="K205" s="31" t="inlineStr">
        <is>
          <t>Pass</t>
        </is>
      </c>
      <c r="L205" s="32" t="inlineStr">
        <is>
          <t>Claude (adb)</t>
        </is>
      </c>
      <c r="M205" s="33" t="n">
        <v>46300</v>
      </c>
      <c r="N205" s="32" t="inlineStr">
        <is>
          <t>1.0.0+1 debug</t>
        </is>
      </c>
      <c r="O205" s="32" t="inlineStr">
        <is>
          <t>emulator-5554 / Android 14</t>
        </is>
      </c>
      <c r="P205" s="32" t="n"/>
      <c r="Q205" s="32" t="inlineStr">
        <is>
          <t>OWNER DECISION (5 Oct 2026): leave it as it is. Since the 'View token' change (BL-PAY-029), Add to calendar is reachable for every booking that is past payment: View token -&gt; token card -&gt; Add to calendar (confirmed, checked in, or awaiting confirmation), and from the Receipt for paid bookings. An unpaid booking - a 5-minute hold - deliberately has none. No further code change. First observed 4 Oct 2026: 'Add to calendar' was on the Receipt screen only; the Appointment Details screen had no such action, so bookings without a receipt could not be exported.</t>
        </is>
      </c>
    </row>
    <row r="206" ht="43" customHeight="1">
      <c r="A206" s="27" t="inlineStr">
        <is>
          <t>BL-APPT-063</t>
        </is>
      </c>
      <c r="B206" s="28" t="inlineStr">
        <is>
          <t>Appointments</t>
        </is>
      </c>
      <c r="C206" s="28" t="inlineStr">
        <is>
          <t>Calendar export</t>
        </is>
      </c>
      <c r="D206" s="28" t="inlineStr">
        <is>
          <t>Failures are distinguished</t>
        </is>
      </c>
      <c r="E206" s="28" t="inlineStr">
        <is>
          <t>1. Force an empty/failed download
2. Use a device with no calendar-capable app</t>
        </is>
      </c>
      <c r="F206" s="28" t="inlineStr">
        <is>
          <t>'Could not download the calendar file.' vs 'No app on this device could take the calendar file.'</t>
        </is>
      </c>
      <c r="G206" s="29" t="inlineStr">
        <is>
          <t>P3</t>
        </is>
      </c>
      <c r="H206" s="29" t="inlineStr">
        <is>
          <t>Error handling</t>
        </is>
      </c>
      <c r="I206" s="30" t="inlineStr">
        <is>
          <t>lib/features/appointments/presentation/components/calendar_action.dart:25</t>
        </is>
      </c>
      <c r="J206" s="29" t="n"/>
      <c r="K206" s="31" t="inlineStr">
        <is>
          <t>Pass</t>
        </is>
      </c>
      <c r="L206" s="32" t="inlineStr">
        <is>
          <t>Claude (adb)</t>
        </is>
      </c>
      <c r="M206" s="33" t="n">
        <v>46300</v>
      </c>
      <c r="N206" s="32" t="inlineStr">
        <is>
          <t>1.0.0+1 debug</t>
        </is>
      </c>
      <c r="O206" s="32" t="inlineStr">
        <is>
          <t>emulator-5554 / Android 14</t>
        </is>
      </c>
      <c r="P206" s="32" t="n"/>
      <c r="Q206" s="32" t="inlineStr">
        <is>
          <t>Run 5 Oct 2026. Part 1, on the emulator, with the answer to GET …/calendar.ics replaced by a pass-through recorder on the host: 500 - 'Something went wrong on our side. We're on it - please try again in a moment.'; an empty file - 'We could not read the response from our server. Please try again.'; connection cut - 'You appear to be offline. Check your connection and try again.' Each is a download-side message; none is the row's expected wording 'Could not download the calendar file.', which the code keeps only as a fallback for a failure with no message of its own. Part 2, by automated test (no share target cannot be produced on this emulator): with the file downloaded and no share handler available, the toast is 'No app on this device could take the calendar file.' (test/features/appointments/receipt_actions_test.dart). So the two kinds of failure are told apart.</t>
        </is>
      </c>
    </row>
    <row r="207" ht="43" customHeight="1">
      <c r="A207" s="27" t="inlineStr">
        <is>
          <t>BL-APPT-064</t>
        </is>
      </c>
      <c r="B207" s="28" t="inlineStr">
        <is>
          <t>Appointments</t>
        </is>
      </c>
      <c r="C207" s="28" t="inlineStr">
        <is>
          <t>Token card</t>
        </is>
      </c>
      <c r="D207" s="28" t="inlineStr">
        <is>
          <t>Token-card screen: token and desk code fallbacks</t>
        </is>
      </c>
      <c r="E207" s="28" t="inlineStr">
        <is>
          <t>Open the token card (success link) for a booking with and without a token</t>
        </is>
      </c>
      <c r="F207" s="28" t="inlineStr">
        <is>
          <t>Token label, or 'Assigned by the hospital'; the desk code resolves to the server payload, else the booking reference.</t>
        </is>
      </c>
      <c r="G207" s="29" t="inlineStr">
        <is>
          <t>P2</t>
        </is>
      </c>
      <c r="H207" s="29" t="inlineStr">
        <is>
          <t>Data mapping</t>
        </is>
      </c>
      <c r="I207" s="30" t="inlineStr">
        <is>
          <t>lib/features/booking/presentation/screen/booking_success_screen.dart:88</t>
        </is>
      </c>
      <c r="J207" s="29" t="inlineStr">
        <is>
          <t>KB-10</t>
        </is>
      </c>
      <c r="K207" s="31" t="inlineStr">
        <is>
          <t>Pass</t>
        </is>
      </c>
      <c r="L207" s="32" t="inlineStr">
        <is>
          <t>Claude (adb)</t>
        </is>
      </c>
      <c r="M207" s="33" t="n">
        <v>46300</v>
      </c>
      <c r="N207" s="32" t="inlineStr">
        <is>
          <t>1.0.0+1 debug</t>
        </is>
      </c>
      <c r="O207" s="32" t="inlineStr">
        <is>
          <t>emulator-5554 / Android 14</t>
        </is>
      </c>
      <c r="P207" s="32" t="n"/>
      <c r="Q207" s="32" t="inlineStr">
        <is>
          <t>PASS (5 Oct 2026, debug build), by widget test plus server data. The token card is now reachable ('View token' on a confirmed or checked-in appointment, and after paying). Server: token cards for Sanjay's bookings carry token_label A001/A002 and qr_payload equal to the booking reference. test/features/booking/token_card_screen_test.dart: a token shows as its label; no token shows 'Assigned by the hospital'; the desk code is qr_payload, else the booking reference. Not opened on the device: Sanjay has no confirmed booking (28 cancelled, 5 completed, 1 no-show) and making one needs a real Razorpay payment. Earlier note: The token-card success screen is unreachable (medibook://success -&gt; 'Page not found'; nothing navigates to it).</t>
        </is>
      </c>
    </row>
    <row r="208" ht="43" customHeight="1">
      <c r="A208" s="27" t="inlineStr">
        <is>
          <t>BL-APPT-065</t>
        </is>
      </c>
      <c r="B208" s="28" t="inlineStr">
        <is>
          <t>Appointments</t>
        </is>
      </c>
      <c r="C208" s="28" t="inlineStr">
        <is>
          <t>Token card</t>
        </is>
      </c>
      <c r="D208" s="28" t="inlineStr">
        <is>
          <t>Token card for someone else's booking</t>
        </is>
      </c>
      <c r="E208" s="28" t="inlineStr">
        <is>
          <t>Open the success link with another user's appointment id, and with none</t>
        </is>
      </c>
      <c r="F208" s="28" t="inlineStr">
        <is>
          <t>'That booking is not on this account' with 'See my appointments'.</t>
        </is>
      </c>
      <c r="G208" s="29" t="inlineStr">
        <is>
          <t>P1</t>
        </is>
      </c>
      <c r="H208" s="29" t="inlineStr">
        <is>
          <t>Error handling</t>
        </is>
      </c>
      <c r="I208" s="30" t="inlineStr">
        <is>
          <t>lib/features/booking/presentation/screen/booking_success_screen.dart:35</t>
        </is>
      </c>
      <c r="J208" s="29" t="n"/>
      <c r="K208" s="31" t="inlineStr">
        <is>
          <t>Pass</t>
        </is>
      </c>
      <c r="L208" s="32" t="inlineStr">
        <is>
          <t>Claude (adb)</t>
        </is>
      </c>
      <c r="M208" s="33" t="n">
        <v>46300</v>
      </c>
      <c r="N208" s="32" t="inlineStr">
        <is>
          <t>1.0.0+1 debug</t>
        </is>
      </c>
      <c r="O208" s="32" t="inlineStr">
        <is>
          <t>emulator-5554 / Android 14</t>
        </is>
      </c>
      <c r="P208" s="32" t="n"/>
      <c r="Q208" s="32" t="inlineStr">
        <is>
          <t>PASS (5 Oct 2026, debug build). The token card is now reachable in the app ('View token' on appointment details, and after paying), but not from external links (medibook://success opens 'Page not found', as intended), so another account's id can't be fed to it on the device. Server check: Sanjay asking for Asha Rao's appointment token card gets HTTP 404 NOT_FOUND, which the app maps to a not-found failure; test/features/booking/token_card_screen_test.dart shows that answer as 'That booking is not on this account' with 'See my appointments'. With no id the screen shows the same. Earlier note: The token-card success screen is unreachable (medibook://success -&gt; 'Page not found').</t>
        </is>
      </c>
    </row>
    <row r="209" ht="56" customHeight="1">
      <c r="A209" s="27" t="inlineStr">
        <is>
          <t>BL-QUEUE-001</t>
        </is>
      </c>
      <c r="B209" s="28" t="inlineStr">
        <is>
          <t>Live queue</t>
        </is>
      </c>
      <c r="C209" s="28" t="inlineStr">
        <is>
          <t>Queue state</t>
        </is>
      </c>
      <c r="D209" s="28" t="inlineStr">
        <is>
          <t>Headline follows the session state in a fixed order</t>
        </is>
      </c>
      <c r="E209" s="28" t="inlineStr">
        <is>
          <t>Have the desk: keep the session unopened, open it, call tokens, pause, call your token, close</t>
        </is>
      </c>
      <c r="F209" s="28" t="inlineStr">
        <is>
          <t>'The desk has not opened yet' → 'Desk is open' / 'Queue is moving' / 'Waiting for the next patient' → 'Doctor on a break' → 'You are being seen' → 'This session has ended'. A break outranks everything else.</t>
        </is>
      </c>
      <c r="G209" s="29" t="inlineStr">
        <is>
          <t>P0</t>
        </is>
      </c>
      <c r="H209" s="29" t="inlineStr">
        <is>
          <t>State</t>
        </is>
      </c>
      <c r="I209" s="30" t="inlineStr">
        <is>
          <t>lib/features/appointments/presentation/screen/live_queue_screen.dart:359</t>
        </is>
      </c>
      <c r="J209" s="29" t="inlineStr">
        <is>
          <t>KB-08</t>
        </is>
      </c>
      <c r="K209" s="31" t="inlineStr">
        <is>
          <t>Blocked</t>
        </is>
      </c>
      <c r="L209" s="32" t="inlineStr">
        <is>
          <t>Claude (adb)</t>
        </is>
      </c>
      <c r="M209" s="33" t="n">
        <v>46299</v>
      </c>
      <c r="N209" s="32" t="inlineStr">
        <is>
          <t>1.0.0+1 debug</t>
        </is>
      </c>
      <c r="O209" s="32" t="inlineStr">
        <is>
          <t>emulator-5554 / Android 14</t>
        </is>
      </c>
      <c r="P209" s="32" t="n"/>
      <c r="Q209" s="32" t="inlineStr">
        <is>
          <t>KB-08: no desk user to drive a session. Observed the two reachable headlines only: 'The desk has not opened yet' (session scheduled) and 'This session has ended' (closed).</t>
        </is>
      </c>
    </row>
    <row r="210" ht="43" customHeight="1">
      <c r="A210" s="27" t="inlineStr">
        <is>
          <t>BL-QUEUE-002</t>
        </is>
      </c>
      <c r="B210" s="28" t="inlineStr">
        <is>
          <t>Live queue</t>
        </is>
      </c>
      <c r="C210" s="28" t="inlineStr">
        <is>
          <t>Queue state</t>
        </is>
      </c>
      <c r="D210" s="28" t="inlineStr">
        <is>
          <t>Estimated wait is the server's figure</t>
        </is>
      </c>
      <c r="E210" s="28" t="inlineStr">
        <is>
          <t>Compare with the API for a wait of 40 min, 0 min and a paused session</t>
        </is>
      </c>
      <c r="F210" s="28" t="inlineStr">
        <is>
          <t>'~40 min', 'Next', 'Paused'.</t>
        </is>
      </c>
      <c r="G210" s="29" t="inlineStr">
        <is>
          <t>P1</t>
        </is>
      </c>
      <c r="H210" s="29" t="inlineStr">
        <is>
          <t>Data mapping</t>
        </is>
      </c>
      <c r="I210" s="30" t="inlineStr">
        <is>
          <t>lib/features/appointments/presentation/screen/live_queue_screen.dart:324</t>
        </is>
      </c>
      <c r="J210" s="29" t="inlineStr">
        <is>
          <t>KB-08</t>
        </is>
      </c>
      <c r="K210" s="31" t="inlineStr">
        <is>
          <t>Blocked</t>
        </is>
      </c>
      <c r="L210" s="32" t="inlineStr">
        <is>
          <t>Claude (adb)</t>
        </is>
      </c>
      <c r="M210" s="33" t="n">
        <v>46299</v>
      </c>
      <c r="N210" s="32" t="inlineStr">
        <is>
          <t>1.0.0+1 debug</t>
        </is>
      </c>
      <c r="O210" s="32" t="inlineStr">
        <is>
          <t>emulator-5554 / Android 14</t>
        </is>
      </c>
      <c r="P210" s="32" t="n"/>
      <c r="Q210" s="32" t="inlineStr">
        <is>
          <t>KB-08: needs a hospital desk user running an open session (calling tokens, pausing) while the app watches; none available on this server.</t>
        </is>
      </c>
    </row>
    <row r="211" ht="43" customHeight="1">
      <c r="A211" s="27" t="inlineStr">
        <is>
          <t>BL-QUEUE-003</t>
        </is>
      </c>
      <c r="B211" s="28" t="inlineStr">
        <is>
          <t>Live queue</t>
        </is>
      </c>
      <c r="C211" s="28" t="inlineStr">
        <is>
          <t>Queue state</t>
        </is>
      </c>
      <c r="D211" s="28" t="inlineStr">
        <is>
          <t>'Next' when the session is not running</t>
        </is>
      </c>
      <c r="E211" s="28" t="inlineStr">
        <is>
          <t>Open the queue before the desk opens and after it closes</t>
        </is>
      </c>
      <c r="F211" s="28" t="inlineStr">
        <is>
          <t>Wait should not read 'Next'. The code shows 'Next' whenever the estimate is 0, including closed / not-opened sessions.</t>
        </is>
      </c>
      <c r="G211" s="29" t="inlineStr">
        <is>
          <t>P2</t>
        </is>
      </c>
      <c r="H211" s="29" t="inlineStr">
        <is>
          <t>Verify gap</t>
        </is>
      </c>
      <c r="I211" s="30" t="inlineStr">
        <is>
          <t>lib/features/appointments/presentation/screen/live_queue_screen.dart:326</t>
        </is>
      </c>
      <c r="J211" s="29" t="inlineStr">
        <is>
          <t>KB-08</t>
        </is>
      </c>
      <c r="K211" s="31" t="inlineStr">
        <is>
          <t>Pass</t>
        </is>
      </c>
      <c r="L211" s="32" t="inlineStr">
        <is>
          <t>Claude (adb)</t>
        </is>
      </c>
      <c r="M211" s="33" t="n">
        <v>46300</v>
      </c>
      <c r="N211" s="32" t="inlineStr">
        <is>
          <t>1.0.0+1 debug</t>
        </is>
      </c>
      <c r="O211" s="32" t="inlineStr">
        <is>
          <t>emulator-5554 / Android 14</t>
        </is>
      </c>
      <c r="P211" s="32" t="inlineStr">
        <is>
          <t>DEF-017</t>
        </is>
      </c>
      <c r="Q211" s="32" t="inlineStr">
        <is>
          <t>FIXED AND RETESTED (5 Oct 2026, rebuilt debug build; DEF-017). Estimated wait now reads 'Session ended' when the session is closed or cancelled and 'Not started' before it opens; 'Paused', 'Next' and '~N min' only while it runs (live_queue_screen.dart). Emulator: live queue of the 17 Sep visit (session_state closed) -&gt; 'This session has ended' with Estimated wait 'Session ended' (was 'Next'). The not-yet-open case could not be shown on the device - no confirmed future booking can be made on this server (payments, KB-02) - and uses the same session_state check. First observed: Estimated wait reads 'Next' when the session has not opened ('The desk has not opened yet', booking for tomorrow) and when it has ended ('This session has ended', a visit from 17 Sep) — in both cases there is no wait to be 'next' for.</t>
        </is>
      </c>
    </row>
    <row r="212" ht="43" customHeight="1">
      <c r="A212" s="27" t="inlineStr">
        <is>
          <t>BL-QUEUE-004</t>
        </is>
      </c>
      <c r="B212" s="28" t="inlineStr">
        <is>
          <t>Live queue</t>
        </is>
      </c>
      <c r="C212" s="28" t="inlineStr">
        <is>
          <t>Queue state</t>
        </is>
      </c>
      <c r="D212" s="28" t="inlineStr">
        <is>
          <t>Missing values</t>
        </is>
      </c>
      <c r="E212" s="28" t="inlineStr">
        <is>
          <t>Open the queue when nobody has been called yet</t>
        </is>
      </c>
      <c r="F212" s="28" t="inlineStr">
        <is>
          <t>'Now seeing —'; 'Ahead of you 0'.</t>
        </is>
      </c>
      <c r="G212" s="29" t="inlineStr">
        <is>
          <t>P3</t>
        </is>
      </c>
      <c r="H212" s="29" t="inlineStr">
        <is>
          <t>Data mapping</t>
        </is>
      </c>
      <c r="I212" s="30" t="inlineStr">
        <is>
          <t>lib/features/appointments/infrastructure/repositories/appointment_mappers.dart:239</t>
        </is>
      </c>
      <c r="J212" s="29" t="inlineStr">
        <is>
          <t>KB-08</t>
        </is>
      </c>
      <c r="K212" s="31" t="inlineStr">
        <is>
          <t>Pass</t>
        </is>
      </c>
      <c r="L212" s="32" t="inlineStr">
        <is>
          <t>Claude (adb)</t>
        </is>
      </c>
      <c r="M212" s="33" t="n">
        <v>46299</v>
      </c>
      <c r="N212" s="32" t="inlineStr">
        <is>
          <t>1.0.0+1 debug</t>
        </is>
      </c>
      <c r="O212" s="32" t="inlineStr">
        <is>
          <t>emulator-5554 / Android 14</t>
        </is>
      </c>
      <c r="P212" s="32" t="n"/>
      <c r="Q212" s="32" t="inlineStr">
        <is>
          <t>Session with nobody called: 'Now seeing —', 'Your token A001', 'Ahead of you 0'.</t>
        </is>
      </c>
    </row>
    <row r="213" ht="43" customHeight="1">
      <c r="A213" s="27" t="inlineStr">
        <is>
          <t>BL-QUEUE-005</t>
        </is>
      </c>
      <c r="B213" s="28" t="inlineStr">
        <is>
          <t>Live queue</t>
        </is>
      </c>
      <c r="C213" s="28" t="inlineStr">
        <is>
          <t>Queue state</t>
        </is>
      </c>
      <c r="D213" s="28" t="inlineStr">
        <is>
          <t>Queue is always read fresh</t>
        </is>
      </c>
      <c r="E213" s="28" t="inlineStr">
        <is>
          <t>Open the queue online, then offline with and without an earlier reading</t>
        </is>
      </c>
      <c r="F213" s="28" t="inlineStr">
        <is>
          <t>Fresh values online; offline with a reading: last values plus 'Could not update — …'; offline without: error view with retry.</t>
        </is>
      </c>
      <c r="G213" s="29" t="inlineStr">
        <is>
          <t>P1</t>
        </is>
      </c>
      <c r="H213" s="29" t="inlineStr">
        <is>
          <t>Rule</t>
        </is>
      </c>
      <c r="I213" s="30" t="inlineStr">
        <is>
          <t>lib/features/appointments/presentation/screen/live_queue_screen.dart:103</t>
        </is>
      </c>
      <c r="J213" s="29" t="n"/>
      <c r="K213" s="31" t="inlineStr">
        <is>
          <t>Pass</t>
        </is>
      </c>
      <c r="L213" s="32" t="inlineStr">
        <is>
          <t>Claude (adb)</t>
        </is>
      </c>
      <c r="M213" s="33" t="n">
        <v>46299</v>
      </c>
      <c r="N213" s="32" t="inlineStr">
        <is>
          <t>1.0.0+1 debug</t>
        </is>
      </c>
      <c r="O213" s="32" t="inlineStr">
        <is>
          <t>emulator-5554 / Android 14</t>
        </is>
      </c>
      <c r="P213" s="32" t="n"/>
      <c r="Q213" s="32" t="inlineStr">
        <is>
          <t>Online: values match GET queue. Airplane mode with a reading on screen: last values kept with 'You're offline. Showing what was saved on this phone.' Offline with no reading not exercised.</t>
        </is>
      </c>
    </row>
    <row r="214" ht="43" customHeight="1">
      <c r="A214" s="27" t="inlineStr">
        <is>
          <t>BL-QUEUE-006</t>
        </is>
      </c>
      <c r="B214" s="28" t="inlineStr">
        <is>
          <t>Live queue</t>
        </is>
      </c>
      <c r="C214" s="28" t="inlineStr">
        <is>
          <t>Queue state</t>
        </is>
      </c>
      <c r="D214" s="28" t="inlineStr">
        <is>
          <t>'Live' label is honest</t>
        </is>
      </c>
      <c r="E214" s="28" t="inlineStr">
        <is>
          <t>Watch the footer while connected, then block the socket</t>
        </is>
      </c>
      <c r="F214" s="28" t="inlineStr">
        <is>
          <t>'Live · updated Just now' becomes 'Last update · updated 2 minutes ago'.</t>
        </is>
      </c>
      <c r="G214" s="29" t="inlineStr">
        <is>
          <t>P2</t>
        </is>
      </c>
      <c r="H214" s="29" t="inlineStr">
        <is>
          <t>State</t>
        </is>
      </c>
      <c r="I214" s="30" t="inlineStr">
        <is>
          <t>lib/features/appointments/presentation/screen/live_queue_screen.dart:344</t>
        </is>
      </c>
      <c r="J214" s="29" t="inlineStr">
        <is>
          <t>KB-08</t>
        </is>
      </c>
      <c r="K214" s="31" t="inlineStr">
        <is>
          <t>Pass</t>
        </is>
      </c>
      <c r="L214" s="32" t="inlineStr">
        <is>
          <t>Claude (adb)</t>
        </is>
      </c>
      <c r="M214" s="33" t="n">
        <v>46299</v>
      </c>
      <c r="N214" s="32" t="inlineStr">
        <is>
          <t>1.0.0+1 debug</t>
        </is>
      </c>
      <c r="O214" s="32" t="inlineStr">
        <is>
          <t>emulator-5554 / Android 14</t>
        </is>
      </c>
      <c r="P214" s="32" t="n"/>
      <c r="Q214" s="32" t="inlineStr">
        <is>
          <t>Footer 'Live · updated 2 weeks ago' while connected; became 'Last update · updated 2 weeks ago' once the connection dropped.</t>
        </is>
      </c>
    </row>
    <row r="215" ht="43" customHeight="1">
      <c r="A215" s="27" t="inlineStr">
        <is>
          <t>BL-QUEUE-007</t>
        </is>
      </c>
      <c r="B215" s="28" t="inlineStr">
        <is>
          <t>Live queue</t>
        </is>
      </c>
      <c r="C215" s="28" t="inlineStr">
        <is>
          <t>Realtime (WebSocket)</t>
        </is>
      </c>
      <c r="D215" s="28" t="inlineStr">
        <is>
          <t>Queue moves without pulling</t>
        </is>
      </c>
      <c r="E215" s="28" t="inlineStr">
        <is>
          <t>Desk calls the next token while the screen is open</t>
        </is>
      </c>
      <c r="F215" s="28" t="inlineStr">
        <is>
          <t>Tokens ahead and wait update within seconds.</t>
        </is>
      </c>
      <c r="G215" s="29" t="inlineStr">
        <is>
          <t>P0</t>
        </is>
      </c>
      <c r="H215" s="29" t="inlineStr">
        <is>
          <t>Rule</t>
        </is>
      </c>
      <c r="I215" s="30" t="inlineStr">
        <is>
          <t>lib/features/appointments/application/providers/appointments_provider.dart:484</t>
        </is>
      </c>
      <c r="J215" s="29" t="inlineStr">
        <is>
          <t>KB-08</t>
        </is>
      </c>
      <c r="K215" s="31" t="inlineStr">
        <is>
          <t>Blocked</t>
        </is>
      </c>
      <c r="L215" s="32" t="inlineStr">
        <is>
          <t>Claude (adb)</t>
        </is>
      </c>
      <c r="M215" s="33" t="n">
        <v>46299</v>
      </c>
      <c r="N215" s="32" t="inlineStr">
        <is>
          <t>1.0.0+1 debug</t>
        </is>
      </c>
      <c r="O215" s="32" t="inlineStr">
        <is>
          <t>emulator-5554 / Android 14</t>
        </is>
      </c>
      <c r="P215" s="32" t="n"/>
      <c r="Q215" s="32" t="inlineStr">
        <is>
          <t>KB-08: needs a hospital desk user running an open session (calling tokens, pausing) while the app watches; none available on this server.</t>
        </is>
      </c>
    </row>
    <row r="216" ht="43" customHeight="1">
      <c r="A216" s="27" t="inlineStr">
        <is>
          <t>BL-QUEUE-008</t>
        </is>
      </c>
      <c r="B216" s="28" t="inlineStr">
        <is>
          <t>Live queue</t>
        </is>
      </c>
      <c r="C216" s="28" t="inlineStr">
        <is>
          <t>Realtime (WebSocket)</t>
        </is>
      </c>
      <c r="D216" s="28" t="inlineStr">
        <is>
          <t>'It's your turn' only for your own token</t>
        </is>
      </c>
      <c r="E216" s="28" t="inlineStr">
        <is>
          <t>Desk calls another patient's token, then yours</t>
        </is>
      </c>
      <c r="F216" s="28" t="inlineStr">
        <is>
          <t>Nothing for the other token; then the green card 'It's your turn — Token T-026 has been called — please go to the doctor's room now.'</t>
        </is>
      </c>
      <c r="G216" s="29" t="inlineStr">
        <is>
          <t>P0</t>
        </is>
      </c>
      <c r="H216" s="29" t="inlineStr">
        <is>
          <t>Rule</t>
        </is>
      </c>
      <c r="I216" s="30" t="inlineStr">
        <is>
          <t>lib/features/appointments/application/providers/appointments_provider.dart:486</t>
        </is>
      </c>
      <c r="J216" s="29" t="inlineStr">
        <is>
          <t>KB-08</t>
        </is>
      </c>
      <c r="K216" s="31" t="inlineStr">
        <is>
          <t>Blocked</t>
        </is>
      </c>
      <c r="L216" s="32" t="inlineStr">
        <is>
          <t>Claude (adb)</t>
        </is>
      </c>
      <c r="M216" s="33" t="n">
        <v>46299</v>
      </c>
      <c r="N216" s="32" t="inlineStr">
        <is>
          <t>1.0.0+1 debug</t>
        </is>
      </c>
      <c r="O216" s="32" t="inlineStr">
        <is>
          <t>emulator-5554 / Android 14</t>
        </is>
      </c>
      <c r="P216" s="32" t="n"/>
      <c r="Q216" s="32" t="inlineStr">
        <is>
          <t>KB-08: needs a hospital desk user running an open session (calling tokens, pausing) while the app watches; none available on this server.</t>
        </is>
      </c>
    </row>
    <row r="217" ht="43" customHeight="1">
      <c r="A217" s="27" t="inlineStr">
        <is>
          <t>BL-QUEUE-009</t>
        </is>
      </c>
      <c r="B217" s="28" t="inlineStr">
        <is>
          <t>Live queue</t>
        </is>
      </c>
      <c r="C217" s="28" t="inlineStr">
        <is>
          <t>Realtime (WebSocket)</t>
        </is>
      </c>
      <c r="D217" s="28" t="inlineStr">
        <is>
          <t>'Your turn' when opening the screen late</t>
        </is>
      </c>
      <c r="E217" s="28" t="inlineStr">
        <is>
          <t>1. Have your token called while the app is closed
2. Open the queue</t>
        </is>
      </c>
      <c r="F217" s="28" t="inlineStr">
        <is>
          <t>User should still see it is their turn. The code shows the card only from a live event, so a late open shows no card (headline 'You are being seen' may cover it).</t>
        </is>
      </c>
      <c r="G217" s="29" t="inlineStr">
        <is>
          <t>P1</t>
        </is>
      </c>
      <c r="H217" s="29" t="inlineStr">
        <is>
          <t>Verify gap</t>
        </is>
      </c>
      <c r="I217" s="30" t="inlineStr">
        <is>
          <t>lib/features/appointments/application/providers/appointments_provider.dart:429</t>
        </is>
      </c>
      <c r="J217" s="29" t="inlineStr">
        <is>
          <t>KB-08</t>
        </is>
      </c>
      <c r="K217" s="31" t="inlineStr">
        <is>
          <t>Blocked</t>
        </is>
      </c>
      <c r="L217" s="32" t="inlineStr">
        <is>
          <t>Claude (adb)</t>
        </is>
      </c>
      <c r="M217" s="33" t="n">
        <v>46299</v>
      </c>
      <c r="N217" s="32" t="inlineStr">
        <is>
          <t>1.0.0+1 debug</t>
        </is>
      </c>
      <c r="O217" s="32" t="inlineStr">
        <is>
          <t>emulator-5554 / Android 14</t>
        </is>
      </c>
      <c r="P217" s="32" t="n"/>
      <c r="Q217" s="32" t="inlineStr">
        <is>
          <t>KB-08: needs a hospital desk user running an open session (calling tokens, pausing) while the app watches; none available on this server.</t>
        </is>
      </c>
    </row>
    <row r="218" ht="43" customHeight="1">
      <c r="A218" s="27" t="inlineStr">
        <is>
          <t>BL-QUEUE-010</t>
        </is>
      </c>
      <c r="B218" s="28" t="inlineStr">
        <is>
          <t>Live queue</t>
        </is>
      </c>
      <c r="C218" s="28" t="inlineStr">
        <is>
          <t>Realtime (WebSocket)</t>
        </is>
      </c>
      <c r="D218" s="28" t="inlineStr">
        <is>
          <t>'Your turn' card clears</t>
        </is>
      </c>
      <c r="E218" s="28" t="inlineStr">
        <is>
          <t>After being called, have the desk move to the next token, then close the session</t>
        </is>
      </c>
      <c r="F218" s="28" t="inlineStr">
        <is>
          <t>Card should clear when it no longer applies. The code clears it only when the session closes.</t>
        </is>
      </c>
      <c r="G218" s="29" t="inlineStr">
        <is>
          <t>P2</t>
        </is>
      </c>
      <c r="H218" s="29" t="inlineStr">
        <is>
          <t>Verify gap</t>
        </is>
      </c>
      <c r="I218" s="30" t="inlineStr">
        <is>
          <t>lib/features/appointments/application/providers/appointments_provider.dart:429</t>
        </is>
      </c>
      <c r="J218" s="29" t="inlineStr">
        <is>
          <t>KB-08</t>
        </is>
      </c>
      <c r="K218" s="31" t="inlineStr">
        <is>
          <t>Blocked</t>
        </is>
      </c>
      <c r="L218" s="32" t="inlineStr">
        <is>
          <t>Claude (adb)</t>
        </is>
      </c>
      <c r="M218" s="33" t="n">
        <v>46299</v>
      </c>
      <c r="N218" s="32" t="inlineStr">
        <is>
          <t>1.0.0+1 debug</t>
        </is>
      </c>
      <c r="O218" s="32" t="inlineStr">
        <is>
          <t>emulator-5554 / Android 14</t>
        </is>
      </c>
      <c r="P218" s="32" t="n"/>
      <c r="Q218" s="32" t="inlineStr">
        <is>
          <t>KB-08: needs a hospital desk user running an open session (calling tokens, pausing) while the app watches; none available on this server.</t>
        </is>
      </c>
    </row>
    <row r="219" ht="30" customHeight="1">
      <c r="A219" s="27" t="inlineStr">
        <is>
          <t>BL-QUEUE-011</t>
        </is>
      </c>
      <c r="B219" s="28" t="inlineStr">
        <is>
          <t>Live queue</t>
        </is>
      </c>
      <c r="C219" s="28" t="inlineStr">
        <is>
          <t>Realtime (WebSocket)</t>
        </is>
      </c>
      <c r="D219" s="28" t="inlineStr">
        <is>
          <t>Keep-alive</t>
        </is>
      </c>
      <c r="E219" s="28" t="inlineStr">
        <is>
          <t>Leave the queue open for 6+ minutes and watch frames</t>
        </is>
      </c>
      <c r="F219" s="28" t="inlineStr">
        <is>
          <t>A ping every 30 s; the connection is not dropped for idleness.</t>
        </is>
      </c>
      <c r="G219" s="29" t="inlineStr">
        <is>
          <t>P2</t>
        </is>
      </c>
      <c r="H219" s="29" t="inlineStr">
        <is>
          <t>Boundary</t>
        </is>
      </c>
      <c r="I219" s="30" t="inlineStr">
        <is>
          <t>lib/core/realtime/ws_client.dart:83</t>
        </is>
      </c>
      <c r="J219" s="29" t="inlineStr">
        <is>
          <t>KB-08</t>
        </is>
      </c>
      <c r="K219" s="31" t="inlineStr">
        <is>
          <t>Blocked</t>
        </is>
      </c>
      <c r="L219" s="32" t="inlineStr">
        <is>
          <t>Claude (adb)</t>
        </is>
      </c>
      <c r="M219" s="33" t="n">
        <v>46299</v>
      </c>
      <c r="N219" s="32" t="inlineStr">
        <is>
          <t>1.0.0+1 debug</t>
        </is>
      </c>
      <c r="O219" s="32" t="inlineStr">
        <is>
          <t>emulator-5554 / Android 14</t>
        </is>
      </c>
      <c r="P219" s="32" t="n"/>
      <c r="Q219" s="32" t="inlineStr">
        <is>
          <t>KB-08: needs a hospital desk user running an open session (calling tokens, pausing) while the app watches; none available on this server.</t>
        </is>
      </c>
    </row>
    <row r="220" ht="43" customHeight="1">
      <c r="A220" s="27" t="inlineStr">
        <is>
          <t>BL-QUEUE-012</t>
        </is>
      </c>
      <c r="B220" s="28" t="inlineStr">
        <is>
          <t>Live queue</t>
        </is>
      </c>
      <c r="C220" s="28" t="inlineStr">
        <is>
          <t>Realtime (WebSocket)</t>
        </is>
      </c>
      <c r="D220" s="28" t="inlineStr">
        <is>
          <t>Reconnect with back-off, then give up</t>
        </is>
      </c>
      <c r="E220" s="28" t="inlineStr">
        <is>
          <t>1. Block the socket endpoint while the screen is open
2. Time the banners</t>
        </is>
      </c>
      <c r="F220" s="28" t="inlineStr">
        <is>
          <t>'Live updates dropped — reconnecting…' while it retries after 2, 4, 8, 16 and 32 s; then 'Live updates unavailable. Pull down to refresh.'</t>
        </is>
      </c>
      <c r="G220" s="29" t="inlineStr">
        <is>
          <t>P1</t>
        </is>
      </c>
      <c r="H220" s="29" t="inlineStr">
        <is>
          <t>Boundary</t>
        </is>
      </c>
      <c r="I220" s="30" t="inlineStr">
        <is>
          <t>lib/features/appointments/application/providers/appointments_provider.dart:512</t>
        </is>
      </c>
      <c r="J220" s="29" t="inlineStr">
        <is>
          <t>KB-08</t>
        </is>
      </c>
      <c r="K220" s="31" t="inlineStr">
        <is>
          <t>Pass</t>
        </is>
      </c>
      <c r="L220" s="32" t="inlineStr">
        <is>
          <t>Claude (adb)</t>
        </is>
      </c>
      <c r="M220" s="33" t="n">
        <v>46299</v>
      </c>
      <c r="N220" s="32" t="inlineStr">
        <is>
          <t>1.0.0+1 debug</t>
        </is>
      </c>
      <c r="O220" s="32" t="inlineStr">
        <is>
          <t>emulator-5554 / Android 14</t>
        </is>
      </c>
      <c r="P220" s="32" t="n"/>
      <c r="Q220" s="32" t="inlineStr">
        <is>
          <t>Airplane mode on the queue screen: 'Live updates dropped — reconnecting…' at 6 s and 28 s, then 'Live updates unavailable. Pull down to refresh.' by 70 s (consistent with 2+4+8+16+32 s of retries).</t>
        </is>
      </c>
    </row>
    <row r="221" ht="43" customHeight="1">
      <c r="A221" s="27" t="inlineStr">
        <is>
          <t>BL-QUEUE-013</t>
        </is>
      </c>
      <c r="B221" s="28" t="inlineStr">
        <is>
          <t>Live queue</t>
        </is>
      </c>
      <c r="C221" s="28" t="inlineStr">
        <is>
          <t>Realtime (WebSocket)</t>
        </is>
      </c>
      <c r="D221" s="28" t="inlineStr">
        <is>
          <t>Recovery after giving up</t>
        </is>
      </c>
      <c r="E221" s="28" t="inlineStr">
        <is>
          <t>1. After 'Live updates unavailable', restore the network
2. Pull to refresh</t>
        </is>
      </c>
      <c r="F221" s="28" t="inlineStr">
        <is>
          <t>Live updates should resume. The code only re-reads the numbers; the socket stays off until the screen is reopened.</t>
        </is>
      </c>
      <c r="G221" s="29" t="inlineStr">
        <is>
          <t>P2</t>
        </is>
      </c>
      <c r="H221" s="29" t="inlineStr">
        <is>
          <t>Verify gap</t>
        </is>
      </c>
      <c r="I221" s="30" t="inlineStr">
        <is>
          <t>lib/features/appointments/application/providers/appointments_provider.dart:420</t>
        </is>
      </c>
      <c r="J221" s="29" t="inlineStr">
        <is>
          <t>KB-08</t>
        </is>
      </c>
      <c r="K221" s="31" t="inlineStr">
        <is>
          <t>Pass</t>
        </is>
      </c>
      <c r="L221" s="32" t="inlineStr">
        <is>
          <t>Claude (adb)</t>
        </is>
      </c>
      <c r="M221" s="33" t="n">
        <v>46300</v>
      </c>
      <c r="N221" s="32" t="inlineStr">
        <is>
          <t>1.0.0+1 debug</t>
        </is>
      </c>
      <c r="O221" s="32" t="inlineStr">
        <is>
          <t>emulator-5554 / Android 14</t>
        </is>
      </c>
      <c r="P221" s="32" t="inlineStr">
        <is>
          <t>DEF-018</t>
        </is>
      </c>
      <c r="Q221" s="32" t="inlineStr">
        <is>
          <t>FIXED AND RETESTED (5 Oct 2026, rebuilt debug build; DEF-018). Pull-to-refresh only re-read the queue; once live updates had given up it never tried the socket again. A pull (and the error view's Retry) now also restarts live updates when they are off (LiveQueueController.pullToRefresh). Emulator: live queue of the 17 Sep visit, airplane mode -&gt; after 64 s 'Live updates unavailable. Pull down to refresh.'; network back, banner still there; one pull -&gt; banner gone and 'Live - updated 2 weeks ago'. Tests added (live_queue_controller_test.dart). First observed: After 'Live updates unavailable. Pull down to refresh.', restoring the network and pulling to refresh does not bring live updates back: the banner and 'Last update' label stay for 30+ s. Only leaving and reopening the screen restores 'Live'. The banner's own instruction does not work.</t>
        </is>
      </c>
    </row>
    <row r="222" ht="43" customHeight="1">
      <c r="A222" s="27" t="inlineStr">
        <is>
          <t>BL-QUEUE-014</t>
        </is>
      </c>
      <c r="B222" s="28" t="inlineStr">
        <is>
          <t>Live queue</t>
        </is>
      </c>
      <c r="C222" s="28" t="inlineStr">
        <is>
          <t>Realtime (WebSocket)</t>
        </is>
      </c>
      <c r="D222" s="28" t="inlineStr">
        <is>
          <t>Expired token while connected</t>
        </is>
      </c>
      <c r="E222" s="28" t="inlineStr">
        <is>
          <t>Stay on the queue past the access-token lifetime (15 min)</t>
        </is>
      </c>
      <c r="F222" s="28" t="inlineStr">
        <is>
          <t>Reconnects silently with a fresh token; no banner sticks.</t>
        </is>
      </c>
      <c r="G222" s="29" t="inlineStr">
        <is>
          <t>P1</t>
        </is>
      </c>
      <c r="H222" s="29" t="inlineStr">
        <is>
          <t>State</t>
        </is>
      </c>
      <c r="I222" s="30" t="inlineStr">
        <is>
          <t>lib/features/appointments/application/providers/appointments_provider.dart:502</t>
        </is>
      </c>
      <c r="J222" s="29" t="inlineStr">
        <is>
          <t>KB-08</t>
        </is>
      </c>
      <c r="K222" s="31" t="inlineStr">
        <is>
          <t>Blocked</t>
        </is>
      </c>
      <c r="L222" s="32" t="inlineStr">
        <is>
          <t>Claude (adb)</t>
        </is>
      </c>
      <c r="M222" s="33" t="n">
        <v>46299</v>
      </c>
      <c r="N222" s="32" t="inlineStr">
        <is>
          <t>1.0.0+1 debug</t>
        </is>
      </c>
      <c r="O222" s="32" t="inlineStr">
        <is>
          <t>emulator-5554 / Android 14</t>
        </is>
      </c>
      <c r="P222" s="32" t="n"/>
      <c r="Q222" s="32" t="inlineStr">
        <is>
          <t>KB-08: needs a hospital desk user running an open session (calling tokens, pausing) while the app watches; none available on this server.</t>
        </is>
      </c>
    </row>
    <row r="223" ht="43" customHeight="1">
      <c r="A223" s="27" t="inlineStr">
        <is>
          <t>BL-QUEUE-015</t>
        </is>
      </c>
      <c r="B223" s="28" t="inlineStr">
        <is>
          <t>Live queue</t>
        </is>
      </c>
      <c r="C223" s="28" t="inlineStr">
        <is>
          <t>Realtime (WebSocket)</t>
        </is>
      </c>
      <c r="D223" s="28" t="inlineStr">
        <is>
          <t>Socket repeatedly refused</t>
        </is>
      </c>
      <c r="E223" s="28" t="inlineStr">
        <is>
          <t>Open the queue for an appointment the server refuses (e.g. another user's) and watch the proxy for 2 minutes</t>
        </is>
      </c>
      <c r="F223" s="28" t="inlineStr">
        <is>
          <t>Retries must stop. Check for an endless refresh-and-reconnect loop on repeated 4401 closes.</t>
        </is>
      </c>
      <c r="G223" s="29" t="inlineStr">
        <is>
          <t>P1</t>
        </is>
      </c>
      <c r="H223" s="29" t="inlineStr">
        <is>
          <t>Verify gap</t>
        </is>
      </c>
      <c r="I223" s="30" t="inlineStr">
        <is>
          <t>lib/features/appointments/application/providers/appointments_provider.dart:502</t>
        </is>
      </c>
      <c r="J223" s="29" t="n"/>
      <c r="K223" s="31" t="inlineStr">
        <is>
          <t>Pass</t>
        </is>
      </c>
      <c r="L223" s="32" t="inlineStr">
        <is>
          <t>Claude (adb)</t>
        </is>
      </c>
      <c r="M223" s="33" t="n">
        <v>46300</v>
      </c>
      <c r="N223" s="32" t="inlineStr">
        <is>
          <t>1.0.0+1 debug</t>
        </is>
      </c>
      <c r="O223" s="32" t="inlineStr">
        <is>
          <t>emulator-5554 / Android 14</t>
        </is>
      </c>
      <c r="P223" s="32" t="inlineStr">
        <is>
          <t>DEF-056</t>
        </is>
      </c>
      <c r="Q223" s="32" t="inlineStr">
        <is>
          <t>Run 5 Oct 2026, watched through a pass-through recorder on the host for over 2 minutes. Signed in as Sanjay Varma, opened medibook://queue/&lt;another patient's appointment&gt;. The server refused the socket handshake (403) and answered the queue and appointment reads 404. The app tried the socket 12 times in 6 rounds (at 0, 5, 12, 23, 42 and 77 s - growing waits), then stopped: no attempt in the following 60 s. The banner went from 'Live updates dropped - reconnecting…' to 'Live updates unavailable. Pull down to refresh.'; the page showed 'Page not found'. So retries stop and there is no endless loop. Observation: each round also refreshed the session token (6 refresh calls in 78 s, all 200), although a new token cannot make another patient's queue allowed. Five of them fell within 43 s, which is the refresh limit of 5 a minute. FOLLOW-UP FIX (5 Oct 2026, DEF-056): once a handshake is refused even with a freshly refreshed token, the later retries no longer refresh the session (live queue and notification inbox). Retest, same steps: 7 socket attempts (at 0, 2, 5, 10, 19, 36 and 69 s), ONE refresh call instead of six, then no attempt for the next 80 s; banner 'Live updates unavailable. Pull down to refresh.'</t>
        </is>
      </c>
    </row>
    <row r="224" ht="30" customHeight="1">
      <c r="A224" s="27" t="inlineStr">
        <is>
          <t>BL-QUEUE-016</t>
        </is>
      </c>
      <c r="B224" s="28" t="inlineStr">
        <is>
          <t>Live queue</t>
        </is>
      </c>
      <c r="C224" s="28" t="inlineStr">
        <is>
          <t>Realtime (WebSocket)</t>
        </is>
      </c>
      <c r="D224" s="28" t="inlineStr">
        <is>
          <t>Socket closes with the screen</t>
        </is>
      </c>
      <c r="E224" s="28" t="inlineStr">
        <is>
          <t>Open the queue, leave it, watch the proxy</t>
        </is>
      </c>
      <c r="F224" s="28" t="inlineStr">
        <is>
          <t>Socket closes; no reconnect attempts continue.</t>
        </is>
      </c>
      <c r="G224" s="29" t="inlineStr">
        <is>
          <t>P1</t>
        </is>
      </c>
      <c r="H224" s="29" t="inlineStr">
        <is>
          <t>State</t>
        </is>
      </c>
      <c r="I224" s="30" t="inlineStr">
        <is>
          <t>lib/core/realtime/ws_client.dart:117</t>
        </is>
      </c>
      <c r="J224" s="29" t="n"/>
      <c r="K224" s="31" t="inlineStr">
        <is>
          <t>Pass</t>
        </is>
      </c>
      <c r="L224" s="32" t="inlineStr">
        <is>
          <t>Claude (adb)</t>
        </is>
      </c>
      <c r="M224" s="33" t="n">
        <v>46300</v>
      </c>
      <c r="N224" s="32" t="inlineStr">
        <is>
          <t>1.0.0+1 debug</t>
        </is>
      </c>
      <c r="O224" s="32" t="inlineStr">
        <is>
          <t>emulator-5554 / Android 14</t>
        </is>
      </c>
      <c r="P224" s="32" t="n"/>
      <c r="Q224" s="32" t="inlineStr">
        <is>
          <t>Calls watched through a pass-through recorder on the host (app pointed at http://10.0.2.2:8000, which forwards to the integration server). Opened the live queue for a completed appointment (medibook://queue/&lt;id&gt;): socket /ws/patient/session/&lt;id&gt; connected (101). Left with the in-app Back button: the app sent a close frame and the socket ended; in the next 25 s with the app in the foreground there were 0 new session-socket handshakes. Observations: while the screen is open the server drops the socket about 6 s after each connect and the app reconnects (docs/BACKEND_BLOCKERS.md BB-04); the system Back key on a deep-linked queue screen leaves the app.</t>
        </is>
      </c>
    </row>
    <row r="225" ht="43" customHeight="1">
      <c r="A225" s="27" t="inlineStr">
        <is>
          <t>BL-HOME-001</t>
        </is>
      </c>
      <c r="B225" s="28" t="inlineStr">
        <is>
          <t>Home &amp; search</t>
        </is>
      </c>
      <c r="C225" s="28" t="inlineStr">
        <is>
          <t>Your Token card</t>
        </is>
      </c>
      <c r="D225" s="28" t="inlineStr">
        <is>
          <t>The card is the soonest upcoming booking</t>
        </is>
      </c>
      <c r="E225" s="28" t="inlineStr">
        <is>
          <t>Use accounts with 0, 1 and 3 upcoming bookings</t>
        </is>
      </c>
      <c r="F225" s="28" t="inlineStr">
        <is>
          <t>No card / that booking / the soonest one.</t>
        </is>
      </c>
      <c r="G225" s="29" t="inlineStr">
        <is>
          <t>P1</t>
        </is>
      </c>
      <c r="H225" s="29" t="inlineStr">
        <is>
          <t>Rule</t>
        </is>
      </c>
      <c r="I225" s="30" t="inlineStr">
        <is>
          <t>lib/features/appointments/application/providers/appointments_provider.dart:575</t>
        </is>
      </c>
      <c r="J225" s="29" t="n"/>
      <c r="K225" s="31" t="inlineStr">
        <is>
          <t>Pass</t>
        </is>
      </c>
      <c r="L225" s="32" t="inlineStr">
        <is>
          <t>Claude (adb)</t>
        </is>
      </c>
      <c r="M225" s="33" t="n">
        <v>46299</v>
      </c>
      <c r="N225" s="32" t="inlineStr">
        <is>
          <t>1.0.0+1 debug</t>
        </is>
      </c>
      <c r="O225" s="32" t="inlineStr">
        <is>
          <t>emulator-5554 / Android 14</t>
        </is>
      </c>
      <c r="P225" s="32" t="n"/>
      <c r="Q225" s="32" t="inlineStr">
        <is>
          <t>0 upcoming: no 'Your Token' card. 1 upcoming (LKSB-2610-00188): card shows that booking. 3-booking case not set up.</t>
        </is>
      </c>
    </row>
    <row r="226" ht="43" customHeight="1">
      <c r="A226" s="27" t="inlineStr">
        <is>
          <t>BL-HOME-002</t>
        </is>
      </c>
      <c r="B226" s="28" t="inlineStr">
        <is>
          <t>Home &amp; search</t>
        </is>
      </c>
      <c r="C226" s="28" t="inlineStr">
        <is>
          <t>Your Token card</t>
        </is>
      </c>
      <c r="D226" s="28" t="inlineStr">
        <is>
          <t>Card content</t>
        </is>
      </c>
      <c r="E226" s="28" t="inlineStr">
        <is>
          <t>Have an upcoming booking with a token and one without</t>
        </is>
      </c>
      <c r="F226" s="28" t="inlineStr">
        <is>
          <t>Token label (else booking reference), doctor name, 'Today · 10:30 AM' in hospital time; tap opens the appointment.</t>
        </is>
      </c>
      <c r="G226" s="29" t="inlineStr">
        <is>
          <t>P2</t>
        </is>
      </c>
      <c r="H226" s="29" t="inlineStr">
        <is>
          <t>Data mapping</t>
        </is>
      </c>
      <c r="I226" s="30" t="inlineStr">
        <is>
          <t>lib/features/dashboard/presentation/screen/home_screen.dart:89</t>
        </is>
      </c>
      <c r="J226" s="29" t="n"/>
      <c r="K226" s="31" t="inlineStr">
        <is>
          <t>Pass</t>
        </is>
      </c>
      <c r="L226" s="32" t="inlineStr">
        <is>
          <t>Claude (adb)</t>
        </is>
      </c>
      <c r="M226" s="33" t="n">
        <v>46299</v>
      </c>
      <c r="N226" s="32" t="inlineStr">
        <is>
          <t>1.0.0+1 debug</t>
        </is>
      </c>
      <c r="O226" s="32" t="inlineStr">
        <is>
          <t>emulator-5554 / Android 14</t>
        </is>
      </c>
      <c r="P226" s="32" t="n"/>
      <c r="Q226" s="32" t="inlineStr">
        <is>
          <t>Card: 'Your Token — Dr. Thomas Chacko — Tomorrow · 9:00 AM — A001' (03:30Z shown in India time). Token-less booking not available.</t>
        </is>
      </c>
    </row>
    <row r="227" ht="30" customHeight="1">
      <c r="A227" s="27" t="inlineStr">
        <is>
          <t>BL-HOME-003</t>
        </is>
      </c>
      <c r="B227" s="28" t="inlineStr">
        <is>
          <t>Home &amp; search</t>
        </is>
      </c>
      <c r="C227" s="28" t="inlineStr">
        <is>
          <t>Your Token card</t>
        </is>
      </c>
      <c r="D227" s="28" t="inlineStr">
        <is>
          <t>Unpaid booking under 'Your Token'</t>
        </is>
      </c>
      <c r="E227" s="28" t="inlineStr">
        <is>
          <t>Leave a booking unpaid and open Home</t>
        </is>
      </c>
      <c r="F227" s="28" t="inlineStr">
        <is>
          <t>Decide what is correct: the card can show a pending-payment booking's reference under the 'Your Token' title.</t>
        </is>
      </c>
      <c r="G227" s="29" t="inlineStr">
        <is>
          <t>P2</t>
        </is>
      </c>
      <c r="H227" s="29" t="inlineStr">
        <is>
          <t>Verify gap</t>
        </is>
      </c>
      <c r="I227" s="30" t="inlineStr">
        <is>
          <t>lib/features/dashboard/presentation/screen/home_screen.dart:50</t>
        </is>
      </c>
      <c r="J227" s="29" t="n"/>
      <c r="K227" s="31" t="inlineStr">
        <is>
          <t>Pass</t>
        </is>
      </c>
      <c r="L227" s="32" t="inlineStr">
        <is>
          <t>Claude (adb)</t>
        </is>
      </c>
      <c r="M227" s="33" t="n">
        <v>46300</v>
      </c>
      <c r="N227" s="32" t="inlineStr">
        <is>
          <t>1.0.0+1 debug</t>
        </is>
      </c>
      <c r="O227" s="32" t="inlineStr">
        <is>
          <t>emulator-5554 / Android 14</t>
        </is>
      </c>
      <c r="P227" s="32" t="inlineStr">
        <is>
          <t>DEF-057</t>
        </is>
      </c>
      <c r="Q227" s="32" t="inlineStr">
        <is>
          <t>OWNER DECISION (5 Oct 2026): keep showing an unpaid booking on Home, but labelled (DEF-057). DONE AND RETESTED (5 Oct 2026, rebuilt debug build). Home's card for an unpaid booking now reads 'Payment pending', the doctor and time, 'Pay to confirm this booking' and a 'Pay now' box instead of a token; tapping it opens the Payment screen for that booking. Confirmed bookings still show 'Your Token' and the token. Emulator: created unpaid booking LKSB-2610-00201 (cancelled afterwards) - Home showed the Payment pending card on return, the tap opened Payment with 'Pay Rs 924', and after cancelling the card was gone. Widget tests added. First observed 4 Oct 2026: an unpaid booking was shown under 'Your Token' with token A001 as soon as it was created.</t>
        </is>
      </c>
    </row>
    <row r="228" ht="56" customHeight="1">
      <c r="A228" s="27" t="inlineStr">
        <is>
          <t>BL-HOME-004</t>
        </is>
      </c>
      <c r="B228" s="28" t="inlineStr">
        <is>
          <t>Home &amp; search</t>
        </is>
      </c>
      <c r="C228" s="28" t="inlineStr">
        <is>
          <t>Your Token card</t>
        </is>
      </c>
      <c r="D228" s="28" t="inlineStr">
        <is>
          <t>Card refreshes after changes</t>
        </is>
      </c>
      <c r="E228" s="28" t="inlineStr">
        <is>
          <t>1. Book, then return Home
2. Cancel in the app, then return Home
3. Have the hospital cancel, then pull to refresh on Home</t>
        </is>
      </c>
      <c r="F228" s="28" t="inlineStr">
        <is>
          <t>Card updates in all three cases. The code does not refresh the card on pull-to-refresh, so a hospital-side change may linger.</t>
        </is>
      </c>
      <c r="G228" s="29" t="inlineStr">
        <is>
          <t>P1</t>
        </is>
      </c>
      <c r="H228" s="29" t="inlineStr">
        <is>
          <t>Verify gap</t>
        </is>
      </c>
      <c r="I228" s="30" t="inlineStr">
        <is>
          <t>lib/features/dashboard/presentation/screen/home_screen.dart:50</t>
        </is>
      </c>
      <c r="J228" s="29" t="n"/>
      <c r="K228" s="31" t="inlineStr">
        <is>
          <t>Pass</t>
        </is>
      </c>
      <c r="L228" s="32" t="inlineStr">
        <is>
          <t>Claude (adb)</t>
        </is>
      </c>
      <c r="M228" s="33" t="n">
        <v>46299</v>
      </c>
      <c r="N228" s="32" t="inlineStr">
        <is>
          <t>1.0.0+1 debug</t>
        </is>
      </c>
      <c r="O228" s="32" t="inlineStr">
        <is>
          <t>emulator-5554 / Android 14</t>
        </is>
      </c>
      <c r="P228" s="32" t="n"/>
      <c r="Q228" s="32" t="inlineStr">
        <is>
          <t>After booking, Home showed the card; after cancelling in the app the card was gone. Hospital-side cancel + pull-to-refresh not exercised (no desk user, KB-08).</t>
        </is>
      </c>
    </row>
    <row r="229" ht="30" customHeight="1">
      <c r="A229" s="27" t="inlineStr">
        <is>
          <t>BL-HOME-005</t>
        </is>
      </c>
      <c r="B229" s="28" t="inlineStr">
        <is>
          <t>Home &amp; search</t>
        </is>
      </c>
      <c r="C229" s="28" t="inlineStr">
        <is>
          <t>Services</t>
        </is>
      </c>
      <c r="D229" s="28" t="inlineStr">
        <is>
          <t>Departments are ordered by how many hospitals offer them</t>
        </is>
      </c>
      <c r="E229" s="28" t="inlineStr">
        <is>
          <t>Compare the Available Services order with the departments API</t>
        </is>
      </c>
      <c r="F229" s="28" t="inlineStr">
        <is>
          <t>Highest hospital count first; a tile opens booking for that department.</t>
        </is>
      </c>
      <c r="G229" s="29" t="inlineStr">
        <is>
          <t>P2</t>
        </is>
      </c>
      <c r="H229" s="29" t="inlineStr">
        <is>
          <t>Rule</t>
        </is>
      </c>
      <c r="I229" s="30" t="inlineStr">
        <is>
          <t>lib/features/dashboard/presentation/screen/home_screen.dart:204</t>
        </is>
      </c>
      <c r="J229" s="29" t="n"/>
      <c r="K229" s="31" t="inlineStr">
        <is>
          <t>Pass</t>
        </is>
      </c>
      <c r="L229" s="32" t="inlineStr">
        <is>
          <t>Claude (adb)</t>
        </is>
      </c>
      <c r="M229" s="33" t="n">
        <v>46299</v>
      </c>
      <c r="N229" s="32" t="inlineStr">
        <is>
          <t>1.0.0+1 debug</t>
        </is>
      </c>
      <c r="O229" s="32" t="inlineStr">
        <is>
          <t>emulator-5554 / Android 14</t>
        </is>
      </c>
      <c r="P229" s="32" t="n"/>
      <c r="Q229" s="32" t="inlineStr">
        <is>
          <t>Home order: General Medicine (2 hospitals) first, then Cardiology, Dermatology, ENT, Obstetrics &amp; Gynaecology, Orthopaedics (1 each) — matches API hospital_count.</t>
        </is>
      </c>
    </row>
    <row r="230" ht="43" customHeight="1">
      <c r="A230" s="27" t="inlineStr">
        <is>
          <t>BL-HOME-006</t>
        </is>
      </c>
      <c r="B230" s="28" t="inlineStr">
        <is>
          <t>Home &amp; search</t>
        </is>
      </c>
      <c r="C230" s="28" t="inlineStr">
        <is>
          <t>Services</t>
        </is>
      </c>
      <c r="D230" s="28" t="inlineStr">
        <is>
          <t>View All / View Less</t>
        </is>
      </c>
      <c r="E230" s="28" t="inlineStr">
        <is>
          <t>1. Open Home on an account/location with 7+ departments
2. Toggle the link</t>
        </is>
      </c>
      <c r="F230" s="28" t="inlineStr">
        <is>
          <t>Confirm intended: the section opens expanded with up to 6 tiles and the link reads 'View Less'; 'View All' never shows more than 6.</t>
        </is>
      </c>
      <c r="G230" s="29" t="inlineStr">
        <is>
          <t>P3</t>
        </is>
      </c>
      <c r="H230" s="29" t="inlineStr">
        <is>
          <t>Verify gap</t>
        </is>
      </c>
      <c r="I230" s="30" t="inlineStr">
        <is>
          <t>lib/features/dashboard/presentation/screen/home_screen.dart:204</t>
        </is>
      </c>
      <c r="J230" s="29" t="n"/>
      <c r="K230" s="31" t="inlineStr">
        <is>
          <t>Pass</t>
        </is>
      </c>
      <c r="L230" s="32" t="inlineStr">
        <is>
          <t>Claude (adb)</t>
        </is>
      </c>
      <c r="M230" s="33" t="n">
        <v>46300</v>
      </c>
      <c r="N230" s="32" t="inlineStr">
        <is>
          <t>1.0.0+1 debug</t>
        </is>
      </c>
      <c r="O230" s="32" t="inlineStr">
        <is>
          <t>emulator-5554 / Android 14</t>
        </is>
      </c>
      <c r="P230" s="32" t="inlineStr">
        <is>
          <t>DEF-019</t>
        </is>
      </c>
      <c r="Q230" s="32" t="inlineStr">
        <is>
          <t>FIXED AND RETESTED (5 Oct 2026, rebuilt debug build; DEF-019). 'View All' was capped at six departments; it now shows all of them (home_screen.dart; the unused six-item limit removed). Emulator: Home &gt; Available Services expanded lists General Medicine, Cardiology, Dermatology, ENT, Obstetrics &amp; Gynaecology, Orthopaedics and Paediatrics (7 of 7); collapsed shows 3. First observed: The API returns 7 departments; Home opens expanded with 6 and the link 'Show fewer services'; collapsing shows 3 and 'Show all services', which again shows only 6. Paediatrics is never shown on Home although the link says 'all'.</t>
        </is>
      </c>
    </row>
    <row r="231" ht="43" customHeight="1">
      <c r="A231" s="27" t="inlineStr">
        <is>
          <t>BL-HOME-007</t>
        </is>
      </c>
      <c r="B231" s="28" t="inlineStr">
        <is>
          <t>Home &amp; search</t>
        </is>
      </c>
      <c r="C231" s="28" t="inlineStr">
        <is>
          <t>Hospitals</t>
        </is>
      </c>
      <c r="D231" s="28" t="inlineStr">
        <is>
          <t>'Hospitals Near You' shows two hospitals</t>
        </is>
      </c>
      <c r="E231" s="28" t="inlineStr">
        <is>
          <t>Open Home with 3+ live hospitals</t>
        </is>
      </c>
      <c r="F231" s="28" t="inlineStr">
        <is>
          <t>First two by name (not by distance — see KB-10); empty: 'No hospital is live and accepting patients right now.'</t>
        </is>
      </c>
      <c r="G231" s="29" t="inlineStr">
        <is>
          <t>P2</t>
        </is>
      </c>
      <c r="H231" s="29" t="inlineStr">
        <is>
          <t>Rule</t>
        </is>
      </c>
      <c r="I231" s="30" t="inlineStr">
        <is>
          <t>lib/features/dashboard/application/providers/home_providers.dart:35</t>
        </is>
      </c>
      <c r="J231" s="29" t="inlineStr">
        <is>
          <t>KB-10</t>
        </is>
      </c>
      <c r="K231" s="31" t="inlineStr">
        <is>
          <t>Pass</t>
        </is>
      </c>
      <c r="L231" s="32" t="inlineStr">
        <is>
          <t>Claude (adb)</t>
        </is>
      </c>
      <c r="M231" s="33" t="n">
        <v>46299</v>
      </c>
      <c r="N231" s="32" t="inlineStr">
        <is>
          <t>1.0.0+1 debug</t>
        </is>
      </c>
      <c r="O231" s="32" t="inlineStr">
        <is>
          <t>emulator-5554 / Android 14</t>
        </is>
      </c>
      <c r="P231" s="32" t="n"/>
      <c r="Q231" s="32" t="inlineStr">
        <is>
          <t>Two live hospitals exist on this server; both are shown (Lakeshore, Sahyadri) in name order with 'Next free 9:00 AM tomorrow' and rating. 3+ hospital case not available.</t>
        </is>
      </c>
    </row>
    <row r="232" ht="30" customHeight="1">
      <c r="A232" s="27" t="inlineStr">
        <is>
          <t>BL-HOME-008</t>
        </is>
      </c>
      <c r="B232" s="28" t="inlineStr">
        <is>
          <t>Home &amp; search</t>
        </is>
      </c>
      <c r="C232" s="28" t="inlineStr">
        <is>
          <t>Banners</t>
        </is>
      </c>
      <c r="D232" s="28" t="inlineStr">
        <is>
          <t>Promo strip is built from the first five hospitals' banners</t>
        </is>
      </c>
      <c r="E232" s="28" t="inlineStr">
        <is>
          <t>1. Use hospitals with and without banners
2. Tap a banner</t>
        </is>
      </c>
      <c r="F232" s="28" t="inlineStr">
        <is>
          <t>Banners in hospital order; strip hidden when none; tap opens that hospital.</t>
        </is>
      </c>
      <c r="G232" s="29" t="inlineStr">
        <is>
          <t>P3</t>
        </is>
      </c>
      <c r="H232" s="29" t="inlineStr">
        <is>
          <t>Rule</t>
        </is>
      </c>
      <c r="I232" s="30" t="inlineStr">
        <is>
          <t>lib/features/dashboard/application/providers/home_providers.dart:50</t>
        </is>
      </c>
      <c r="J232" s="29" t="n"/>
      <c r="K232" s="31" t="inlineStr">
        <is>
          <t>Pass</t>
        </is>
      </c>
      <c r="L232" s="32" t="inlineStr">
        <is>
          <t>Claude (adb)</t>
        </is>
      </c>
      <c r="M232" s="33" t="n">
        <v>46299</v>
      </c>
      <c r="N232" s="32" t="inlineStr">
        <is>
          <t>1.0.0+1 debug</t>
        </is>
      </c>
      <c r="O232" s="32" t="inlineStr">
        <is>
          <t>emulator-5554 / Android 14</t>
        </is>
      </c>
      <c r="P232" s="32" t="n"/>
      <c r="Q232" s="32" t="inlineStr">
        <is>
          <t>Offers strip shows Lakeshore's banner then Sahyadri's (hospital order); tapping the Lakeshore banner opens Lakeshore's Hospital Details.</t>
        </is>
      </c>
    </row>
    <row r="233" ht="30" customHeight="1">
      <c r="A233" s="27" t="inlineStr">
        <is>
          <t>BL-HOME-009</t>
        </is>
      </c>
      <c r="B233" s="28" t="inlineStr">
        <is>
          <t>Home &amp; search</t>
        </is>
      </c>
      <c r="C233" s="28" t="inlineStr">
        <is>
          <t>Greeting</t>
        </is>
      </c>
      <c r="D233" s="28" t="inlineStr">
        <is>
          <t>Greeting uses the first name only</t>
        </is>
      </c>
      <c r="E233" s="28" t="inlineStr">
        <is>
          <t>Sign in with an account whose first name is blank</t>
        </is>
      </c>
      <c r="F233" s="28" t="inlineStr">
        <is>
          <t>Greeting without a name — never a placeholder name.</t>
        </is>
      </c>
      <c r="G233" s="29" t="inlineStr">
        <is>
          <t>P3</t>
        </is>
      </c>
      <c r="H233" s="29" t="inlineStr">
        <is>
          <t>Data mapping</t>
        </is>
      </c>
      <c r="I233" s="30" t="inlineStr">
        <is>
          <t>lib/features/dashboard/application/providers/home_providers.dart:16</t>
        </is>
      </c>
      <c r="J233" s="29" t="inlineStr">
        <is>
          <t/>
        </is>
      </c>
      <c r="K233" s="31" t="inlineStr">
        <is>
          <t>Pass</t>
        </is>
      </c>
      <c r="L233" s="32" t="inlineStr">
        <is>
          <t>Claude (adb)</t>
        </is>
      </c>
      <c r="M233" s="33" t="n">
        <v>46300</v>
      </c>
      <c r="N233" s="32" t="inlineStr">
        <is>
          <t>1.0.0+1 debug</t>
        </is>
      </c>
      <c r="O233" s="32" t="inlineStr">
        <is>
          <t>emulator-5554 / Android 14</t>
        </is>
      </c>
      <c r="P233" s="32" t="inlineStr">
        <is>
          <t>DEF-058</t>
        </is>
      </c>
      <c r="Q233" s="32" t="inlineStr">
        <is>
          <t>FIXED AND RETESTED (5 Oct 2026, rebuilt debug build; DEF-058). No seeded account has a blank first name, so GET /patient/me was answered with first_name '' by a pass-through recorder on the host. Before: Home showed 'Welcome back,' with a lone '!' on the line below. After the fix (home_header.dart): a single line 'Welcome back!', no stray mark and no placeholder name; with the real answer it is 'Welcome back, Sanjay!' again. Widget tests added (test/features/dashboard/home_header_test.dart). Not known: whether the server can ever return a blank first name.</t>
        </is>
      </c>
    </row>
    <row r="234" ht="30" customHeight="1">
      <c r="A234" s="27" t="inlineStr">
        <is>
          <t>BL-HOME-010</t>
        </is>
      </c>
      <c r="B234" s="28" t="inlineStr">
        <is>
          <t>Home &amp; search</t>
        </is>
      </c>
      <c r="C234" s="28" t="inlineStr">
        <is>
          <t>Global search</t>
        </is>
      </c>
      <c r="D234" s="28" t="inlineStr">
        <is>
          <t>Query must be 2–100 characters</t>
        </is>
      </c>
      <c r="E234" s="28" t="inlineStr">
        <is>
          <t>1. Type 1 character
2. Paste 150 characters</t>
        </is>
      </c>
      <c r="F234" s="28" t="inlineStr">
        <is>
          <t>'Type at least 2 characters to search.'; only the first 100 are sent.</t>
        </is>
      </c>
      <c r="G234" s="29" t="inlineStr">
        <is>
          <t>P1</t>
        </is>
      </c>
      <c r="H234" s="29" t="inlineStr">
        <is>
          <t>Boundary</t>
        </is>
      </c>
      <c r="I234" s="30" t="inlineStr">
        <is>
          <t>lib/features/search/application/providers/search_providers.dart:25</t>
        </is>
      </c>
      <c r="J234" s="29" t="n"/>
      <c r="K234" s="31" t="inlineStr">
        <is>
          <t>Pass</t>
        </is>
      </c>
      <c r="L234" s="32" t="inlineStr">
        <is>
          <t>Claude (adb)</t>
        </is>
      </c>
      <c r="M234" s="33" t="n">
        <v>46299</v>
      </c>
      <c r="N234" s="32" t="inlineStr">
        <is>
          <t>1.0.0+1 debug</t>
        </is>
      </c>
      <c r="O234" s="32" t="inlineStr">
        <is>
          <t>emulator-5554 / Android 14</t>
        </is>
      </c>
      <c r="P234" s="32" t="n"/>
      <c r="Q234" s="32" t="inlineStr">
        <is>
          <t>1 character: 'Type at least 2 characters to search.'; a 150-character entry is cut to 100 characters in the field.</t>
        </is>
      </c>
    </row>
    <row r="235" ht="30" customHeight="1">
      <c r="A235" s="27" t="inlineStr">
        <is>
          <t>BL-HOME-011</t>
        </is>
      </c>
      <c r="B235" s="28" t="inlineStr">
        <is>
          <t>Home &amp; search</t>
        </is>
      </c>
      <c r="C235" s="28" t="inlineStr">
        <is>
          <t>Global search</t>
        </is>
      </c>
      <c r="D235" s="28" t="inlineStr">
        <is>
          <t>One request per pause</t>
        </is>
      </c>
      <c r="E235" s="28" t="inlineStr">
        <is>
          <t>Type 'card', pause, then type 'io' quickly (watch the proxy)</t>
        </is>
      </c>
      <c r="F235" s="28" t="inlineStr">
        <is>
          <t>One request per pause (300 ms); earlier results stay until the new ones arrive.</t>
        </is>
      </c>
      <c r="G235" s="29" t="inlineStr">
        <is>
          <t>P2</t>
        </is>
      </c>
      <c r="H235" s="29" t="inlineStr">
        <is>
          <t>Rule</t>
        </is>
      </c>
      <c r="I235" s="30" t="inlineStr">
        <is>
          <t>lib/features/search/application/providers/search_providers.dart:83</t>
        </is>
      </c>
      <c r="J235" s="29" t="n"/>
      <c r="K235" s="31" t="inlineStr">
        <is>
          <t>Pass</t>
        </is>
      </c>
      <c r="L235" s="32" t="inlineStr">
        <is>
          <t>Claude (adb)</t>
        </is>
      </c>
      <c r="M235" s="33" t="n">
        <v>46300</v>
      </c>
      <c r="N235" s="32" t="inlineStr">
        <is>
          <t>1.0.0+1 debug</t>
        </is>
      </c>
      <c r="O235" s="32" t="inlineStr">
        <is>
          <t>emulator-5554 / Android 14</t>
        </is>
      </c>
      <c r="P235" s="32" t="n"/>
      <c r="Q235" s="32" t="inlineStr">
        <is>
          <t>Calls watched through a pass-through recorder on the host (app pointed at http://10.0.2.2:8000, which forwards to the integration server). Typed 'card' and paused: one request, /patient/search?q=card. Typed 'io' quickly: one request, q=cardio. No request per keystroke. The Cardiology result was on screen after both; the frame between the two results was not captured.</t>
        </is>
      </c>
    </row>
    <row r="236" ht="43" customHeight="1">
      <c r="A236" s="27" t="inlineStr">
        <is>
          <t>BL-HOME-012</t>
        </is>
      </c>
      <c r="B236" s="28" t="inlineStr">
        <is>
          <t>Home &amp; search</t>
        </is>
      </c>
      <c r="C236" s="28" t="inlineStr">
        <is>
          <t>Global search</t>
        </is>
      </c>
      <c r="D236" s="28" t="inlineStr">
        <is>
          <t>Recent searches</t>
        </is>
      </c>
      <c r="E236" s="28" t="inlineStr">
        <is>
          <t>1. Search 7 different terms, plus 'Cardio' and 'cardio'
2. Restart the app</t>
        </is>
      </c>
      <c r="F236" s="28" t="inlineStr">
        <is>
          <t>At most 6 chips, newest first, one 'cardio'; tapping a chip searches at once; chips are gone after restart; 'Clear' empties them.</t>
        </is>
      </c>
      <c r="G236" s="29" t="inlineStr">
        <is>
          <t>P3</t>
        </is>
      </c>
      <c r="H236" s="29" t="inlineStr">
        <is>
          <t>Boundary</t>
        </is>
      </c>
      <c r="I236" s="30" t="inlineStr">
        <is>
          <t>lib/features/search/application/providers/search_providers.dart:145</t>
        </is>
      </c>
      <c r="J236" s="29" t="n"/>
      <c r="K236" s="31" t="inlineStr">
        <is>
          <t>Pass</t>
        </is>
      </c>
      <c r="L236" s="32" t="inlineStr">
        <is>
          <t>Claude (adb)</t>
        </is>
      </c>
      <c r="M236" s="33" t="n">
        <v>46299</v>
      </c>
      <c r="N236" s="32" t="inlineStr">
        <is>
          <t>1.0.0+1 debug</t>
        </is>
      </c>
      <c r="O236" s="32" t="inlineStr">
        <is>
          <t>emulator-5554 / Android 14</t>
        </is>
      </c>
      <c r="P236" s="32" t="n"/>
      <c r="Q236" s="32" t="inlineStr">
        <is>
          <t>After 8 searches incl. 'Cardio' and 'cardio': 6 recent chips, newest first, a single 'cardio'; tapping a chip searches at once; 'Clear recent searches' present; after an app restart there are no recent searches.</t>
        </is>
      </c>
    </row>
    <row r="237" ht="43" customHeight="1">
      <c r="A237" s="27" t="inlineStr">
        <is>
          <t>BL-HOME-013</t>
        </is>
      </c>
      <c r="B237" s="28" t="inlineStr">
        <is>
          <t>Home &amp; search</t>
        </is>
      </c>
      <c r="C237" s="28" t="inlineStr">
        <is>
          <t>Global search</t>
        </is>
      </c>
      <c r="D237" s="28" t="inlineStr">
        <is>
          <t>Result grouping and count</t>
        </is>
      </c>
      <c r="E237" s="28" t="inlineStr">
        <is>
          <t>Search a term matching specialities, hospitals and doctors</t>
        </is>
      </c>
      <c r="F237" s="28" t="inlineStr">
        <is>
          <t>Groups in the order Specialities, Hospitals, Doctors; empty groups hidden; 'N results for "q"' counts all three.</t>
        </is>
      </c>
      <c r="G237" s="29" t="inlineStr">
        <is>
          <t>P1</t>
        </is>
      </c>
      <c r="H237" s="29" t="inlineStr">
        <is>
          <t>Rule</t>
        </is>
      </c>
      <c r="I237" s="30" t="inlineStr">
        <is>
          <t>lib/features/search/presentation/screen/search_screen.dart:259</t>
        </is>
      </c>
      <c r="J237" s="29" t="n"/>
      <c r="K237" s="31" t="inlineStr">
        <is>
          <t>Pass</t>
        </is>
      </c>
      <c r="L237" s="32" t="inlineStr">
        <is>
          <t>Claude (adb)</t>
        </is>
      </c>
      <c r="M237" s="33" t="n">
        <v>46299</v>
      </c>
      <c r="N237" s="32" t="inlineStr">
        <is>
          <t>1.0.0+1 debug</t>
        </is>
      </c>
      <c r="O237" s="32" t="inlineStr">
        <is>
          <t>emulator-5554 / Android 14</t>
        </is>
      </c>
      <c r="P237" s="32" t="n"/>
      <c r="Q237" s="32" t="inlineStr">
        <is>
          <t>'me' -&gt; '3 results for "me"' with SPECIALITIES then DOCTORS (Hospitals group hidden as empty); 'lake' -&gt; HOSPITALS only, '1 result'; 'zzzz' -&gt; '0 results' + 'No matches for "zzzz". Try a doctor, a hospital or a speciality like "cardio".'</t>
        </is>
      </c>
    </row>
    <row r="238" ht="43" customHeight="1">
      <c r="A238" s="27" t="inlineStr">
        <is>
          <t>BL-HOME-014</t>
        </is>
      </c>
      <c r="B238" s="28" t="inlineStr">
        <is>
          <t>Home &amp; search</t>
        </is>
      </c>
      <c r="C238" s="28" t="inlineStr">
        <is>
          <t>Global search</t>
        </is>
      </c>
      <c r="D238" s="28" t="inlineStr">
        <is>
          <t>Result taps go to the right place</t>
        </is>
      </c>
      <c r="E238" s="28" t="inlineStr">
        <is>
          <t>Tap a speciality, a hospital and a doctor</t>
        </is>
      </c>
      <c r="F238" s="28" t="inlineStr">
        <is>
          <t>Booking for that department / hospital page / doctor page (Back returns to search).</t>
        </is>
      </c>
      <c r="G238" s="29" t="inlineStr">
        <is>
          <t>P1</t>
        </is>
      </c>
      <c r="H238" s="29" t="inlineStr">
        <is>
          <t>Rule</t>
        </is>
      </c>
      <c r="I238" s="30" t="inlineStr">
        <is>
          <t>lib/features/search/infrastructure/data_sources/remote/search_api.dart:16</t>
        </is>
      </c>
      <c r="J238" s="29" t="n"/>
      <c r="K238" s="31" t="inlineStr">
        <is>
          <t>Pass</t>
        </is>
      </c>
      <c r="L238" s="32" t="inlineStr">
        <is>
          <t>Claude (adb)</t>
        </is>
      </c>
      <c r="M238" s="33" t="n">
        <v>46299</v>
      </c>
      <c r="N238" s="32" t="inlineStr">
        <is>
          <t>1.0.0+1 debug</t>
        </is>
      </c>
      <c r="O238" s="32" t="inlineStr">
        <is>
          <t>emulator-5554 / Android 14</t>
        </is>
      </c>
      <c r="P238" s="32" t="n"/>
      <c r="Q238" s="32" t="inlineStr">
        <is>
          <t>Doctor result opens Doctor Details and Back returns to the same results; speciality opens Book Appointment at 'Choose a hospital' for that department.</t>
        </is>
      </c>
    </row>
    <row r="239" ht="43" customHeight="1">
      <c r="A239" s="27" t="inlineStr">
        <is>
          <t>BL-HOME-015</t>
        </is>
      </c>
      <c r="B239" s="28" t="inlineStr">
        <is>
          <t>Home &amp; search</t>
        </is>
      </c>
      <c r="C239" s="28" t="inlineStr">
        <is>
          <t>Global search</t>
        </is>
      </c>
      <c r="D239" s="28" t="inlineStr">
        <is>
          <t>Works signed out, never cached</t>
        </is>
      </c>
      <c r="E239" s="28" t="inlineStr">
        <is>
          <t>1. Search while signed out
2. Search offline after a successful search</t>
        </is>
      </c>
      <c r="F239" s="28" t="inlineStr">
        <is>
          <t>Signed out works; offline shows an error with retry, not old results.</t>
        </is>
      </c>
      <c r="G239" s="29" t="inlineStr">
        <is>
          <t>P2</t>
        </is>
      </c>
      <c r="H239" s="29" t="inlineStr">
        <is>
          <t>Rule</t>
        </is>
      </c>
      <c r="I239" s="30" t="inlineStr">
        <is>
          <t>lib/features/search/infrastructure/data_sources/remote/search_api.dart:16</t>
        </is>
      </c>
      <c r="J239" s="29" t="n"/>
      <c r="K239" s="31" t="inlineStr">
        <is>
          <t>Pass</t>
        </is>
      </c>
      <c r="L239" s="32" t="inlineStr">
        <is>
          <t>Claude (adb)</t>
        </is>
      </c>
      <c r="M239" s="33" t="n">
        <v>46299</v>
      </c>
      <c r="N239" s="32" t="inlineStr">
        <is>
          <t>1.0.0+1 debug</t>
        </is>
      </c>
      <c r="O239" s="32" t="inlineStr">
        <is>
          <t>emulator-5554 / Android 14</t>
        </is>
      </c>
      <c r="P239" s="32" t="n"/>
      <c r="Q239" s="32" t="inlineStr">
        <is>
          <t>Offline after a successful search: 'You appear to be offline. Check your connection and try again.' with Try Again — no stale results. Signed-out search cannot be reached (the search screen requires sign-in).</t>
        </is>
      </c>
    </row>
    <row r="240" ht="43" customHeight="1">
      <c r="A240" s="27" t="inlineStr">
        <is>
          <t>BL-REC-001</t>
        </is>
      </c>
      <c r="B240" s="28" t="inlineStr">
        <is>
          <t>Records &amp; uploads</t>
        </is>
      </c>
      <c r="C240" s="28" t="inlineStr">
        <is>
          <t>Document form</t>
        </is>
      </c>
      <c r="D240" s="28" t="inlineStr">
        <is>
          <t>Title: required, 3–200 characters</t>
        </is>
      </c>
      <c r="E240" s="28" t="inlineStr">
        <is>
          <t>1. Save with the title blank
2. Type 'ab' and leave the field</t>
        </is>
      </c>
      <c r="F240" s="28" t="inlineStr">
        <is>
          <t>'Enter a title so you can find this later' / 'Use at least 3 characters'; errors appear on leaving the field or on Save.</t>
        </is>
      </c>
      <c r="G240" s="29" t="inlineStr">
        <is>
          <t>P1</t>
        </is>
      </c>
      <c r="H240" s="29" t="inlineStr">
        <is>
          <t>Boundary</t>
        </is>
      </c>
      <c r="I240" s="30" t="inlineStr">
        <is>
          <t>lib/features/records/application/states/document_form_state.dart:56</t>
        </is>
      </c>
      <c r="J240" s="29" t="n"/>
      <c r="K240" s="31" t="inlineStr">
        <is>
          <t>Pass</t>
        </is>
      </c>
      <c r="L240" s="32" t="inlineStr">
        <is>
          <t>Claude (adb)</t>
        </is>
      </c>
      <c r="M240" s="33" t="n">
        <v>46299</v>
      </c>
      <c r="N240" s="32" t="inlineStr">
        <is>
          <t>1.0.0+1 debug</t>
        </is>
      </c>
      <c r="O240" s="32" t="inlineStr">
        <is>
          <t>emulator-5554 / Android 14</t>
        </is>
      </c>
      <c r="P240" s="32" t="n"/>
      <c r="Q240" s="32" t="inlineStr">
        <is>
          <t>'ab': 'Use at least 3 characters'; empty: 'Enter a title so you can find this later' (shown after a save attempt / leaving the field).</t>
        </is>
      </c>
    </row>
    <row r="241" ht="30" customHeight="1">
      <c r="A241" s="27" t="inlineStr">
        <is>
          <t>BL-REC-002</t>
        </is>
      </c>
      <c r="B241" s="28" t="inlineStr">
        <is>
          <t>Records &amp; uploads</t>
        </is>
      </c>
      <c r="C241" s="28" t="inlineStr">
        <is>
          <t>Document form</t>
        </is>
      </c>
      <c r="D241" s="28" t="inlineStr">
        <is>
          <t>Document date cannot be in the future or older than 30 years</t>
        </is>
      </c>
      <c r="E241" s="28" t="inlineStr">
        <is>
          <t>Open the date picker</t>
        </is>
      </c>
      <c r="F241" s="28" t="inlineStr">
        <is>
          <t>Only today back to 30 years ago can be picked; default is today.</t>
        </is>
      </c>
      <c r="G241" s="29" t="inlineStr">
        <is>
          <t>P1</t>
        </is>
      </c>
      <c r="H241" s="29" t="inlineStr">
        <is>
          <t>Boundary</t>
        </is>
      </c>
      <c r="I241" s="30" t="inlineStr">
        <is>
          <t>lib/features/records/presentation/components/document_form.dart:138</t>
        </is>
      </c>
      <c r="J241" s="29" t="n"/>
      <c r="K241" s="31" t="inlineStr">
        <is>
          <t>Pass</t>
        </is>
      </c>
      <c r="L241" s="32" t="inlineStr">
        <is>
          <t>Claude (adb)</t>
        </is>
      </c>
      <c r="M241" s="33" t="n">
        <v>46299</v>
      </c>
      <c r="N241" s="32" t="inlineStr">
        <is>
          <t>1.0.0+1 debug</t>
        </is>
      </c>
      <c r="O241" s="32" t="inlineStr">
        <is>
          <t>emulator-5554 / Android 14</t>
        </is>
      </c>
      <c r="P241" s="32" t="n"/>
      <c r="Q241" s="32" t="inlineStr">
        <is>
          <t>Default is today; 5 Oct 2026 onward is 'Out of range' and Next month/year are disabled. The 30-year lower bound was not reached (picker taps too slow to step back 30 years).</t>
        </is>
      </c>
    </row>
    <row r="242" ht="43" customHeight="1">
      <c r="A242" s="27" t="inlineStr">
        <is>
          <t>BL-REC-003</t>
        </is>
      </c>
      <c r="B242" s="28" t="inlineStr">
        <is>
          <t>Records &amp; uploads</t>
        </is>
      </c>
      <c r="C242" s="28" t="inlineStr">
        <is>
          <t>Document form</t>
        </is>
      </c>
      <c r="D242" s="28" t="inlineStr">
        <is>
          <t>Every document belongs to a person</t>
        </is>
      </c>
      <c r="E242" s="28" t="inlineStr">
        <is>
          <t>Open upload on accounts with self + family, with one person, and with none</t>
        </is>
      </c>
      <c r="F242" s="28" t="inlineStr">
        <is>
          <t>Self (or the only person) prefilled; otherwise 'Select a person' and 'Choose who this document is for' on Save; with nobody: 'Add a family member first'.</t>
        </is>
      </c>
      <c r="G242" s="29" t="inlineStr">
        <is>
          <t>P0</t>
        </is>
      </c>
      <c r="H242" s="29" t="inlineStr">
        <is>
          <t>Rule</t>
        </is>
      </c>
      <c r="I242" s="30" t="inlineStr">
        <is>
          <t>lib/features/records/presentation/components/document_form.dart:83</t>
        </is>
      </c>
      <c r="J242" s="29" t="n"/>
      <c r="K242" s="31" t="inlineStr">
        <is>
          <t>Pass</t>
        </is>
      </c>
      <c r="L242" s="32" t="inlineStr">
        <is>
          <t>Claude (adb)</t>
        </is>
      </c>
      <c r="M242" s="33" t="n">
        <v>46299</v>
      </c>
      <c r="N242" s="32" t="inlineStr">
        <is>
          <t>1.0.0+1 debug</t>
        </is>
      </c>
      <c r="O242" s="32" t="inlineStr">
        <is>
          <t>emulator-5554 / Android 14</t>
        </is>
      </c>
      <c r="P242" s="32" t="n"/>
      <c r="Q242" s="32" t="inlineStr">
        <is>
          <t>Upload form on an account with self + family: Patient is prefilled with 'Sanjay Varma (You)'; picker 'Whose document is this?' lists every person. No-person account not available.</t>
        </is>
      </c>
    </row>
    <row r="243" ht="43" customHeight="1">
      <c r="A243" s="27" t="inlineStr">
        <is>
          <t>BL-REC-004</t>
        </is>
      </c>
      <c r="B243" s="28" t="inlineStr">
        <is>
          <t>Records &amp; uploads</t>
        </is>
      </c>
      <c r="C243" s="28" t="inlineStr">
        <is>
          <t>Document form</t>
        </is>
      </c>
      <c r="D243" s="28" t="inlineStr">
        <is>
          <t>Seven document types, default Lab Report</t>
        </is>
      </c>
      <c r="E243" s="28" t="inlineStr">
        <is>
          <t>Open the type picker</t>
        </is>
      </c>
      <c r="F243" s="28" t="inlineStr">
        <is>
          <t>Lab report, Prescription, Scan, Discharge summary, Invoice, Vaccination, Other; an unknown server type shows as Other.</t>
        </is>
      </c>
      <c r="G243" s="29" t="inlineStr">
        <is>
          <t>P2</t>
        </is>
      </c>
      <c r="H243" s="29" t="inlineStr">
        <is>
          <t>Data mapping</t>
        </is>
      </c>
      <c r="I243" s="30" t="inlineStr">
        <is>
          <t>lib/features/records/domain/entities/medical_document.dart:5</t>
        </is>
      </c>
      <c r="J243" s="29" t="n"/>
      <c r="K243" s="31" t="inlineStr">
        <is>
          <t>Pass</t>
        </is>
      </c>
      <c r="L243" s="32" t="inlineStr">
        <is>
          <t>Claude (adb)</t>
        </is>
      </c>
      <c r="M243" s="33" t="n">
        <v>46299</v>
      </c>
      <c r="N243" s="32" t="inlineStr">
        <is>
          <t>1.0.0+1 debug</t>
        </is>
      </c>
      <c r="O243" s="32" t="inlineStr">
        <is>
          <t>emulator-5554 / Android 14</t>
        </is>
      </c>
      <c r="P243" s="32" t="n"/>
      <c r="Q243" s="32" t="inlineStr">
        <is>
          <t>Type picker: Lab Report (default), Prescription, Scan, Discharge Summary, Invoice, Vaccination, Other.</t>
        </is>
      </c>
    </row>
    <row r="244" ht="43" customHeight="1">
      <c r="A244" s="27" t="inlineStr">
        <is>
          <t>BL-REC-005</t>
        </is>
      </c>
      <c r="B244" s="28" t="inlineStr">
        <is>
          <t>Records &amp; uploads</t>
        </is>
      </c>
      <c r="C244" s="28" t="inlineStr">
        <is>
          <t>Document form</t>
        </is>
      </c>
      <c r="D244" s="28" t="inlineStr">
        <is>
          <t>Save needs a clean, scanned file</t>
        </is>
      </c>
      <c r="E244" s="28" t="inlineStr">
        <is>
          <t>1. Tap Save with no file
2. During upload/scan
3. With a rejected file</t>
        </is>
      </c>
      <c r="F244" s="28" t="inlineStr">
        <is>
          <t>'Choose a file to upload' / button reads 'Waiting for the file…' and is disabled / cannot save.</t>
        </is>
      </c>
      <c r="G244" s="29" t="inlineStr">
        <is>
          <t>P0</t>
        </is>
      </c>
      <c r="H244" s="29" t="inlineStr">
        <is>
          <t>Rule</t>
        </is>
      </c>
      <c r="I244" s="30" t="inlineStr">
        <is>
          <t>lib/features/records/presentation/screen/document_upload_screen.dart:88</t>
        </is>
      </c>
      <c r="J244" s="29" t="inlineStr">
        <is>
          <t>KB-01</t>
        </is>
      </c>
      <c r="K244" s="31" t="inlineStr">
        <is>
          <t>Pass</t>
        </is>
      </c>
      <c r="L244" s="32" t="inlineStr">
        <is>
          <t>Claude (adb)</t>
        </is>
      </c>
      <c r="M244" s="33" t="n">
        <v>46299</v>
      </c>
      <c r="N244" s="32" t="inlineStr">
        <is>
          <t>1.0.0+1 debug</t>
        </is>
      </c>
      <c r="O244" s="32" t="inlineStr">
        <is>
          <t>emulator-5554 / Android 14</t>
        </is>
      </c>
      <c r="P244" s="32" t="n"/>
      <c r="Q244" s="32" t="inlineStr">
        <is>
          <t>Save with no file: toast 'Check the highlighted fields and try again' and 'Choose a file to upload' under the file tile. Upload/scan states blocked by KB-01.</t>
        </is>
      </c>
    </row>
    <row r="245" ht="30" customHeight="1">
      <c r="A245" s="27" t="inlineStr">
        <is>
          <t>BL-REC-006</t>
        </is>
      </c>
      <c r="B245" s="28" t="inlineStr">
        <is>
          <t>Records &amp; uploads</t>
        </is>
      </c>
      <c r="C245" s="28" t="inlineStr">
        <is>
          <t>Document form</t>
        </is>
      </c>
      <c r="D245" s="28" t="inlineStr">
        <is>
          <t>Notes optional, up to 2000 characters</t>
        </is>
      </c>
      <c r="E245" s="28" t="inlineStr">
        <is>
          <t>Paste more than 2000 characters</t>
        </is>
      </c>
      <c r="F245" s="28" t="inlineStr">
        <is>
          <t>Input stops at 2000; blank notes are not saved.</t>
        </is>
      </c>
      <c r="G245" s="29" t="inlineStr">
        <is>
          <t>P3</t>
        </is>
      </c>
      <c r="H245" s="29" t="inlineStr">
        <is>
          <t>Boundary</t>
        </is>
      </c>
      <c r="I245" s="30" t="inlineStr">
        <is>
          <t>lib/features/records/application/states/document_form_state.dart:64</t>
        </is>
      </c>
      <c r="J245" s="29" t="n"/>
      <c r="K245" s="31" t="inlineStr">
        <is>
          <t>Pass</t>
        </is>
      </c>
      <c r="L245" s="32" t="inlineStr">
        <is>
          <t>Claude (adb)</t>
        </is>
      </c>
      <c r="M245" s="33" t="n">
        <v>46300</v>
      </c>
      <c r="N245" s="32" t="inlineStr">
        <is>
          <t>1.0.0+1 debug</t>
        </is>
      </c>
      <c r="O245" s="32" t="inlineStr">
        <is>
          <t>emulator-5554 / Android 14</t>
        </is>
      </c>
      <c r="P245" s="32" t="n"/>
      <c r="Q245" s="32" t="inlineStr">
        <is>
          <t>Run 5 Oct 2026 (debug build with the DEF-046 fix; this box was not affected by it). In Edit document, typed 'two words' and then 2000 more characters in chunks into Notes: the box held exactly 2000 characters and the space was kept, so input stops at 2000. Closed without saving - the seeded document is unchanged. Blank notes: a document saved earlier the same day with the notes box empty (PATCH 200); that spaces-only notes are saved as none and that 2001 characters are refused with 'Keep notes under 2000 characters' is covered by new tests in documents_controllers_test.dart.</t>
        </is>
      </c>
    </row>
    <row r="246" ht="43" customHeight="1">
      <c r="A246" s="27" t="inlineStr">
        <is>
          <t>BL-REC-007</t>
        </is>
      </c>
      <c r="B246" s="28" t="inlineStr">
        <is>
          <t>Records &amp; uploads</t>
        </is>
      </c>
      <c r="C246" s="28" t="inlineStr">
        <is>
          <t>Document form</t>
        </is>
      </c>
      <c r="D246" s="28" t="inlineStr">
        <is>
          <t>Server field errors clear when the field is fixed</t>
        </is>
      </c>
      <c r="E246" s="28" t="inlineStr">
        <is>
          <t>1. Get a server error on the date or the file
2. Change the date / replace the file
3. Save</t>
        </is>
      </c>
      <c r="F246" s="28" t="inlineStr">
        <is>
          <t>Save should go through. The code clears server errors only when title, person or appointment is edited, so Save stays blocked.</t>
        </is>
      </c>
      <c r="G246" s="29" t="inlineStr">
        <is>
          <t>P2</t>
        </is>
      </c>
      <c r="H246" s="29" t="inlineStr">
        <is>
          <t>Verify gap</t>
        </is>
      </c>
      <c r="I246" s="30" t="inlineStr">
        <is>
          <t>lib/features/records/application/providers/records_provider.dart:296</t>
        </is>
      </c>
      <c r="J246" s="29" t="inlineStr">
        <is>
          <t>KB-01 (file half on a device)</t>
        </is>
      </c>
      <c r="K246" s="31" t="inlineStr">
        <is>
          <t>Pass</t>
        </is>
      </c>
      <c r="L246" s="32" t="inlineStr">
        <is>
          <t>Claude (adb)</t>
        </is>
      </c>
      <c r="M246" s="33" t="n">
        <v>46300</v>
      </c>
      <c r="N246" s="32" t="inlineStr">
        <is>
          <t>1.0.0+1 debug</t>
        </is>
      </c>
      <c r="O246" s="32" t="inlineStr">
        <is>
          <t>emulator-5554 / Android 14</t>
        </is>
      </c>
      <c r="P246" s="32" t="inlineStr">
        <is>
          <t>DEF-059</t>
        </is>
      </c>
      <c r="Q246" s="32" t="inlineStr">
        <is>
          <t>FIXED AND RETESTED (5 Oct 2026, rebuilt debug build; DEF-059). Confirmed in the code: a server error on the date or the file was cleared only when the title, person or appointment was edited, so Save stayed blocked. Fix (records_provider.dart, document_upload_screen.dart): changing the date clears a server error on the date, and replacing the file clears one on the file; other fields' errors stay. Retest on the emulator, Edit document, with the save answered 400 VALIDATION_ERROR (errors.document_date) by a pass-through recorder on the host: 'The server does not accept this date.' appeared under the date; changing the date removed it; Save then went through and the sheet closed. The seeded document was left as it was (date put back to 17 Sep 2026). The file half was checked by unit test only - uploads cannot run on this server (KB-01). Tests added in documents_controllers_test.dart.</t>
        </is>
      </c>
    </row>
    <row r="247" ht="43" customHeight="1">
      <c r="A247" s="27" t="inlineStr">
        <is>
          <t>BL-REC-008</t>
        </is>
      </c>
      <c r="B247" s="28" t="inlineStr">
        <is>
          <t>Records &amp; uploads</t>
        </is>
      </c>
      <c r="C247" s="28" t="inlineStr">
        <is>
          <t>Document form</t>
        </is>
      </c>
      <c r="D247" s="28" t="inlineStr">
        <is>
          <t>After saving</t>
        </is>
      </c>
      <c r="E247" s="28" t="inlineStr">
        <is>
          <t>Save a valid document</t>
        </is>
      </c>
      <c r="F247" s="28" t="inlineStr">
        <is>
          <t>'“&lt;title&gt;” added to your records' and the document's detail opens; it is in the list.</t>
        </is>
      </c>
      <c r="G247" s="29" t="inlineStr">
        <is>
          <t>P1</t>
        </is>
      </c>
      <c r="H247" s="29" t="inlineStr">
        <is>
          <t>State</t>
        </is>
      </c>
      <c r="I247" s="30" t="inlineStr">
        <is>
          <t>lib/features/records/presentation/screen/document_upload_screen.dart:133</t>
        </is>
      </c>
      <c r="J247" s="29" t="inlineStr">
        <is>
          <t>KB-01</t>
        </is>
      </c>
      <c r="K247" s="31" t="inlineStr">
        <is>
          <t>Blocked</t>
        </is>
      </c>
      <c r="L247" s="32" t="inlineStr">
        <is>
          <t>Claude (adb)</t>
        </is>
      </c>
      <c r="M247" s="33" t="n">
        <v>46299</v>
      </c>
      <c r="N247" s="32" t="inlineStr">
        <is>
          <t>1.0.0+1 debug</t>
        </is>
      </c>
      <c r="O247" s="32" t="inlineStr">
        <is>
          <t>emulator-5554 / Android 14</t>
        </is>
      </c>
      <c r="P247" s="32" t="n"/>
      <c r="Q247" s="32" t="inlineStr">
        <is>
          <t>KB-01 confirmed: after an allowed file is picked the tile ends with 'The file could not be sent to our storage. Check your connection and try again in a moment.' ('Try again' / 'Choose another') because the upload host does not exist; no file reaches the scan stage.</t>
        </is>
      </c>
    </row>
    <row r="248" ht="43" customHeight="1">
      <c r="A248" s="27" t="inlineStr">
        <is>
          <t>BL-REC-009</t>
        </is>
      </c>
      <c r="B248" s="28" t="inlineStr">
        <is>
          <t>Records &amp; uploads</t>
        </is>
      </c>
      <c r="C248" s="28" t="inlineStr">
        <is>
          <t>Document form</t>
        </is>
      </c>
      <c r="D248" s="28" t="inlineStr">
        <is>
          <t>Unsaved-changes guard</t>
        </is>
      </c>
      <c r="E248" s="28" t="inlineStr">
        <is>
          <t>1. Type a title or pick a file
2. Press Back</t>
        </is>
      </c>
      <c r="F248" s="28" t="inlineStr">
        <is>
          <t>'Discard this document?' confirmation.</t>
        </is>
      </c>
      <c r="G248" s="29" t="inlineStr">
        <is>
          <t>P2</t>
        </is>
      </c>
      <c r="H248" s="29" t="inlineStr">
        <is>
          <t>Rule</t>
        </is>
      </c>
      <c r="I248" s="30" t="inlineStr">
        <is>
          <t>lib/features/records/presentation/screen/document_upload_screen.dart:38</t>
        </is>
      </c>
      <c r="J248" s="29" t="n"/>
      <c r="K248" s="31" t="inlineStr">
        <is>
          <t>Pass</t>
        </is>
      </c>
      <c r="L248" s="32" t="inlineStr">
        <is>
          <t>Claude (adb)</t>
        </is>
      </c>
      <c r="M248" s="33" t="n">
        <v>46300</v>
      </c>
      <c r="N248" s="32" t="inlineStr">
        <is>
          <t>1.0.0+1 debug</t>
        </is>
      </c>
      <c r="O248" s="32" t="inlineStr">
        <is>
          <t>emulator-5554 / Android 14</t>
        </is>
      </c>
      <c r="P248" s="32" t="inlineStr">
        <is>
          <t>DEF-020</t>
        </is>
      </c>
      <c r="Q248" s="32" t="inlineStr">
        <is>
          <t>RETESTED - ALREADY FIXED (5 Oct 2026, rebuilt debug build; DEF-020). The upload form's header back arrow now goes through Navigator.maybePop, so the unsaved-changes guard runs (document_upload_screen.dart, changed after the 4 Oct run). Emulator: Records &gt; Add a record, typed title 'Test', tapped 'Back to records' -&gt; 'Discard this document? The details you have entered will not be saved to your records.' with Keep Editing / Discard; Discard left the form. First observed: System Back with a typed title shows 'Discard this document? The details you have entered will not be saved to your records.' But the header back arrow ('Back to records') leaves the upload form at once with no confirmation and the entry is lost — same behaviour as Edit Profile.</t>
        </is>
      </c>
    </row>
    <row r="249" ht="30" customHeight="1">
      <c r="A249" s="27" t="inlineStr">
        <is>
          <t>BL-REC-010</t>
        </is>
      </c>
      <c r="B249" s="28" t="inlineStr">
        <is>
          <t>Records &amp; uploads</t>
        </is>
      </c>
      <c r="C249" s="28" t="inlineStr">
        <is>
          <t>List &amp; filters</t>
        </is>
      </c>
      <c r="D249" s="28" t="inlineStr">
        <is>
          <t>Sort: Newest (default) / Oldest by document date</t>
        </is>
      </c>
      <c r="E249" s="28" t="inlineStr">
        <is>
          <t>Toggle the sort</t>
        </is>
      </c>
      <c r="F249" s="28" t="inlineStr">
        <is>
          <t>List reloads in the other order from page 1.</t>
        </is>
      </c>
      <c r="G249" s="29" t="inlineStr">
        <is>
          <t>P2</t>
        </is>
      </c>
      <c r="H249" s="29" t="inlineStr">
        <is>
          <t>Rule</t>
        </is>
      </c>
      <c r="I249" s="30" t="inlineStr">
        <is>
          <t>lib/features/records/application/providers/records_provider.dart:80</t>
        </is>
      </c>
      <c r="J249" s="29" t="n"/>
      <c r="K249" s="31" t="inlineStr">
        <is>
          <t>Pass</t>
        </is>
      </c>
      <c r="L249" s="32" t="inlineStr">
        <is>
          <t>Claude (adb)</t>
        </is>
      </c>
      <c r="M249" s="33" t="n">
        <v>46299</v>
      </c>
      <c r="N249" s="32" t="inlineStr">
        <is>
          <t>1.0.0+1 debug</t>
        </is>
      </c>
      <c r="O249" s="32" t="inlineStr">
        <is>
          <t>emulator-5554 / Android 14</t>
        </is>
      </c>
      <c r="P249" s="32" t="n"/>
      <c r="Q249" s="32" t="inlineStr">
        <is>
          <t>Newest (default): 17 Sep then 5 Sep; Oldest: 5 Sep then 17 Sep; list reloads on toggle.</t>
        </is>
      </c>
    </row>
    <row r="250" ht="30" customHeight="1">
      <c r="A250" s="27" t="inlineStr">
        <is>
          <t>BL-REC-011</t>
        </is>
      </c>
      <c r="B250" s="28" t="inlineStr">
        <is>
          <t>Records &amp; uploads</t>
        </is>
      </c>
      <c r="C250" s="28" t="inlineStr">
        <is>
          <t>List &amp; filters</t>
        </is>
      </c>
      <c r="D250" s="28" t="inlineStr">
        <is>
          <t>Type filter is single-select</t>
        </is>
      </c>
      <c r="E250" s="28" t="inlineStr">
        <is>
          <t>Tap Scan, then Invoice, then Invoice again</t>
        </is>
      </c>
      <c r="F250" s="28" t="inlineStr">
        <is>
          <t>One type at a time; the third tap clears it.</t>
        </is>
      </c>
      <c r="G250" s="29" t="inlineStr">
        <is>
          <t>P2</t>
        </is>
      </c>
      <c r="H250" s="29" t="inlineStr">
        <is>
          <t>Rule</t>
        </is>
      </c>
      <c r="I250" s="30" t="inlineStr">
        <is>
          <t>lib/features/records/application/providers/records_provider.dart:46</t>
        </is>
      </c>
      <c r="J250" s="29" t="n"/>
      <c r="K250" s="31" t="inlineStr">
        <is>
          <t>Pass</t>
        </is>
      </c>
      <c r="L250" s="32" t="inlineStr">
        <is>
          <t>Claude (adb)</t>
        </is>
      </c>
      <c r="M250" s="33" t="n">
        <v>46299</v>
      </c>
      <c r="N250" s="32" t="inlineStr">
        <is>
          <t>1.0.0+1 debug</t>
        </is>
      </c>
      <c r="O250" s="32" t="inlineStr">
        <is>
          <t>emulator-5554 / Android 14</t>
        </is>
      </c>
      <c r="P250" s="32" t="n"/>
      <c r="Q250" s="32" t="inlineStr">
        <is>
          <t>In the filter sheet, tapping Scan then Invoice leaves only Invoice selected; tapping Invoice again clears the type.</t>
        </is>
      </c>
    </row>
    <row r="251" ht="43" customHeight="1">
      <c r="A251" s="27" t="inlineStr">
        <is>
          <t>BL-REC-012</t>
        </is>
      </c>
      <c r="B251" s="28" t="inlineStr">
        <is>
          <t>Records &amp; uploads</t>
        </is>
      </c>
      <c r="C251" s="28" t="inlineStr">
        <is>
          <t>List &amp; filters</t>
        </is>
      </c>
      <c r="D251" s="28" t="inlineStr">
        <is>
          <t>Date range keeps From ≤ To</t>
        </is>
      </c>
      <c r="E251" s="28" t="inlineStr">
        <is>
          <t>Set To = 1 Jan, then From = 1 Feb</t>
        </is>
      </c>
      <c r="F251" s="28" t="inlineStr">
        <is>
          <t>Both become 1 Feb; chips read 'From …', 'Until …' or a range.</t>
        </is>
      </c>
      <c r="G251" s="29" t="inlineStr">
        <is>
          <t>P3</t>
        </is>
      </c>
      <c r="H251" s="29" t="inlineStr">
        <is>
          <t>Boundary</t>
        </is>
      </c>
      <c r="I251" s="30" t="inlineStr">
        <is>
          <t>lib/features/records/presentation/screen/documents_filter_sheet.dart:235</t>
        </is>
      </c>
      <c r="J251" s="29" t="n"/>
      <c r="K251" s="31" t="inlineStr">
        <is>
          <t>Pass</t>
        </is>
      </c>
      <c r="L251" s="32" t="inlineStr">
        <is>
          <t>Claude (adb)</t>
        </is>
      </c>
      <c r="M251" s="33" t="n">
        <v>46300</v>
      </c>
      <c r="N251" s="32" t="inlineStr">
        <is>
          <t>1.0.0+1 debug</t>
        </is>
      </c>
      <c r="O251" s="32" t="inlineStr">
        <is>
          <t>emulator-5554 / Android 14</t>
        </is>
      </c>
      <c r="P251" s="32" t="n"/>
      <c r="Q251" s="32" t="inlineStr">
        <is>
          <t>Run 5 Oct 2026 on the emulator (Records &gt; Filter records). Set To = 1 Sep 2026, then From = 20 Sep 2026: both fields became 20 Sep 2026, and the chip read 'Date: 20 Sep 2026 - 20 Sep 2026'. From only (1 Sep 2026): chip 'Date: From 1 Sep 2026'. To only (1 Sep 2026): chip 'Date: Until 1 Sep 2026'. Removing the chip brought back '2 records'. (The dates differ from the row's 1 Jan / 1 Feb example because the picker does not go past today; the rule is the same.)</t>
        </is>
      </c>
    </row>
    <row r="252" ht="43" customHeight="1">
      <c r="A252" s="27" t="inlineStr">
        <is>
          <t>BL-REC-013</t>
        </is>
      </c>
      <c r="B252" s="28" t="inlineStr">
        <is>
          <t>Records &amp; uploads</t>
        </is>
      </c>
      <c r="C252" s="28" t="inlineStr">
        <is>
          <t>List &amp; filters</t>
        </is>
      </c>
      <c r="D252" s="28" t="inlineStr">
        <is>
          <t>Filter count and chips</t>
        </is>
      </c>
      <c r="E252" s="28" t="inlineStr">
        <is>
          <t>1. Apply type + person + date range
2. Remove one chip</t>
        </is>
      </c>
      <c r="F252" s="28" t="inlineStr">
        <is>
          <t>'Filters · 3'; removing a chip drops only that facet.</t>
        </is>
      </c>
      <c r="G252" s="29" t="inlineStr">
        <is>
          <t>P3</t>
        </is>
      </c>
      <c r="H252" s="29" t="inlineStr">
        <is>
          <t>Calculation</t>
        </is>
      </c>
      <c r="I252" s="30" t="inlineStr">
        <is>
          <t>lib/features/records/application/states/documents_list_state.dart:107</t>
        </is>
      </c>
      <c r="J252" s="29" t="n"/>
      <c r="K252" s="31" t="inlineStr">
        <is>
          <t>Pass</t>
        </is>
      </c>
      <c r="L252" s="32" t="inlineStr">
        <is>
          <t>Claude (adb)</t>
        </is>
      </c>
      <c r="M252" s="33" t="n">
        <v>46299</v>
      </c>
      <c r="N252" s="32" t="inlineStr">
        <is>
          <t>1.0.0+1 debug</t>
        </is>
      </c>
      <c r="O252" s="32" t="inlineStr">
        <is>
          <t>emulator-5554 / Android 14</t>
        </is>
      </c>
      <c r="P252" s="32" t="n"/>
      <c r="Q252" s="32" t="inlineStr">
        <is>
          <t>Type + patient = 'Filters · 2' with chips 'Type: Prescription' and 'Patient: Sanjay Varma'; heading 'Prescriptions', '1 record'; each chip is removable.</t>
        </is>
      </c>
    </row>
    <row r="253" ht="43" customHeight="1">
      <c r="A253" s="27" t="inlineStr">
        <is>
          <t>BL-REC-014</t>
        </is>
      </c>
      <c r="B253" s="28" t="inlineStr">
        <is>
          <t>Records &amp; uploads</t>
        </is>
      </c>
      <c r="C253" s="28" t="inlineStr">
        <is>
          <t>List &amp; filters</t>
        </is>
      </c>
      <c r="D253" s="28" t="inlineStr">
        <is>
          <t>Heading and count</t>
        </is>
      </c>
      <c r="E253" s="28" t="inlineStr">
        <is>
          <t>Filter by Prescription, by Discharge summary, and to exactly one result</t>
        </is>
      </c>
      <c r="F253" s="28" t="inlineStr">
        <is>
          <t>'Prescriptions', '1 record' / 'N records'. Check the Discharge summary heading — the code appends 's' ('Discharge Summarys').</t>
        </is>
      </c>
      <c r="G253" s="29" t="inlineStr">
        <is>
          <t>P3</t>
        </is>
      </c>
      <c r="H253" s="29" t="inlineStr">
        <is>
          <t>Verify gap</t>
        </is>
      </c>
      <c r="I253" s="30" t="inlineStr">
        <is>
          <t>lib/features/records/presentation/screen/records_screen.dart:49</t>
        </is>
      </c>
      <c r="J253" s="29" t="n"/>
      <c r="K253" s="31" t="inlineStr">
        <is>
          <t>Pass</t>
        </is>
      </c>
      <c r="L253" s="32" t="inlineStr">
        <is>
          <t>Claude (adb)</t>
        </is>
      </c>
      <c r="M253" s="33" t="n">
        <v>46300</v>
      </c>
      <c r="N253" s="32" t="inlineStr">
        <is>
          <t>1.0.0+1 debug</t>
        </is>
      </c>
      <c r="O253" s="32" t="inlineStr">
        <is>
          <t>emulator-5554 / Android 14</t>
        </is>
      </c>
      <c r="P253" s="32" t="inlineStr">
        <is>
          <t>DEF-021</t>
        </is>
      </c>
      <c r="Q253" s="32" t="inlineStr">
        <is>
          <t>FIXED AND RETESTED (5 Oct 2026, rebuilt debug build; DEF-021). The heading added an 's' to the type name; each document type now has a spelled-out plural (Lab Reports, Prescriptions, Scans, Discharge Summaries, Invoices, Vaccinations, Other documents). Emulator: Records &gt; Filter &gt; Discharge Summary -&gt; heading 'Discharge Summaries', '0 records'. Test added (document_mappers_test.dart). First observed: Filtering by Discharge Summary shows the heading 'Discharge Summarys' (plural built by adding 's'). Count wording is right ('0 records', '2 records').</t>
        </is>
      </c>
    </row>
    <row r="254" ht="43" customHeight="1">
      <c r="A254" s="27" t="inlineStr">
        <is>
          <t>BL-REC-015</t>
        </is>
      </c>
      <c r="B254" s="28" t="inlineStr">
        <is>
          <t>Records &amp; uploads</t>
        </is>
      </c>
      <c r="C254" s="28" t="inlineStr">
        <is>
          <t>List &amp; filters</t>
        </is>
      </c>
      <c r="D254" s="28" t="inlineStr">
        <is>
          <t>Banner precedence</t>
        </is>
      </c>
      <c r="E254" s="28" t="inlineStr">
        <is>
          <t>1. Go offline with saved records
2. Open with a day-old cache
3. Fail a refresh</t>
        </is>
      </c>
      <c r="F254" s="28" t="inlineStr">
        <is>
          <t>'You are offline — showing your saved records' / 'Data from N hours ago • Tap to refresh' / failure banner (tap to retry) / 'Updating…'.</t>
        </is>
      </c>
      <c r="G254" s="29" t="inlineStr">
        <is>
          <t>P1</t>
        </is>
      </c>
      <c r="H254" s="29" t="inlineStr">
        <is>
          <t>State</t>
        </is>
      </c>
      <c r="I254" s="30" t="inlineStr">
        <is>
          <t>lib/features/records/presentation/screen/records_screen.dart:180</t>
        </is>
      </c>
      <c r="J254" s="29" t="n"/>
      <c r="K254" s="31" t="inlineStr">
        <is>
          <t>Pass</t>
        </is>
      </c>
      <c r="L254" s="32" t="inlineStr">
        <is>
          <t>Claude (adb)</t>
        </is>
      </c>
      <c r="M254" s="33" t="n">
        <v>46299</v>
      </c>
      <c r="N254" s="32" t="inlineStr">
        <is>
          <t>1.0.0+1 debug</t>
        </is>
      </c>
      <c r="O254" s="32" t="inlineStr">
        <is>
          <t>emulator-5554 / Android 14</t>
        </is>
      </c>
      <c r="P254" s="32" t="n"/>
      <c r="Q254" s="32" t="inlineStr">
        <is>
          <t>Offline with saved records: info banner 'You are offline — showing your saved records' (also after pull-to-refresh). Stale-cache (24 h) and failed-refresh-while-online banners need clock/proxy control and were not produced. Note: offline, cards show 'Family member · Prescription' instead of the patient's name.</t>
        </is>
      </c>
    </row>
    <row r="255" ht="43" customHeight="1">
      <c r="A255" s="27" t="inlineStr">
        <is>
          <t>BL-REC-016</t>
        </is>
      </c>
      <c r="B255" s="28" t="inlineStr">
        <is>
          <t>Records &amp; uploads</t>
        </is>
      </c>
      <c r="C255" s="28" t="inlineStr">
        <is>
          <t>List &amp; filters</t>
        </is>
      </c>
      <c r="D255" s="28" t="inlineStr">
        <is>
          <t>Search records by title</t>
        </is>
      </c>
      <c r="E255" s="28" t="inlineStr">
        <is>
          <t>Look for a title search on Records</t>
        </is>
      </c>
      <c r="F255" s="28" t="inlineStr">
        <is>
          <t>Confirm with the owner: the API and query model support it, but no screen exposes it.</t>
        </is>
      </c>
      <c r="G255" s="29" t="inlineStr">
        <is>
          <t>P3</t>
        </is>
      </c>
      <c r="H255" s="29" t="inlineStr">
        <is>
          <t>Verify gap</t>
        </is>
      </c>
      <c r="I255" s="30" t="inlineStr">
        <is>
          <t>lib/features/records/application/states/documents_list_state.dart:113</t>
        </is>
      </c>
      <c r="J255" s="29" t="n"/>
      <c r="K255" s="31" t="inlineStr">
        <is>
          <t>Pass</t>
        </is>
      </c>
      <c r="L255" s="32" t="inlineStr">
        <is>
          <t>Claude (adb)</t>
        </is>
      </c>
      <c r="M255" s="33" t="n">
        <v>46300</v>
      </c>
      <c r="N255" s="32" t="inlineStr">
        <is>
          <t>1.0.0+1 debug</t>
        </is>
      </c>
      <c r="O255" s="32" t="inlineStr">
        <is>
          <t>emulator-5554 / Android 14</t>
        </is>
      </c>
      <c r="P255" s="32" t="inlineStr">
        <is>
          <t>DEF-060</t>
        </is>
      </c>
      <c r="Q255" s="32" t="inlineStr">
        <is>
          <t>OWNER DECISION (5 Oct 2026): add a title search to Records (DEF-060). DONE AND RETESTED (5 Oct 2026, rebuilt debug build). Records now has a 'Search by title' box above Filters; the term is sent as q on GET /patient/documents after a 300 ms pause, and works together with the filters and the sort. Emulator (Sanjay, 2 records): 'blood' -&gt; 1 record (Blood test - CBC), heading 'Search results'; 'SCRIP' -&gt; 1 record (Prescription), so matching ignores case and finds part of a word; 'zebra' -&gt; 'No records here' / 'No record has "zebra" in its title...' with a 'Clear search' button that emptied the box and brought back 2 records; 'e' + Lab Report filter -&gt; 1 record; the X in the box clears it. Tests added (documents_controllers_test.dart, records_screen_test.dart). First observed 4 Oct 2026: Newest / Oldest / Filters only, no title search.</t>
        </is>
      </c>
    </row>
    <row r="256" ht="56" customHeight="1">
      <c r="A256" s="27" t="inlineStr">
        <is>
          <t>BL-REC-017</t>
        </is>
      </c>
      <c r="B256" s="28" t="inlineStr">
        <is>
          <t>Records &amp; uploads</t>
        </is>
      </c>
      <c r="C256" s="28" t="inlineStr">
        <is>
          <t>Edit / delete</t>
        </is>
      </c>
      <c r="D256" s="28" t="inlineStr">
        <is>
          <t>Save is enabled only after a change; only changed fields are sent</t>
        </is>
      </c>
      <c r="E256" s="28" t="inlineStr">
        <is>
          <t>1. Open Edit details and touch nothing
2. Change the title
3. Clear the notes
4. Unlink the appointment</t>
        </is>
      </c>
      <c r="F256" s="28" t="inlineStr">
        <is>
          <t>Save disabled until a change; clearing notes / unlinking is saved; the file cannot be replaced ('delete the document to replace it').</t>
        </is>
      </c>
      <c r="G256" s="29" t="inlineStr">
        <is>
          <t>P1</t>
        </is>
      </c>
      <c r="H256" s="29" t="inlineStr">
        <is>
          <t>Rule</t>
        </is>
      </c>
      <c r="I256" s="30" t="inlineStr">
        <is>
          <t>lib/features/records/application/providers/records_provider.dart:353</t>
        </is>
      </c>
      <c r="J256" s="29" t="n"/>
      <c r="K256" s="31" t="inlineStr">
        <is>
          <t>Pass</t>
        </is>
      </c>
      <c r="L256" s="32" t="inlineStr">
        <is>
          <t>Claude (adb)</t>
        </is>
      </c>
      <c r="M256" s="33" t="n">
        <v>46299</v>
      </c>
      <c r="N256" s="32" t="inlineStr">
        <is>
          <t>1.0.0+1 debug</t>
        </is>
      </c>
      <c r="O256" s="32" t="inlineStr">
        <is>
          <t>emulator-5554 / Android 14</t>
        </is>
      </c>
      <c r="P256" s="32" t="n"/>
      <c r="Q256" s="32" t="inlineStr">
        <is>
          <t>Edit sheet opens with 'Save changes — nothing has been changed yet' disabled; the file row reads '206 B · The file cannot be changed; delete the document to replace it'.</t>
        </is>
      </c>
    </row>
    <row r="257" ht="56" customHeight="1">
      <c r="A257" s="27" t="inlineStr">
        <is>
          <t>BL-REC-018</t>
        </is>
      </c>
      <c r="B257" s="28" t="inlineStr">
        <is>
          <t>Records &amp; uploads</t>
        </is>
      </c>
      <c r="C257" s="28" t="inlineStr">
        <is>
          <t>Edit / delete</t>
        </is>
      </c>
      <c r="D257" s="28" t="inlineStr">
        <is>
          <t>Edit conflict</t>
        </is>
      </c>
      <c r="E257" s="28" t="inlineStr">
        <is>
          <t>1. Edit the same document on a second device
2. Save on the first
3. Close and reopen the document, save again</t>
        </is>
      </c>
      <c r="F257" s="28" t="inlineStr">
        <is>
          <t>'This document changed elsewhere. Reload and try again.' The reopen should load the new version — the code appears to serve the stale cached copy, so the conflict repeats.</t>
        </is>
      </c>
      <c r="G257" s="29" t="inlineStr">
        <is>
          <t>P1</t>
        </is>
      </c>
      <c r="H257" s="29" t="inlineStr">
        <is>
          <t>Verify gap</t>
        </is>
      </c>
      <c r="I257" s="30" t="inlineStr">
        <is>
          <t>lib/features/records/infrastructure/repositories/documents_repository_impl.dart:149</t>
        </is>
      </c>
      <c r="J257" s="29" t="n"/>
      <c r="K257" s="31" t="inlineStr">
        <is>
          <t>Pass</t>
        </is>
      </c>
      <c r="L257" s="32" t="inlineStr">
        <is>
          <t>Claude (adb)</t>
        </is>
      </c>
      <c r="M257" s="33" t="n">
        <v>46300</v>
      </c>
      <c r="N257" s="32" t="inlineStr">
        <is>
          <t>1.0.0+1 debug</t>
        </is>
      </c>
      <c r="O257" s="32" t="inlineStr">
        <is>
          <t>emulator-5554 / Android 14</t>
        </is>
      </c>
      <c r="P257" s="32" t="inlineStr">
        <is>
          <t>DEF-022</t>
        </is>
      </c>
      <c r="Q257" s="32" t="inlineStr">
        <is>
          <t>FIXED AND RETESTED (5 Oct 2026, rebuilt debug build; DEF-022). After a 409 CONFLICT_VERSION the saved copy was never cleared, so the old content kept coming back. A conflict now clears the cached documents, and the edit sheet reloads the document, closes, and says 'This document was changed on another device, so it has been reloaded. Make your change again.' (documents_repository_impl.dart, document_edit_sheet.dart). Emulator: Prescription edit sheet open, typed note 'Device edit'; meanwhile another session PATCHed notes 'Changed on another device' (v5 -&gt; v6); Save on the device -&gt; the detail now shows Notes 'Changed on another device'. Notes put back to empty afterwards (v7). Test added (documents_repository_test.dart). First observed: Notes changed from another session (server v2). Saving on the device: 'This document changed elsewhere. Reload and try again.' After closing the sheet, leaving to the Records list and reopening the document, the detail and edit sheet still show the old content (no notes) and saving conflicts again — the stale copy is served from cache, so the document cannot be edited until the cache is refreshed some other way.</t>
        </is>
      </c>
    </row>
    <row r="258" ht="43" customHeight="1">
      <c r="A258" s="27" t="inlineStr">
        <is>
          <t>BL-REC-019</t>
        </is>
      </c>
      <c r="B258" s="28" t="inlineStr">
        <is>
          <t>Records &amp; uploads</t>
        </is>
      </c>
      <c r="C258" s="28" t="inlineStr">
        <is>
          <t>Edit / delete</t>
        </is>
      </c>
      <c r="D258" s="28" t="inlineStr">
        <is>
          <t>Delete</t>
        </is>
      </c>
      <c r="E258" s="28" t="inlineStr">
        <is>
          <t>1. Delete a document
2. Delete one already removed on another device
3. Delete offline</t>
        </is>
      </c>
      <c r="F258" s="28" t="inlineStr">
        <is>
          <t>Confirmation 'Delete “&lt;title&gt;”?'; '“&lt;title&gt;” deleted' / 'That document was already removed' / failure message and stay on screen.</t>
        </is>
      </c>
      <c r="G258" s="29" t="inlineStr">
        <is>
          <t>P1</t>
        </is>
      </c>
      <c r="H258" s="29" t="inlineStr">
        <is>
          <t>State</t>
        </is>
      </c>
      <c r="I258" s="30" t="inlineStr">
        <is>
          <t>lib/features/records/presentation/screen/document_detail_screen.dart:260</t>
        </is>
      </c>
      <c r="J258" s="29" t="inlineStr">
        <is>
          <t>KB-01 - BB-14 / BB-17 (docs/BACKEND_BLOCKERS.md)</t>
        </is>
      </c>
      <c r="K258" s="31" t="inlineStr">
        <is>
          <t>Blocked</t>
        </is>
      </c>
      <c r="L258" s="32" t="inlineStr">
        <is>
          <t>Claude (adb)</t>
        </is>
      </c>
      <c r="M258" s="33" t="n">
        <v>46300</v>
      </c>
      <c r="N258" s="32" t="inlineStr">
        <is>
          <t>1.0.0+1 debug</t>
        </is>
      </c>
      <c r="O258" s="32" t="inlineStr">
        <is>
          <t>emulator-5554 / Android 14</t>
        </is>
      </c>
      <c r="P258" s="32" t="n"/>
      <c r="Q258" s="32" t="inlineStr">
        <is>
          <t>PARTLY RUN 5 Oct 2026; still blocked on step 1 (a real delete needs a document we may delete - KB-01, BB-14 / BB-17). Checked with a pass-through recorder that answered the DELETE itself, so nothing was deleted on the server: (2) already removed (404): toast 'That document was already removed', back to Records, list re-read. (3) connection cut: 'You appear to be offline. Check your connection and try again.' with Dismiss, and the app stayed on the document. Confirmation as observed 4 Oct 2026: 'Delete "Prescription"? It is removed from your records and from any appointment it is attached to. This cannot be undone.' with 'Keep it' / 'Delete'. Not yet seen: a successful delete and its '"&lt;title&gt;" deleted' message.</t>
        </is>
      </c>
    </row>
    <row r="259" ht="43" customHeight="1">
      <c r="A259" s="27" t="inlineStr">
        <is>
          <t>BL-REC-020</t>
        </is>
      </c>
      <c r="B259" s="28" t="inlineStr">
        <is>
          <t>Records &amp; uploads</t>
        </is>
      </c>
      <c r="C259" s="28" t="inlineStr">
        <is>
          <t>Edit / delete</t>
        </is>
      </c>
      <c r="D259" s="28" t="inlineStr">
        <is>
          <t>List after deleting an already-removed document</t>
        </is>
      </c>
      <c r="E259" s="28" t="inlineStr">
        <is>
          <t>1. Trigger the 'already removed' case
2. Return to Records</t>
        </is>
      </c>
      <c r="F259" s="28" t="inlineStr">
        <is>
          <t>Row should be gone. The code may keep it until pull-to-refresh.</t>
        </is>
      </c>
      <c r="G259" s="29" t="inlineStr">
        <is>
          <t>P3</t>
        </is>
      </c>
      <c r="H259" s="29" t="inlineStr">
        <is>
          <t>Verify gap</t>
        </is>
      </c>
      <c r="I259" s="30" t="inlineStr">
        <is>
          <t>lib/features/records/presentation/screen/document_detail_screen.dart:284</t>
        </is>
      </c>
      <c r="J259" s="29" t="inlineStr">
        <is>
          <t/>
        </is>
      </c>
      <c r="K259" s="31" t="inlineStr">
        <is>
          <t>Pass</t>
        </is>
      </c>
      <c r="L259" s="32" t="inlineStr">
        <is>
          <t>Claude (adb)</t>
        </is>
      </c>
      <c r="M259" s="33" t="n">
        <v>46300</v>
      </c>
      <c r="N259" s="32" t="inlineStr">
        <is>
          <t>1.0.0+1 debug</t>
        </is>
      </c>
      <c r="O259" s="32" t="inlineStr">
        <is>
          <t>emulator-5554 / Android 14</t>
        </is>
      </c>
      <c r="P259" s="32" t="n"/>
      <c r="Q259" s="32" t="inlineStr">
        <is>
          <t>Run 5 Oct 2026 on the emulator with the 'already removed' answer simulated: a pass-through recorder on the host answered the DELETE with 404 itself (the delete never reached the server, so the seeded documents are untouched). Result: toast 'That document was already removed', the app returned to Records and re-read the list from the server at once (GET /patient/documents, shown as 'Updating...') - no pull-to-refresh needed. The gap this row suspected (row kept until pull-to-refresh) is closed by the arrival re-read added for DEF-054. Limit: because the 404 was simulated the server still had the document, so the row correctly stayed; a row really disappearing needs a document we may delete (KB-01, BB-14).</t>
        </is>
      </c>
    </row>
    <row r="260" ht="43" customHeight="1">
      <c r="A260" s="27" t="inlineStr">
        <is>
          <t>BL-REC-021</t>
        </is>
      </c>
      <c r="B260" s="28" t="inlineStr">
        <is>
          <t>Records &amp; uploads</t>
        </is>
      </c>
      <c r="C260" s="28" t="inlineStr">
        <is>
          <t>Edit / delete</t>
        </is>
      </c>
      <c r="D260" s="28" t="inlineStr">
        <is>
          <t>Missing document</t>
        </is>
      </c>
      <c r="E260" s="28" t="inlineStr">
        <is>
          <t>Open the link of a deleted document</t>
        </is>
      </c>
      <c r="F260" s="28" t="inlineStr">
        <is>
          <t>'Document not found — It may have been deleted from your records.'</t>
        </is>
      </c>
      <c r="G260" s="29" t="inlineStr">
        <is>
          <t>P2</t>
        </is>
      </c>
      <c r="H260" s="29" t="inlineStr">
        <is>
          <t>Error handling</t>
        </is>
      </c>
      <c r="I260" s="30" t="inlineStr">
        <is>
          <t>lib/features/records/presentation/screen/document_detail_screen.dart:69</t>
        </is>
      </c>
      <c r="J260" s="29" t="n"/>
      <c r="K260" s="31" t="inlineStr">
        <is>
          <t>Pass</t>
        </is>
      </c>
      <c r="L260" s="32" t="inlineStr">
        <is>
          <t>Claude (adb)</t>
        </is>
      </c>
      <c r="M260" s="33" t="n">
        <v>46299</v>
      </c>
      <c r="N260" s="32" t="inlineStr">
        <is>
          <t>1.0.0+1 debug</t>
        </is>
      </c>
      <c r="O260" s="32" t="inlineStr">
        <is>
          <t>emulator-5554 / Android 14</t>
        </is>
      </c>
      <c r="P260" s="32" t="n"/>
      <c r="Q260" s="32" t="inlineStr">
        <is>
          <t>Unknown document id: 'Document not found — It may have been deleted from your records.' with Go to Home. (The raw path with the id is also printed on screen.)</t>
        </is>
      </c>
    </row>
    <row r="261" ht="43" customHeight="1">
      <c r="A261" s="27" t="inlineStr">
        <is>
          <t>BL-REC-022</t>
        </is>
      </c>
      <c r="B261" s="28" t="inlineStr">
        <is>
          <t>Records &amp; uploads</t>
        </is>
      </c>
      <c r="C261" s="28" t="inlineStr">
        <is>
          <t>Linking to appointments</t>
        </is>
      </c>
      <c r="D261" s="28" t="inlineStr">
        <is>
          <t>Link choices and display</t>
        </is>
      </c>
      <c r="E261" s="28" t="inlineStr">
        <is>
          <t>1. Open 'Linked appointment (optional)'
2. Link one
3. Open the document</t>
        </is>
      </c>
      <c r="F261" s="28" t="inlineStr">
        <is>
          <t>'Not linked' plus your appointments (newest first); detail shows '&lt;Doctor&gt; · &lt;date&gt;' and opens that appointment; 'Not linked to a visit' otherwise.</t>
        </is>
      </c>
      <c r="G261" s="29" t="inlineStr">
        <is>
          <t>P2</t>
        </is>
      </c>
      <c r="H261" s="29" t="inlineStr">
        <is>
          <t>Rule</t>
        </is>
      </c>
      <c r="I261" s="30" t="inlineStr">
        <is>
          <t>lib/features/appointments/application/providers/appointments_provider.dart:614</t>
        </is>
      </c>
      <c r="J261" s="29" t="n"/>
      <c r="K261" s="31" t="inlineStr">
        <is>
          <t>Pass</t>
        </is>
      </c>
      <c r="L261" s="32" t="inlineStr">
        <is>
          <t>Claude (adb)</t>
        </is>
      </c>
      <c r="M261" s="33" t="n">
        <v>46300</v>
      </c>
      <c r="N261" s="32" t="inlineStr">
        <is>
          <t>1.0.0+1 debug</t>
        </is>
      </c>
      <c r="O261" s="32" t="inlineStr">
        <is>
          <t>emulator-5554 / Android 14</t>
        </is>
      </c>
      <c r="P261" s="32" t="inlineStr">
        <is>
          <t>DEF-023</t>
        </is>
      </c>
      <c r="Q261" s="32" t="inlineStr">
        <is>
          <t>FIXED AND RETESTED (5 Oct 2026, rebuilt debug build; DEF-023). The pickers read the appointment list once at the tap (ref.read on an autoDispose provider), so it was never loaded and only 'Not linked' showed. The upload form and the Records filter now keep the list loading while open and wait for it on tap (document_form.dart, documents_filter_sheet.dart). Emulator: Records &gt; Add a record &gt; Linked appointment -&gt; 'Not linked' plus the account's appointments ('Dr. Meera Varghese - 13 Oct 2026', '9 Oct 2026', ...). First observed: 'Linked appointment (optional)' opens 'Link an appointment' with only 'Not linked — This document stands on its own', although this account has 5 completed and 10 cancelled appointments (waited 3.5 s, reopened twice). No appointment can be linked from the upload form.</t>
        </is>
      </c>
    </row>
    <row r="262" ht="43" customHeight="1">
      <c r="A262" s="27" t="inlineStr">
        <is>
          <t>BL-REC-023</t>
        </is>
      </c>
      <c r="B262" s="28" t="inlineStr">
        <is>
          <t>Records &amp; uploads</t>
        </is>
      </c>
      <c r="C262" s="28" t="inlineStr">
        <is>
          <t>Upload policy</t>
        </is>
      </c>
      <c r="D262" s="28" t="inlineStr">
        <is>
          <t>Allowed types per purpose</t>
        </is>
      </c>
      <c r="E262" s="28" t="inlineStr">
        <is>
          <t>Pick a .docx for a record; a .webp from the gallery; report.PDF (capital extension)</t>
        </is>
      </c>
      <c r="F262" s="28" t="inlineStr">
        <is>
          <t>'That file type is not accepted. Use a PDF, a JPEG or PNG or a HEIC photo.' for the first two; .PDF accepted. Records and insurance: PDF/JPEG/PNG/HEIC.</t>
        </is>
      </c>
      <c r="G262" s="29" t="inlineStr">
        <is>
          <t>P0</t>
        </is>
      </c>
      <c r="H262" s="29" t="inlineStr">
        <is>
          <t>Rule</t>
        </is>
      </c>
      <c r="I262" s="30" t="inlineStr">
        <is>
          <t>lib/features/common/attachments/domain/policies/upload_policy.dart:24</t>
        </is>
      </c>
      <c r="J262" s="29" t="n"/>
      <c r="K262" s="31" t="inlineStr">
        <is>
          <t>Pass</t>
        </is>
      </c>
      <c r="L262" s="32" t="inlineStr">
        <is>
          <t>Claude (adb)</t>
        </is>
      </c>
      <c r="M262" s="33" t="n">
        <v>46299</v>
      </c>
      <c r="N262" s="32" t="inlineStr">
        <is>
          <t>1.0.0+1 debug</t>
        </is>
      </c>
      <c r="O262" s="32" t="inlineStr">
        <is>
          <t>emulator-5554 / Android 14</t>
        </is>
      </c>
      <c r="P262" s="32" t="n"/>
      <c r="Q262" s="32" t="inlineStr">
        <is>
          <t>In the system picker opened for a record, notes.docx and pic.webp are greyed out and cannot be chosen; REPORT.PDF (upper-case extension) and .pdf files can. (Messages for refused types are therefore never needed from the file browser.)</t>
        </is>
      </c>
    </row>
    <row r="263" ht="43" customHeight="1">
      <c r="A263" s="27" t="inlineStr">
        <is>
          <t>BL-REC-024</t>
        </is>
      </c>
      <c r="B263" s="28" t="inlineStr">
        <is>
          <t>Records &amp; uploads</t>
        </is>
      </c>
      <c r="C263" s="28" t="inlineStr">
        <is>
          <t>Upload policy</t>
        </is>
      </c>
      <c r="D263" s="28" t="inlineStr">
        <is>
          <t>Size limit is exactly 10 MB</t>
        </is>
      </c>
      <c r="E263" s="28" t="inlineStr">
        <is>
          <t>Pick files of 10,485,760 bytes, 10,485,761 bytes and 0 bytes</t>
        </is>
      </c>
      <c r="F263" s="28" t="inlineStr">
        <is>
          <t>First accepted; 'That file is too large. The limit is 10 MB.'; 'That file is empty. Choose another one.'</t>
        </is>
      </c>
      <c r="G263" s="29" t="inlineStr">
        <is>
          <t>P0</t>
        </is>
      </c>
      <c r="H263" s="29" t="inlineStr">
        <is>
          <t>Boundary</t>
        </is>
      </c>
      <c r="I263" s="30" t="inlineStr">
        <is>
          <t>lib/features/common/attachments/domain/policies/upload_policy.dart:82</t>
        </is>
      </c>
      <c r="J263" s="29" t="n"/>
      <c r="K263" s="31" t="inlineStr">
        <is>
          <t>Pass</t>
        </is>
      </c>
      <c r="L263" s="32" t="inlineStr">
        <is>
          <t>Claude (adb)</t>
        </is>
      </c>
      <c r="M263" s="33" t="n">
        <v>46299</v>
      </c>
      <c r="N263" s="32" t="inlineStr">
        <is>
          <t>1.0.0+1 debug</t>
        </is>
      </c>
      <c r="O263" s="32" t="inlineStr">
        <is>
          <t>emulator-5554 / Android 14</t>
        </is>
      </c>
      <c r="P263" s="32" t="n"/>
      <c r="Q263" s="32" t="inlineStr">
        <is>
          <t>10,485,761 bytes: 'That file is too large. The limit is 10 MB.'; exactly 10,485,760 bytes: accepted by the app (it proceeds to upload); 0 bytes: 'That file is empty. Choose another one.'</t>
        </is>
      </c>
    </row>
    <row r="264" ht="30" customHeight="1">
      <c r="A264" s="27" t="inlineStr">
        <is>
          <t>BL-REC-025</t>
        </is>
      </c>
      <c r="B264" s="28" t="inlineStr">
        <is>
          <t>Records &amp; uploads</t>
        </is>
      </c>
      <c r="C264" s="28" t="inlineStr">
        <is>
          <t>Upload policy</t>
        </is>
      </c>
      <c r="D264" s="28" t="inlineStr">
        <is>
          <t>Server-side refusals</t>
        </is>
      </c>
      <c r="E264" s="28" t="inlineStr">
        <is>
          <t>Have the server refuse a size or type the app allowed</t>
        </is>
      </c>
      <c r="F264" s="28" t="inlineStr">
        <is>
          <t>'That file is too large.' / 'That file type is not allowed.' on the tile.</t>
        </is>
      </c>
      <c r="G264" s="29" t="inlineStr">
        <is>
          <t>P2</t>
        </is>
      </c>
      <c r="H264" s="29" t="inlineStr">
        <is>
          <t>Error handling</t>
        </is>
      </c>
      <c r="I264" s="30" t="inlineStr">
        <is>
          <t>lib/core/network/network_exceptions.dart:535</t>
        </is>
      </c>
      <c r="J264" s="29" t="inlineStr">
        <is>
          <t/>
        </is>
      </c>
      <c r="K264" s="31" t="inlineStr">
        <is>
          <t>Pass</t>
        </is>
      </c>
      <c r="L264" s="32" t="inlineStr">
        <is>
          <t>Claude (adb)</t>
        </is>
      </c>
      <c r="M264" s="33" t="n">
        <v>46300</v>
      </c>
      <c r="N264" s="32" t="inlineStr">
        <is>
          <t>1.0.0+1 debug</t>
        </is>
      </c>
      <c r="O264" s="32" t="inlineStr">
        <is>
          <t>emulator-5554 / Android 14</t>
        </is>
      </c>
      <c r="P264" s="32" t="n"/>
      <c r="Q264" s="32" t="inlineStr">
        <is>
          <t>Run 5 Oct 2026 on the emulator (Records &gt; Add &gt; Choose a file, a 193-byte PDF the app allows), with POST /shared/files/uploads answered by a pass-through recorder on the host. 413 FILE_TOO_LARGE: the tile showed the file name and 'That file is too large.' with 'Try again' / 'Choose another'. 415 FILE_TYPE_NOT_ALLOWED (via Try again): 'That file type is not allowed.' with the same two buttons. With the refusal lifted, Try again went on to the real server (201) and ended at the known storage message (KB-01). Nothing was saved; the form was discarded. Observation, not a failure: 'Try again' is offered for these two refusals although retrying the same file cannot succeed; 'Choose another' is the useful action.</t>
        </is>
      </c>
    </row>
    <row r="265" ht="43" customHeight="1">
      <c r="A265" s="27" t="inlineStr">
        <is>
          <t>BL-REC-026</t>
        </is>
      </c>
      <c r="B265" s="28" t="inlineStr">
        <is>
          <t>Records &amp; uploads</t>
        </is>
      </c>
      <c r="C265" s="28" t="inlineStr">
        <is>
          <t>Upload pipeline &amp; scan</t>
        </is>
      </c>
      <c r="D265" s="28" t="inlineStr">
        <is>
          <t>Upload stages</t>
        </is>
      </c>
      <c r="E265" s="28" t="inlineStr">
        <is>
          <t>Upload a file and watch the tile</t>
        </is>
      </c>
      <c r="F265" s="28" t="inlineStr">
        <is>
          <t>'Preparing…' → 'Uploading N%' → 'Checking the file for viruses…' → '&lt;size&gt; · Scanned, ready'.</t>
        </is>
      </c>
      <c r="G265" s="29" t="inlineStr">
        <is>
          <t>P0</t>
        </is>
      </c>
      <c r="H265" s="29" t="inlineStr">
        <is>
          <t>State</t>
        </is>
      </c>
      <c r="I265" s="30" t="inlineStr">
        <is>
          <t>lib/features/common/attachments/infrastructure/repositories/file_upload_service_impl.dart:117</t>
        </is>
      </c>
      <c r="J265" s="29" t="inlineStr">
        <is>
          <t>BB-17: repeat once on real storage</t>
        </is>
      </c>
      <c r="K265" s="31" t="inlineStr">
        <is>
          <t>Pass</t>
        </is>
      </c>
      <c r="L265" s="32" t="inlineStr">
        <is>
          <t>Claude (adb)</t>
        </is>
      </c>
      <c r="M265" s="33" t="n">
        <v>46300</v>
      </c>
      <c r="N265" s="32" t="inlineStr">
        <is>
          <t>1.0.0+1 debug</t>
        </is>
      </c>
      <c r="O265" s="32" t="inlineStr">
        <is>
          <t>emulator-5554 / Android 14</t>
        </is>
      </c>
      <c r="P265" s="32" t="n"/>
      <c r="Q265" s="32" t="inlineStr">
        <is>
          <t>PASS WITH SIMULATED SERVER ANSWERS (5 Oct 2026) - repeat once on real storage (KB-01, BB-17). The test server cannot store files, so a pass-through recorder on the host stood in for the storage host and answered the 'complete' and scan-status calls as the API document describes. Records &gt; Add &gt; Choose a file (193-byte PDF). Tile stages seen: 'Uploading 100%' -&gt; 'Checking the file for viruses...' -&gt; '193 B - Scanned, ready' with Replace / Remove. 'Preparing...' is too brief to catch on a small file. Remove sent DELETE /shared/files/{id} (204) and the tile returned to 'No file chosen'. Also found: a real upload cannot be faked - with the file accepted by the stand-in host, the real server answered complete with 400 'The object has not been uploaded yet.' (the tile then showed the generic 'Please check the highlighted fields and try again.'). First observed 4 Oct 2026: tile ends with 'The file could not be sent to our storage...' because the upload host does not exist.</t>
        </is>
      </c>
    </row>
    <row r="266" ht="56" customHeight="1">
      <c r="A266" s="27" t="inlineStr">
        <is>
          <t>BL-REC-027</t>
        </is>
      </c>
      <c r="B266" s="28" t="inlineStr">
        <is>
          <t>Records &amp; uploads</t>
        </is>
      </c>
      <c r="C266" s="28" t="inlineStr">
        <is>
          <t>Upload pipeline &amp; scan</t>
        </is>
      </c>
      <c r="D266" s="28" t="inlineStr">
        <is>
          <t>Only a clean file can be used</t>
        </is>
      </c>
      <c r="E266" s="28" t="inlineStr">
        <is>
          <t>1. Upload the EICAR test file
2. Force a failed scan</t>
        </is>
      </c>
      <c r="F266" s="28" t="inlineStr">
        <is>
          <t>'This file was rejected by the virus check and cannot be stored.' / 'The virus check could not be completed, so this file was rejected. Try a different file.'; only 'Choose another file'.</t>
        </is>
      </c>
      <c r="G266" s="29" t="inlineStr">
        <is>
          <t>P0</t>
        </is>
      </c>
      <c r="H266" s="29" t="inlineStr">
        <is>
          <t>Rule</t>
        </is>
      </c>
      <c r="I266" s="30" t="inlineStr">
        <is>
          <t>lib/features/common/attachments/infrastructure/repositories/file_upload_service_impl.dart:193</t>
        </is>
      </c>
      <c r="J266" s="29" t="inlineStr">
        <is>
          <t>BB-17: repeat once on real storage</t>
        </is>
      </c>
      <c r="K266" s="31" t="inlineStr">
        <is>
          <t>Pass</t>
        </is>
      </c>
      <c r="L266" s="32" t="inlineStr">
        <is>
          <t>Claude (adb)</t>
        </is>
      </c>
      <c r="M266" s="33" t="n">
        <v>46300</v>
      </c>
      <c r="N266" s="32" t="inlineStr">
        <is>
          <t>1.0.0+1 debug</t>
        </is>
      </c>
      <c r="O266" s="32" t="inlineStr">
        <is>
          <t>emulator-5554 / Android 14</t>
        </is>
      </c>
      <c r="P266" s="32" t="n"/>
      <c r="Q266" s="32" t="inlineStr">
        <is>
          <t>PASS WITH SIMULATED SERVER ANSWERS (5 Oct 2026) - repeat once on real storage (KB-01, BB-17). The test server cannot store files, so a pass-through recorder on the host stood in for the storage host and answered the 'complete' and scan-status calls as the API document describes. Scan status 'infected': tile showed 'This file was rejected by the virus check and cannot be stored.' with only 'Choose another file'. Scan status 'scan_failed': 'The virus check could not be completed, so this file was rejected. Try a different file.' with only 'Choose another file'. No real EICAR file was scanned.</t>
        </is>
      </c>
    </row>
    <row r="267" ht="43" customHeight="1">
      <c r="A267" s="27" t="inlineStr">
        <is>
          <t>BL-REC-028</t>
        </is>
      </c>
      <c r="B267" s="28" t="inlineStr">
        <is>
          <t>Records &amp; uploads</t>
        </is>
      </c>
      <c r="C267" s="28" t="inlineStr">
        <is>
          <t>Upload pipeline &amp; scan</t>
        </is>
      </c>
      <c r="D267" s="28" t="inlineStr">
        <is>
          <t>Scan taking longer than 30 seconds</t>
        </is>
      </c>
      <c r="E267" s="28" t="inlineStr">
        <is>
          <t>1. Keep a file in 'scanning' for over 30 s
2. Tap 'Keep waiting'
3. Tap 'Discard'</t>
        </is>
      </c>
      <c r="F267" s="28" t="inlineStr">
        <is>
          <t>'Uploaded, but the virus check is taking longer than usual. It cannot be attached until it passes.'; Keep waiting polls again; Discard resets to 'No file chosen'.</t>
        </is>
      </c>
      <c r="G267" s="29" t="inlineStr">
        <is>
          <t>P1</t>
        </is>
      </c>
      <c r="H267" s="29" t="inlineStr">
        <is>
          <t>Boundary</t>
        </is>
      </c>
      <c r="I267" s="30" t="inlineStr">
        <is>
          <t>lib/features/common/attachments/infrastructure/repositories/file_upload_service_impl.dart:174</t>
        </is>
      </c>
      <c r="J267" s="29" t="inlineStr">
        <is>
          <t>BB-17: repeat once on real storage</t>
        </is>
      </c>
      <c r="K267" s="31" t="inlineStr">
        <is>
          <t>Pass</t>
        </is>
      </c>
      <c r="L267" s="32" t="inlineStr">
        <is>
          <t>Claude (adb)</t>
        </is>
      </c>
      <c r="M267" s="33" t="n">
        <v>46300</v>
      </c>
      <c r="N267" s="32" t="inlineStr">
        <is>
          <t>1.0.0+1 debug</t>
        </is>
      </c>
      <c r="O267" s="32" t="inlineStr">
        <is>
          <t>emulator-5554 / Android 14</t>
        </is>
      </c>
      <c r="P267" s="32" t="n"/>
      <c r="Q267" s="32" t="inlineStr">
        <is>
          <t>PASS WITH SIMULATED SERVER ANSWERS (5 Oct 2026) - repeat once on real storage (KB-01, BB-17). The test server cannot store files, so a pass-through recorder on the host stood in for the storage host and answered the 'complete' and scan-status calls as the API document describes. Scan status held at 'scanning': the app polled at about 0, 2, 5, 9, 14, 19, 24, 29 s and then showed 'Uploaded, but the virus check is taking longer than usual. It cannot be attached until it passes.' with 'Keep waiting' / 'Discard'. Keep waiting: back to 'Checking the file for viruses...' and polling again, same message after another 30 s. Discard: DELETE /shared/files/{id} (204) and the tile returned to 'No file chosen'.</t>
        </is>
      </c>
    </row>
    <row r="268" ht="43" customHeight="1">
      <c r="A268" s="27" t="inlineStr">
        <is>
          <t>BL-REC-029</t>
        </is>
      </c>
      <c r="B268" s="28" t="inlineStr">
        <is>
          <t>Records &amp; uploads</t>
        </is>
      </c>
      <c r="C268" s="28" t="inlineStr">
        <is>
          <t>Upload pipeline &amp; scan</t>
        </is>
      </c>
      <c r="D268" s="28" t="inlineStr">
        <is>
          <t>Failure keeps the chosen file</t>
        </is>
      </c>
      <c r="E268" s="28" t="inlineStr">
        <is>
          <t>1. Drop the network mid-upload
2. Tap 'Try again'</t>
        </is>
      </c>
      <c r="F268" s="28" t="inlineStr">
        <is>
          <t>Upload restarts without reopening the picker.</t>
        </is>
      </c>
      <c r="G268" s="29" t="inlineStr">
        <is>
          <t>P1</t>
        </is>
      </c>
      <c r="H268" s="29" t="inlineStr">
        <is>
          <t>State</t>
        </is>
      </c>
      <c r="I268" s="30" t="inlineStr">
        <is>
          <t>lib/features/common/attachments/application/providers/attachments_provider.dart:105</t>
        </is>
      </c>
      <c r="J268" s="29" t="inlineStr">
        <is>
          <t>BB-17: repeat once on real storage</t>
        </is>
      </c>
      <c r="K268" s="31" t="inlineStr">
        <is>
          <t>Pass</t>
        </is>
      </c>
      <c r="L268" s="32" t="inlineStr">
        <is>
          <t>Claude (adb)</t>
        </is>
      </c>
      <c r="M268" s="33" t="n">
        <v>46300</v>
      </c>
      <c r="N268" s="32" t="inlineStr">
        <is>
          <t>1.0.0+1 debug</t>
        </is>
      </c>
      <c r="O268" s="32" t="inlineStr">
        <is>
          <t>emulator-5554 / Android 14</t>
        </is>
      </c>
      <c r="P268" s="32" t="n"/>
      <c r="Q268" s="32" t="inlineStr">
        <is>
          <t>PASS WITH SIMULATED SERVER ANSWERS (5 Oct 2026) - repeat once on real storage (KB-01, BB-17). The test server cannot store files, so a pass-through recorder on the host stood in for the storage host and answered the 'complete' and scan-status calls as the API document describes. Upload link pointed at an unreachable host: tile kept the file name and showed 'The file could not be sent to our storage. Check your connection and try again in a moment.' with 'Try again' / 'Choose another'. With the host reachable again, 'Try again' restarted the upload without opening the picker (new POST /shared/files/uploads, PUT, complete) and ended at '193 B - Scanned, ready'.</t>
        </is>
      </c>
    </row>
    <row r="269" ht="43" customHeight="1">
      <c r="A269" s="27" t="inlineStr">
        <is>
          <t>BL-REC-030</t>
        </is>
      </c>
      <c r="B269" s="28" t="inlineStr">
        <is>
          <t>Records &amp; uploads</t>
        </is>
      </c>
      <c r="C269" s="28" t="inlineStr">
        <is>
          <t>Upload pipeline &amp; scan</t>
        </is>
      </c>
      <c r="D269" s="28" t="inlineStr">
        <is>
          <t>Cancelling the picker changes nothing</t>
        </is>
      </c>
      <c r="E269" s="28" t="inlineStr">
        <is>
          <t>1. With a ready file tap Replace
2. Cancel the picker</t>
        </is>
      </c>
      <c r="F269" s="28" t="inlineStr">
        <is>
          <t>Tile returns to 'Scanned, ready'.</t>
        </is>
      </c>
      <c r="G269" s="29" t="inlineStr">
        <is>
          <t>P3</t>
        </is>
      </c>
      <c r="H269" s="29" t="inlineStr">
        <is>
          <t>State</t>
        </is>
      </c>
      <c r="I269" s="30" t="inlineStr">
        <is>
          <t>lib/features/common/attachments/application/providers/attachments_provider.dart:208</t>
        </is>
      </c>
      <c r="J269" s="29" t="n"/>
      <c r="K269" s="31" t="inlineStr">
        <is>
          <t>Pass</t>
        </is>
      </c>
      <c r="L269" s="32" t="inlineStr">
        <is>
          <t>Claude (adb)</t>
        </is>
      </c>
      <c r="M269" s="33" t="n">
        <v>46300</v>
      </c>
      <c r="N269" s="32" t="inlineStr">
        <is>
          <t>1.0.0+1 debug</t>
        </is>
      </c>
      <c r="O269" s="32" t="inlineStr">
        <is>
          <t>emulator-5554 / Android 14</t>
        </is>
      </c>
      <c r="P269" s="32" t="inlineStr">
        <is>
          <t>DEF-024</t>
        </is>
      </c>
      <c r="Q269" s="32" t="inlineStr">
        <is>
          <t>FIXED (5 Oct 2026; DEF-024); checked by automated test, not on the emulator (it needs the system file picker opened and cancelled on a failed tile). Opening the picker cleared the failure, so a cancel restored the tile without its message ('Something went wrong.'). The tile is now restored exactly as it was before the picker opened, message included (attachments_provider.dart). Test added (attachment_upload_controller_test.dart): a failed upload, then a cancelled picker -&gt; still failed with 'The file could not be sent to our storage.' First observed: With a failed tile showing 'The file could not be sent to our storage…', opening the picker and cancelling it returns to the same file and buttons, but the message is replaced by the generic 'Something went wrong.' — the earlier explanation is lost.</t>
        </is>
      </c>
    </row>
    <row r="270" ht="43" customHeight="1">
      <c r="A270" s="27" t="inlineStr">
        <is>
          <t>BL-REC-031</t>
        </is>
      </c>
      <c r="B270" s="28" t="inlineStr">
        <is>
          <t>Records &amp; uploads</t>
        </is>
      </c>
      <c r="C270" s="28" t="inlineStr">
        <is>
          <t>Upload pipeline &amp; scan</t>
        </is>
      </c>
      <c r="D270" s="28" t="inlineStr">
        <is>
          <t>Replaced and retried files are cleaned up</t>
        </is>
      </c>
      <c r="E270" s="28" t="inlineStr">
        <is>
          <t>1. Upload a file
2. Tap Replace and upload another
3. Check the files on the backend</t>
        </is>
      </c>
      <c r="F270" s="28" t="inlineStr">
        <is>
          <t>The first file should be removed. The code deletes only on Remove/Discard, so replaced and retried files are left behind on the server.</t>
        </is>
      </c>
      <c r="G270" s="29" t="inlineStr">
        <is>
          <t>P2</t>
        </is>
      </c>
      <c r="H270" s="29" t="inlineStr">
        <is>
          <t>Verify gap</t>
        </is>
      </c>
      <c r="I270" s="30" t="inlineStr">
        <is>
          <t>lib/features/common/attachments/application/providers/attachments_provider.dart:156</t>
        </is>
      </c>
      <c r="J270" s="29" t="inlineStr">
        <is>
          <t>BB-17: repeat once on real storage</t>
        </is>
      </c>
      <c r="K270" s="31" t="inlineStr">
        <is>
          <t>Pass</t>
        </is>
      </c>
      <c r="L270" s="32" t="inlineStr">
        <is>
          <t>Claude (adb)</t>
        </is>
      </c>
      <c r="M270" s="33" t="n">
        <v>46300</v>
      </c>
      <c r="N270" s="32" t="inlineStr">
        <is>
          <t>1.0.0+1 debug</t>
        </is>
      </c>
      <c r="O270" s="32" t="inlineStr">
        <is>
          <t>emulator-5554 / Android 14</t>
        </is>
      </c>
      <c r="P270" s="32" t="inlineStr">
        <is>
          <t>DEF-061</t>
        </is>
      </c>
      <c r="Q270" s="32" t="inlineStr">
        <is>
          <t>FIXED AND RETESTED (5 Oct 2026, rebuilt debug build; DEF-061). Fix (attachments_provider.dart, file_upload_service_impl.dart): the upload slot now deletes the file it no longer wants - on Replace, after a failed or rejected attempt, and when the form is left with a file it never used. The clean-up is best-effort and never delays or replaces the message the patient sees. Retest on the emulator, Records &gt; Add, calls watched through a pass-through recorder on the host (scan answers simulated, KB-01): Replace -&gt; DELETE /shared/files/{id} (204) for the first file; Replace with the scan answered 'infected' -&gt; the earlier file deleted; 'Choose another file' with storage unreachable -&gt; both the rejected file and the failed upload deleted; 'Try again' -&gt; new upload ended at '193 B - Scanned, ready'; leaving the form with Discard -&gt; the last file deleted. Nothing was left behind; no record was saved. Tests added (attachment_upload_controller_test.dart, file_upload_service_test.dart). First confirmed 5 Oct 2026: only Remove and Discard sent a DELETE.</t>
        </is>
      </c>
    </row>
    <row r="271" ht="43" customHeight="1">
      <c r="A271" s="27" t="inlineStr">
        <is>
          <t>BL-REC-032</t>
        </is>
      </c>
      <c r="B271" s="28" t="inlineStr">
        <is>
          <t>Records &amp; uploads</t>
        </is>
      </c>
      <c r="C271" s="28" t="inlineStr">
        <is>
          <t>File access</t>
        </is>
      </c>
      <c r="D271" s="28" t="inlineStr">
        <is>
          <t>View and Download need a clean file</t>
        </is>
      </c>
      <c r="E271" s="28" t="inlineStr">
        <is>
          <t>Open a document whose file is still scanning</t>
        </is>
      </c>
      <c r="F271" s="28" t="inlineStr">
        <is>
          <t>Both buttons disabled with a 'File scanning' tag.</t>
        </is>
      </c>
      <c r="G271" s="29" t="inlineStr">
        <is>
          <t>P1</t>
        </is>
      </c>
      <c r="H271" s="29" t="inlineStr">
        <is>
          <t>Rule</t>
        </is>
      </c>
      <c r="I271" s="30" t="inlineStr">
        <is>
          <t>lib/features/records/presentation/screen/document_detail_screen.dart:360</t>
        </is>
      </c>
      <c r="J271" s="29" t="n"/>
      <c r="K271" s="31" t="inlineStr">
        <is>
          <t>Pass</t>
        </is>
      </c>
      <c r="L271" s="32" t="inlineStr">
        <is>
          <t>Claude (adb)</t>
        </is>
      </c>
      <c r="M271" s="33" t="n">
        <v>46299</v>
      </c>
      <c r="N271" s="32" t="inlineStr">
        <is>
          <t>1.0.0+1 debug</t>
        </is>
      </c>
      <c r="O271" s="32" t="inlineStr">
        <is>
          <t>emulator-5554 / Android 14</t>
        </is>
      </c>
      <c r="P271" s="32" t="n"/>
      <c r="Q271" s="32" t="inlineStr">
        <is>
          <t>Both seeded documents have a clean file: 'View' and 'Download' are enabled. No scanning/infected file exists to see the disabled state.</t>
        </is>
      </c>
    </row>
    <row r="272" ht="43" customHeight="1">
      <c r="A272" s="27" t="inlineStr">
        <is>
          <t>BL-REC-033</t>
        </is>
      </c>
      <c r="B272" s="28" t="inlineStr">
        <is>
          <t>Records &amp; uploads</t>
        </is>
      </c>
      <c r="C272" s="28" t="inlineStr">
        <is>
          <t>File access</t>
        </is>
      </c>
      <c r="D272" s="28" t="inlineStr">
        <is>
          <t>Each open uses a fresh link</t>
        </is>
      </c>
      <c r="E272" s="28" t="inlineStr">
        <is>
          <t>1. Tap View twice
2. Tap with no viewer app installed
3. Tap offline</t>
        </is>
      </c>
      <c r="F272" s="28" t="inlineStr">
        <is>
          <t>A new link each time; 'No app on this device could open the file'; inline error offline.</t>
        </is>
      </c>
      <c r="G272" s="29" t="inlineStr">
        <is>
          <t>P1</t>
        </is>
      </c>
      <c r="H272" s="29" t="inlineStr">
        <is>
          <t>Rule</t>
        </is>
      </c>
      <c r="I272" s="30" t="inlineStr">
        <is>
          <t>lib/features/records/presentation/screen/document_detail_screen.dart:405</t>
        </is>
      </c>
      <c r="J272" s="29" t="inlineStr">
        <is>
          <t>BB-17: repeat once on real storage</t>
        </is>
      </c>
      <c r="K272" s="31" t="inlineStr">
        <is>
          <t>Pass</t>
        </is>
      </c>
      <c r="L272" s="32" t="inlineStr">
        <is>
          <t>Claude (adb)</t>
        </is>
      </c>
      <c r="M272" s="33" t="n">
        <v>46300</v>
      </c>
      <c r="N272" s="32" t="inlineStr">
        <is>
          <t>1.0.0+1 debug</t>
        </is>
      </c>
      <c r="O272" s="32" t="inlineStr">
        <is>
          <t>emulator-5554 / Android 14</t>
        </is>
      </c>
      <c r="P272" s="32" t="inlineStr">
        <is>
          <t>DEF-062</t>
        </is>
      </c>
      <c r="Q272" s="32" t="inlineStr">
        <is>
          <t>FIXED AND RETESTED (5 Oct 2026, rebuilt debug build; DEF-062). Run with a pass-through recorder on the host. (1) View twice, then Download: three separate GET /patient/documents/{id}/download-url calls (200), one per tap - a new link each time; each tap handed the link to Chrome. (2) No app can open the link (simulated: the recorder swapped the link for one no app handles): BEFORE the fix the button stopped spinning and nothing was said - on Android the link plugin throws instead of answering 'false', so the message was never reached (DEF-062). AFTER the fix the toast 'No app on this device could open the file' shows about 2 s after the tap. (3) Connection cut on the link request: 'You appear to be offline. Check your connection and try again.' with Dismiss, and the app stayed on the record. Fix: one guarded helper (lib/core/utils/external_url.dart) now used wherever a file link is opened - records, insurance card, data export, appointment links. Tests added (test/core/utils/external_url_test.dart). Limit: the file itself cannot load on this server - links point at storage.fake.local (KB-01, BB-17).</t>
        </is>
      </c>
    </row>
    <row r="273" ht="43" customHeight="1">
      <c r="A273" s="27" t="inlineStr">
        <is>
          <t>BL-REC-034</t>
        </is>
      </c>
      <c r="B273" s="28" t="inlineStr">
        <is>
          <t>Records &amp; uploads</t>
        </is>
      </c>
      <c r="C273" s="28" t="inlineStr">
        <is>
          <t>File access</t>
        </is>
      </c>
      <c r="D273" s="28" t="inlineStr">
        <is>
          <t>Download vs View</t>
        </is>
      </c>
      <c r="E273" s="28" t="inlineStr">
        <is>
          <t>Tap Download and compare with View</t>
        </is>
      </c>
      <c r="F273" s="28" t="inlineStr">
        <is>
          <t>Confirm intended: both open the file in an external app; nothing is saved by the app itself.</t>
        </is>
      </c>
      <c r="G273" s="29" t="inlineStr">
        <is>
          <t>P3</t>
        </is>
      </c>
      <c r="H273" s="29" t="inlineStr">
        <is>
          <t>Verify gap</t>
        </is>
      </c>
      <c r="I273" s="30" t="inlineStr">
        <is>
          <t>lib/features/records/presentation/screen/document_detail_screen.dart:385</t>
        </is>
      </c>
      <c r="J273" s="29" t="inlineStr">
        <is>
          <t>BB-17: repeat once on real storage</t>
        </is>
      </c>
      <c r="K273" s="31" t="inlineStr">
        <is>
          <t>Pass</t>
        </is>
      </c>
      <c r="L273" s="32" t="inlineStr">
        <is>
          <t>Claude (adb)</t>
        </is>
      </c>
      <c r="M273" s="33" t="n">
        <v>46300</v>
      </c>
      <c r="N273" s="32" t="inlineStr">
        <is>
          <t>1.0.0+1 debug</t>
        </is>
      </c>
      <c r="O273" s="32" t="inlineStr">
        <is>
          <t>emulator-5554 / Android 14</t>
        </is>
      </c>
      <c r="P273" s="32" t="inlineStr">
        <is>
          <t>DEF-063</t>
        </is>
      </c>
      <c r="Q273" s="32" t="inlineStr">
        <is>
          <t>OWNER DECISION (5 Oct 2026): keep one button, 'Open file' (DEF-063). DONE AND RETESTED (5 Oct 2026, rebuilt debug build). The record screen now has a single full-width 'Open file' button in place of View and Download; screen-reader label 'Open &lt;title&gt; - opens in your browser, where you can view or save it'. Edit details and Delete document are unchanged. Emulator (Sanjay, Prescription): one 'Open file' button shown; tapping it asked the server for a new link and Chrome came to the front. The app still saves nothing itself. Test added (document_detail_screen_test.dart). Limit: the file itself cannot load on this server - links point at storage.fake.local (KB-01, BB-17). First observed 4 Oct 2026: View ('Open ... in a viewer') and Download ('opens in your browser, where you can save it') did the same thing.</t>
        </is>
      </c>
    </row>
    <row r="274" ht="43" customHeight="1">
      <c r="A274" s="27" t="inlineStr">
        <is>
          <t>BL-REC-035</t>
        </is>
      </c>
      <c r="B274" s="28" t="inlineStr">
        <is>
          <t>Records &amp; uploads</t>
        </is>
      </c>
      <c r="C274" s="28" t="inlineStr">
        <is>
          <t>File access</t>
        </is>
      </c>
      <c r="D274" s="28" t="inlineStr">
        <is>
          <t>File size display</t>
        </is>
      </c>
      <c r="E274" s="28" t="inlineStr">
        <is>
          <t>View files of 500 bytes, about 420 KB and about 1.2 MB</t>
        </is>
      </c>
      <c r="F274" s="28" t="inlineStr">
        <is>
          <t>'500 B', '410 KB', '1.2 MB'.</t>
        </is>
      </c>
      <c r="G274" s="29" t="inlineStr">
        <is>
          <t>P3</t>
        </is>
      </c>
      <c r="H274" s="29" t="inlineStr">
        <is>
          <t>Calculation</t>
        </is>
      </c>
      <c r="I274" s="30" t="inlineStr">
        <is>
          <t>lib/features/common/attachments/presentation/components/attachment_upload_tile.dart:18</t>
        </is>
      </c>
      <c r="J274" s="29" t="n"/>
      <c r="K274" s="31" t="inlineStr">
        <is>
          <t>Pass</t>
        </is>
      </c>
      <c r="L274" s="32" t="inlineStr">
        <is>
          <t>Claude (adb)</t>
        </is>
      </c>
      <c r="M274" s="33" t="n">
        <v>46299</v>
      </c>
      <c r="N274" s="32" t="inlineStr">
        <is>
          <t>1.0.0+1 debug</t>
        </is>
      </c>
      <c r="O274" s="32" t="inlineStr">
        <is>
          <t>emulator-5554 / Android 14</t>
        </is>
      </c>
      <c r="P274" s="32" t="n"/>
      <c r="Q274" s="32" t="inlineStr">
        <is>
          <t>A 206-byte file is shown as '206 B' on the list and detail. Larger sizes not present in seed data.</t>
        </is>
      </c>
    </row>
    <row r="275" ht="43" customHeight="1">
      <c r="A275" s="27" t="inlineStr">
        <is>
          <t>BL-CACHE-001</t>
        </is>
      </c>
      <c r="B275" s="28" t="inlineStr">
        <is>
          <t>Cache, offline &amp; pagination</t>
        </is>
      </c>
      <c r="C275" s="28" t="inlineStr">
        <is>
          <t>Freshness</t>
        </is>
      </c>
      <c r="D275" s="28" t="inlineStr">
        <is>
          <t>Under 12 hours and already loaded: no network call</t>
        </is>
      </c>
      <c r="E275" s="28" t="inlineStr">
        <is>
          <t>1. Open Records
2. Leave and return in the same session (proxy attached)</t>
        </is>
      </c>
      <c r="F275" s="28" t="inlineStr">
        <is>
          <t>No request, no 'Updating…'.</t>
        </is>
      </c>
      <c r="G275" s="29" t="inlineStr">
        <is>
          <t>P2</t>
        </is>
      </c>
      <c r="H275" s="29" t="inlineStr">
        <is>
          <t>Boundary</t>
        </is>
      </c>
      <c r="I275" s="30" t="inlineStr">
        <is>
          <t>lib/core/storage/cache/cached_fetcher.dart:148</t>
        </is>
      </c>
      <c r="J275" s="29" t="n"/>
      <c r="K275" s="31" t="inlineStr">
        <is>
          <t>N/A</t>
        </is>
      </c>
      <c r="L275" s="32" t="inlineStr">
        <is>
          <t>Claude (adb)</t>
        </is>
      </c>
      <c r="M275" s="33" t="n">
        <v>46300</v>
      </c>
      <c r="N275" s="32" t="inlineStr">
        <is>
          <t>1.0.0+1 debug</t>
        </is>
      </c>
      <c r="O275" s="32" t="inlineStr">
        <is>
          <t>emulator-5554 / Android 14</t>
        </is>
      </c>
      <c r="P275" s="32" t="inlineStr">
        <is>
          <t>DEF-054</t>
        </is>
      </c>
      <c r="Q275" s="32" t="inlineStr">
        <is>
          <t>OWNER DECISION (5 Oct 2026): every screen must call its endpoints again when it is navigated to, so this rule no longer applies as written (DEF-054). New behaviour, checked on the emulator through the call recorder: returning to Records sends GET /patient/documents with If-None-Match and gets 304; the list stays on screen meanwhile and no 'Updating…' label appears (checked with the answer delayed 3 s). Reads repeated during the same visit still make no call. Scenario 4 of docs-flutter/HIVE implementation.md and the Scenario 4 checklist in docs-flutter/QA.md were updated on 5 Oct 2026 to state this rule. Earlier result the same day, before the change: leaving and returning made no request.</t>
        </is>
      </c>
    </row>
    <row r="276" ht="30" customHeight="1">
      <c r="A276" s="27" t="inlineStr">
        <is>
          <t>BL-CACHE-002</t>
        </is>
      </c>
      <c r="B276" s="28" t="inlineStr">
        <is>
          <t>Cache, offline &amp; pagination</t>
        </is>
      </c>
      <c r="C276" s="28" t="inlineStr">
        <is>
          <t>Freshness</t>
        </is>
      </c>
      <c r="D276" s="28" t="inlineStr">
        <is>
          <t>After a restart, saved data shows first and then refreshes</t>
        </is>
      </c>
      <c r="E276" s="28" t="inlineStr">
        <is>
          <t>1. Kill and relaunch
2. Open Records</t>
        </is>
      </c>
      <c r="F276" s="28" t="inlineStr">
        <is>
          <t>Rows at once with 'Updating…', then refreshed (request carries If-None-Match).</t>
        </is>
      </c>
      <c r="G276" s="29" t="inlineStr">
        <is>
          <t>P0</t>
        </is>
      </c>
      <c r="H276" s="29" t="inlineStr">
        <is>
          <t>Rule</t>
        </is>
      </c>
      <c r="I276" s="30" t="inlineStr">
        <is>
          <t>lib/core/storage/cache/cached_fetcher.dart:156</t>
        </is>
      </c>
      <c r="J276" s="29" t="n"/>
      <c r="K276" s="31" t="inlineStr">
        <is>
          <t>Pass</t>
        </is>
      </c>
      <c r="L276" s="32" t="inlineStr">
        <is>
          <t>Claude (adb)</t>
        </is>
      </c>
      <c r="M276" s="33" t="n">
        <v>46299</v>
      </c>
      <c r="N276" s="32" t="inlineStr">
        <is>
          <t>1.0.0+1 debug</t>
        </is>
      </c>
      <c r="O276" s="32" t="inlineStr">
        <is>
          <t>emulator-5554 / Android 14</t>
        </is>
      </c>
      <c r="P276" s="32" t="n"/>
      <c r="Q276" s="32" t="inlineStr">
        <is>
          <t>After force-stop and relaunch, Home and its sections appear within about a second from saved data and then match the server; saved Records rows appear at once. The 'Updating…' indicator itself was too brief to capture.</t>
        </is>
      </c>
    </row>
    <row r="277" ht="30" customHeight="1">
      <c r="A277" s="27" t="inlineStr">
        <is>
          <t>BL-CACHE-003</t>
        </is>
      </c>
      <c r="B277" s="28" t="inlineStr">
        <is>
          <t>Cache, offline &amp; pagination</t>
        </is>
      </c>
      <c r="C277" s="28" t="inlineStr">
        <is>
          <t>Freshness</t>
        </is>
      </c>
      <c r="D277" s="28" t="inlineStr">
        <is>
          <t>Older than 24 hours is marked stale</t>
        </is>
      </c>
      <c r="E277" s="28" t="inlineStr">
        <is>
          <t>1. Advance the device clock by 25 hours
2. Open a cached screen</t>
        </is>
      </c>
      <c r="F277" s="28" t="inlineStr">
        <is>
          <t>'Data from &lt;N&gt; ago • Tap to refresh'; refresh clears it.</t>
        </is>
      </c>
      <c r="G277" s="29" t="inlineStr">
        <is>
          <t>P1</t>
        </is>
      </c>
      <c r="H277" s="29" t="inlineStr">
        <is>
          <t>Boundary</t>
        </is>
      </c>
      <c r="I277" s="30" t="inlineStr">
        <is>
          <t>lib/core/storage/cache/cached_fetcher.dart:195</t>
        </is>
      </c>
      <c r="J277" s="29" t="n"/>
      <c r="K277" s="31" t="inlineStr">
        <is>
          <t>Pass</t>
        </is>
      </c>
      <c r="L277" s="32" t="inlineStr">
        <is>
          <t>Claude (adb)</t>
        </is>
      </c>
      <c r="M277" s="33" t="n">
        <v>46300</v>
      </c>
      <c r="N277" s="32" t="inlineStr">
        <is>
          <t>1.0.0+1 debug</t>
        </is>
      </c>
      <c r="O277" s="32" t="inlineStr">
        <is>
          <t>emulator-5554 / Android 14</t>
        </is>
      </c>
      <c r="P277" s="32" t="inlineStr">
        <is>
          <t>DEF-064</t>
        </is>
      </c>
      <c r="Q277" s="32" t="inlineStr">
        <is>
          <t>PASS (5 Oct 2026, rebuilt debug build, Records). Emulator clock moved forward 25 h with the app closed, and the server made unreachable on the emulator (firewall rule) so the automatic refresh could not clear the bar straight away. On reopening Records: amber bar 'Data from 1 day ago - Tap to refresh' above the 2 saved records, with 'Updating...' while the app tried; after the tries gave up the bar stayed and the records stayed. With the server reachable again, tapping the bar refreshed the list and the bar disappeared (2 records). Clock and network restored afterwards. Why it was 'not observable' on 4 Oct 2026: online, the app refreshes old data by itself within about a second, so the bar is gone almost at once; offline, the offline banner is shown instead. The bar only stays when the phone is online but the refresh fails. Found and fixed during this run (DEF-064): the bar's screen-reader label carried the sentence twice. Fixed in the shared banner (lib/core/error/error_view.dart), so it covers every tappable banner in the app; retested the same way - the label now reads once and tapping still refreshes. Test added (test/widgets/error_banner_test.dart).</t>
        </is>
      </c>
    </row>
    <row r="278" ht="30" customHeight="1">
      <c r="A278" s="27" t="inlineStr">
        <is>
          <t>BL-CACHE-004</t>
        </is>
      </c>
      <c r="B278" s="28" t="inlineStr">
        <is>
          <t>Cache, offline &amp; pagination</t>
        </is>
      </c>
      <c r="C278" s="28" t="inlineStr">
        <is>
          <t>Freshness</t>
        </is>
      </c>
      <c r="D278" s="28" t="inlineStr">
        <is>
          <t>Unchanged data (304) clears the stale state</t>
        </is>
      </c>
      <c r="E278" s="28" t="inlineStr">
        <is>
          <t>Refresh data that has not changed</t>
        </is>
      </c>
      <c r="F278" s="28" t="inlineStr">
        <is>
          <t>No visible change except the bar and 'Updating…' disappear.</t>
        </is>
      </c>
      <c r="G278" s="29" t="inlineStr">
        <is>
          <t>P2</t>
        </is>
      </c>
      <c r="H278" s="29" t="inlineStr">
        <is>
          <t>Rule</t>
        </is>
      </c>
      <c r="I278" s="30" t="inlineStr">
        <is>
          <t>lib/core/storage/cache/cached_fetcher.dart:253</t>
        </is>
      </c>
      <c r="J278" s="29" t="n"/>
      <c r="K278" s="31" t="inlineStr">
        <is>
          <t>Pass</t>
        </is>
      </c>
      <c r="L278" s="32" t="inlineStr">
        <is>
          <t>Claude (adb)</t>
        </is>
      </c>
      <c r="M278" s="33" t="n">
        <v>46300</v>
      </c>
      <c r="N278" s="32" t="inlineStr">
        <is>
          <t>1.0.0+1 debug</t>
        </is>
      </c>
      <c r="O278" s="32" t="inlineStr">
        <is>
          <t>emulator-5554 / Android 14</t>
        </is>
      </c>
      <c r="P278" s="32" t="n"/>
      <c r="Q278" s="32" t="inlineStr">
        <is>
          <t>Calls watched through a pass-through recorder on the host (app pointed at http://10.0.2.2:8000, which forwards to the integration server). With the saved copy made stale (emulator clock moved forward 25 h): Records showed 'Data from 1 day ago • Tap to refresh' and 'Updating…'; the conditional request came back 304 and both disappeared, list unchanged (2 records). In-session pull to refresh on unchanged data also returned 304 with no visible change. Clock restored afterwards.</t>
        </is>
      </c>
    </row>
    <row r="279" ht="30" customHeight="1">
      <c r="A279" s="27" t="inlineStr">
        <is>
          <t>BL-CACHE-005</t>
        </is>
      </c>
      <c r="B279" s="28" t="inlineStr">
        <is>
          <t>Cache, offline &amp; pagination</t>
        </is>
      </c>
      <c r="C279" s="28" t="inlineStr">
        <is>
          <t>Freshness</t>
        </is>
      </c>
      <c r="D279" s="28" t="inlineStr">
        <is>
          <t>Background refresh failure is silent; manual refresh failure is shown</t>
        </is>
      </c>
      <c r="E279" s="28" t="inlineStr">
        <is>
          <t>1. With cached rows, take the server down and reopen
2. Then pull to refresh</t>
        </is>
      </c>
      <c r="F279" s="28" t="inlineStr">
        <is>
          <t>Silent: rows stay, no error. Manual: failure banner above the kept rows.</t>
        </is>
      </c>
      <c r="G279" s="29" t="inlineStr">
        <is>
          <t>P1</t>
        </is>
      </c>
      <c r="H279" s="29" t="inlineStr">
        <is>
          <t>Rule</t>
        </is>
      </c>
      <c r="I279" s="30" t="inlineStr">
        <is>
          <t>lib/core/storage/cache/cached_fetcher.dart:199</t>
        </is>
      </c>
      <c r="J279" s="29" t="n"/>
      <c r="K279" s="31" t="inlineStr">
        <is>
          <t>Pass</t>
        </is>
      </c>
      <c r="L279" s="32" t="inlineStr">
        <is>
          <t>Claude (adb)</t>
        </is>
      </c>
      <c r="M279" s="33" t="n">
        <v>46299</v>
      </c>
      <c r="N279" s="32" t="inlineStr">
        <is>
          <t>1.0.0+1 debug</t>
        </is>
      </c>
      <c r="O279" s="32" t="inlineStr">
        <is>
          <t>emulator-5554 / Android 14</t>
        </is>
      </c>
      <c r="P279" s="32" t="n"/>
      <c r="Q279" s="32" t="inlineStr">
        <is>
          <t>Pull-to-refresh while offline on Records keeps the saved rows and shows the offline banner ('You are offline — showing your saved records'); no silent failure. Server-down (online) case needs a proxy.</t>
        </is>
      </c>
    </row>
    <row r="280" ht="30" customHeight="1">
      <c r="A280" s="27" t="inlineStr">
        <is>
          <t>BL-CACHE-006</t>
        </is>
      </c>
      <c r="B280" s="28" t="inlineStr">
        <is>
          <t>Cache, offline &amp; pagination</t>
        </is>
      </c>
      <c r="C280" s="28" t="inlineStr">
        <is>
          <t>Freshness</t>
        </is>
      </c>
      <c r="D280" s="28" t="inlineStr">
        <is>
          <t>Retry policy</t>
        </is>
      </c>
      <c r="E280" s="28" t="inlineStr">
        <is>
          <t>Return 500, then 404, on a stale-cache refresh (proxy)</t>
        </is>
      </c>
      <c r="F280" s="28" t="inlineStr">
        <is>
          <t>Up to 4 attempts with growing waits for the 500; a single attempt for the 404.</t>
        </is>
      </c>
      <c r="G280" s="29" t="inlineStr">
        <is>
          <t>P3</t>
        </is>
      </c>
      <c r="H280" s="29" t="inlineStr">
        <is>
          <t>Boundary</t>
        </is>
      </c>
      <c r="I280" s="30" t="inlineStr">
        <is>
          <t>lib/core/storage/cache/cached_fetcher.dart:195</t>
        </is>
      </c>
      <c r="J280" s="29" t="n"/>
      <c r="K280" s="31" t="inlineStr">
        <is>
          <t>Pass</t>
        </is>
      </c>
      <c r="L280" s="32" t="inlineStr">
        <is>
          <t>Claude (adb)</t>
        </is>
      </c>
      <c r="M280" s="33" t="n">
        <v>46300</v>
      </c>
      <c r="N280" s="32" t="inlineStr">
        <is>
          <t>1.0.0+1 debug</t>
        </is>
      </c>
      <c r="O280" s="32" t="inlineStr">
        <is>
          <t>emulator-5554 / Android 14</t>
        </is>
      </c>
      <c r="P280" s="32" t="n"/>
      <c r="Q280" s="32" t="inlineStr">
        <is>
          <t>Calls watched through a pass-through recorder on the host (app pointed at http://10.0.2.2:8000, which forwards to the integration server). Stale saved copy (emulator clock +25 h) and GET /patient/documents answered 500: 4 attempts at 0 s, +2 s, +4 s and +8 s, then the saved list stayed with the 'Data from 1 day ago' bar. Same with 404: a single attempt. (With a fresh saved copy a 500 is tried once, as designed.) Clock restored afterwards.</t>
        </is>
      </c>
    </row>
    <row r="281" ht="43" customHeight="1">
      <c r="A281" s="27" t="inlineStr">
        <is>
          <t>BL-CACHE-007</t>
        </is>
      </c>
      <c r="B281" s="28" t="inlineStr">
        <is>
          <t>Cache, offline &amp; pagination</t>
        </is>
      </c>
      <c r="C281" s="28" t="inlineStr">
        <is>
          <t>Freshness</t>
        </is>
      </c>
      <c r="D281" s="28" t="inlineStr">
        <is>
          <t>Offline with and without a saved copy</t>
        </is>
      </c>
      <c r="E281" s="28" t="inlineStr">
        <is>
          <t>1. Cold start offline on a never-loaded list and on a previously loaded one
2. Reconnect</t>
        </is>
      </c>
      <c r="F281" s="28" t="inlineStr">
        <is>
          <t>Error view with the offline message vs saved rows that refresh once the connection returns.</t>
        </is>
      </c>
      <c r="G281" s="29" t="inlineStr">
        <is>
          <t>P0</t>
        </is>
      </c>
      <c r="H281" s="29" t="inlineStr">
        <is>
          <t>Rule</t>
        </is>
      </c>
      <c r="I281" s="30" t="inlineStr">
        <is>
          <t>lib/core/storage/cache/cached_fetcher.dart:166</t>
        </is>
      </c>
      <c r="J281" s="29" t="n"/>
      <c r="K281" s="31" t="inlineStr">
        <is>
          <t>Pass</t>
        </is>
      </c>
      <c r="L281" s="32" t="inlineStr">
        <is>
          <t>Claude (adb)</t>
        </is>
      </c>
      <c r="M281" s="33" t="n">
        <v>46299</v>
      </c>
      <c r="N281" s="32" t="inlineStr">
        <is>
          <t>1.0.0+1 debug</t>
        </is>
      </c>
      <c r="O281" s="32" t="inlineStr">
        <is>
          <t>emulator-5554 / Android 14</t>
        </is>
      </c>
      <c r="P281" s="32" t="n"/>
      <c r="Q281" s="32" t="inlineStr">
        <is>
          <t>Cold start offline: Records (loaded earlier) shows the saved rows with 'You are offline — showing your saved records'; Insurance (never loaded) shows 'We could not load your policies — You appear to be offline. Check your connection and try again.' with Try Again. Records refreshed by itself after reconnecting.</t>
        </is>
      </c>
    </row>
    <row r="282" ht="56" customHeight="1">
      <c r="A282" s="27" t="inlineStr">
        <is>
          <t>BL-CACHE-008</t>
        </is>
      </c>
      <c r="B282" s="28" t="inlineStr">
        <is>
          <t>Cache, offline &amp; pagination</t>
        </is>
      </c>
      <c r="C282" s="28" t="inlineStr">
        <is>
          <t>Freshness</t>
        </is>
      </c>
      <c r="D282" s="28" t="inlineStr">
        <is>
          <t>Detail screens offline after a cold start</t>
        </is>
      </c>
      <c r="E282" s="28" t="inlineStr">
        <is>
          <t>1. Load a document detail and more pages of a list
2. Kill the app
3. Relaunch offline
4. Open the same detail</t>
        </is>
      </c>
      <c r="F282" s="28" t="inlineStr">
        <is>
          <t>The saved copy should show. The code may sit on the loading skeleton for these one-shot reads.</t>
        </is>
      </c>
      <c r="G282" s="29" t="inlineStr">
        <is>
          <t>P1</t>
        </is>
      </c>
      <c r="H282" s="29" t="inlineStr">
        <is>
          <t>Verify gap</t>
        </is>
      </c>
      <c r="I282" s="30" t="inlineStr">
        <is>
          <t>lib/core/storage/cache/cached_fetcher.dart:175</t>
        </is>
      </c>
      <c r="J282" s="29" t="n"/>
      <c r="K282" s="31" t="inlineStr">
        <is>
          <t>Pass</t>
        </is>
      </c>
      <c r="L282" s="32" t="inlineStr">
        <is>
          <t>Claude (adb)</t>
        </is>
      </c>
      <c r="M282" s="33" t="n">
        <v>46300</v>
      </c>
      <c r="N282" s="32" t="inlineStr">
        <is>
          <t>1.0.0+1 debug</t>
        </is>
      </c>
      <c r="O282" s="32" t="inlineStr">
        <is>
          <t>emulator-5554 / Android 14</t>
        </is>
      </c>
      <c r="P282" s="32" t="inlineStr">
        <is>
          <t>DEF-025</t>
        </is>
      </c>
      <c r="Q282" s="32" t="inlineStr">
        <is>
          <t>FIXED AND RETESTED (5 Oct 2026, rebuilt debug build; DEF-025). Cause: the document detail is a one-shot read, and offline it waited for the connection to come back instead of showing the saved copy. Fix (DEF-025, same change as DEF-068): one-shot reads now return the saved copy at once when offline instead of waiting for the connection to return (cached_fetcher.dart), and the bell's unread count is saved so the last known count shows offline (notifications_repository_impl.dart). Tests added (cached_fetcher_test.dart, unread_count_offline_test.dart). Retest: opened Prescription online, relaunched in airplane mode, opened it from Records: within 3 s the detail showed 'Prescription', 'Patient - Sanjay Varma' and the rest, from saved data. First observed 4 Oct 2026: the detail stayed blank under the 'Document' title for 10+ s - no saved copy, no offline message, no retry. Not rechecked: more pages of a list (BB-10).</t>
        </is>
      </c>
    </row>
    <row r="283" ht="43" customHeight="1">
      <c r="A283" s="27" t="inlineStr">
        <is>
          <t>BL-CACHE-009</t>
        </is>
      </c>
      <c r="B283" s="28" t="inlineStr">
        <is>
          <t>Cache, offline &amp; pagination</t>
        </is>
      </c>
      <c r="C283" s="28" t="inlineStr">
        <is>
          <t>Freshness</t>
        </is>
      </c>
      <c r="D283" s="28" t="inlineStr">
        <is>
          <t>Bad responses are never cached</t>
        </is>
      </c>
      <c r="E283" s="28" t="inlineStr">
        <is>
          <t>1. Return a row missing a required field (proxy)
2. Reopen the screen</t>
        </is>
      </c>
      <c r="F283" s="28" t="inlineStr">
        <is>
          <t>'We could not read the response from our server. Please try again.'; the previous good data is still used next time.</t>
        </is>
      </c>
      <c r="G283" s="29" t="inlineStr">
        <is>
          <t>P1</t>
        </is>
      </c>
      <c r="H283" s="29" t="inlineStr">
        <is>
          <t>Rule</t>
        </is>
      </c>
      <c r="I283" s="30" t="inlineStr">
        <is>
          <t>lib/core/storage/cache/cached_fetcher.dart:186</t>
        </is>
      </c>
      <c r="J283" s="29" t="n"/>
      <c r="K283" s="31" t="inlineStr">
        <is>
          <t>Pass</t>
        </is>
      </c>
      <c r="L283" s="32" t="inlineStr">
        <is>
          <t>Claude (adb)</t>
        </is>
      </c>
      <c r="M283" s="33" t="n">
        <v>46300</v>
      </c>
      <c r="N283" s="32" t="inlineStr">
        <is>
          <t>1.0.0+1 debug</t>
        </is>
      </c>
      <c r="O283" s="32" t="inlineStr">
        <is>
          <t>emulator-5554 / Android 14</t>
        </is>
      </c>
      <c r="P283" s="32" t="n"/>
      <c r="Q283" s="32" t="inlineStr">
        <is>
          <t>Calls watched through a pass-through recorder on the host (app pointed at http://10.0.2.2:8000, which forwards to the integration server). Pull to refresh on Records with the first row's id removed from the response: 'We could not read the response from our server. Please try again.' above the previous list (2 records). Restarted the app with the documents call failing (500): Records still showed the 2 good records, so the bad response was not saved.</t>
        </is>
      </c>
    </row>
    <row r="284" ht="43" customHeight="1">
      <c r="A284" s="27" t="inlineStr">
        <is>
          <t>BL-CACHE-010</t>
        </is>
      </c>
      <c r="B284" s="28" t="inlineStr">
        <is>
          <t>Cache, offline &amp; pagination</t>
        </is>
      </c>
      <c r="C284" s="28" t="inlineStr">
        <is>
          <t>Freshness</t>
        </is>
      </c>
      <c r="D284" s="28" t="inlineStr">
        <is>
          <t>Saved data still reachable after a token refresh</t>
        </is>
      </c>
      <c r="E284" s="28" t="inlineStr">
        <is>
          <t>1. Load data
2. Wait for the access token to refresh (15+ min)
3. Relaunch offline</t>
        </is>
      </c>
      <c r="F284" s="28" t="inlineStr">
        <is>
          <t>Saved data should still appear. The cache key includes the access token, so entries may be unreachable after a refresh.</t>
        </is>
      </c>
      <c r="G284" s="29" t="inlineStr">
        <is>
          <t>P1</t>
        </is>
      </c>
      <c r="H284" s="29" t="inlineStr">
        <is>
          <t>Verify gap</t>
        </is>
      </c>
      <c r="I284" s="30" t="inlineStr">
        <is>
          <t>lib/core/storage/hive/keys.dart:132</t>
        </is>
      </c>
      <c r="J284" s="29" t="n"/>
      <c r="K284" s="31" t="inlineStr">
        <is>
          <t>Pass</t>
        </is>
      </c>
      <c r="L284" s="32" t="inlineStr">
        <is>
          <t>Claude (adb)</t>
        </is>
      </c>
      <c r="M284" s="33" t="n">
        <v>46300</v>
      </c>
      <c r="N284" s="32" t="inlineStr">
        <is>
          <t>1.0.0+1 debug</t>
        </is>
      </c>
      <c r="O284" s="32" t="inlineStr">
        <is>
          <t>emulator-5554 / Android 14</t>
        </is>
      </c>
      <c r="P284" s="32" t="inlineStr">
        <is>
          <t>DEF-065</t>
        </is>
      </c>
      <c r="Q284" s="32" t="inlineStr">
        <is>
          <t>FIXED AND RETESTED (5 Oct 2026, rebuilt debug build; DEF-065). Fix: saved data is labelled with the signed-in account instead of the access token, so a token refresh no longer hides it; one account's data is still kept apart from another's and everything is still wiped on sign-out (keys.dart, cached_fetcher.dart, auth_provider.dart, app_bootstrap.dart; docs-flutter/HIVE implementation.md and QA.md updated to match). Tests added (cached_fetcher_test.dart, cache_scope_test.dart). Retest, same steps as before: Records loaded online at 17:19 and not opened again; Home and Profile used for 19 minutes (longer than the 15-minute token); at 17:39 relaunched in airplane mode: Records showed 'You are offline - showing your saved records' with its 2 saved records. Back online, Records loaded normally. Two leftovers seen offline - record rows said 'Family member' instead of 'Sanjay Varma', and the bell said 'no unread' - were fixed the same day (DEF-068) and rechecked in airplane mode: rows show 'Sanjay Varma', the bell 'Notifications, 13 unread'. Before the fix (same day, 16:32-16:55): Records offline showed 'We could not load your records - You appear to be offline...'.</t>
        </is>
      </c>
    </row>
    <row r="285" ht="30" customHeight="1">
      <c r="A285" s="27" t="inlineStr">
        <is>
          <t>BL-CACHE-011</t>
        </is>
      </c>
      <c r="B285" s="28" t="inlineStr">
        <is>
          <t>Cache, offline &amp; pagination</t>
        </is>
      </c>
      <c r="C285" s="28" t="inlineStr">
        <is>
          <t>Eviction &amp; corruption</t>
        </is>
      </c>
      <c r="D285" s="28" t="inlineStr">
        <is>
          <t>Storage ceiling</t>
        </is>
      </c>
      <c r="E285" s="28" t="inlineStr">
        <is>
          <t>1. Browse heavily until app storage approaches 180 MB
2. Wait 5 minutes</t>
        </is>
      </c>
      <c r="F285" s="28" t="inlineStr">
        <is>
          <t>Oldest fifth of entries is dropped; app keeps working.</t>
        </is>
      </c>
      <c r="G285" s="29" t="inlineStr">
        <is>
          <t>P3</t>
        </is>
      </c>
      <c r="H285" s="29" t="inlineStr">
        <is>
          <t>Boundary</t>
        </is>
      </c>
      <c r="I285" s="30" t="inlineStr">
        <is>
          <t>lib/core/storage/cache/cached_fetcher.dart:397</t>
        </is>
      </c>
      <c r="J285" s="29" t="n"/>
      <c r="K285" s="31" t="inlineStr">
        <is>
          <t>Pass</t>
        </is>
      </c>
      <c r="L285" s="32" t="inlineStr">
        <is>
          <t>Claude (adb)</t>
        </is>
      </c>
      <c r="M285" s="33" t="n">
        <v>46300</v>
      </c>
      <c r="N285" s="32" t="inlineStr">
        <is>
          <t>1.0.0+1 debug</t>
        </is>
      </c>
      <c r="O285" s="32" t="inlineStr">
        <is>
          <t>emulator-5554 / Android 14</t>
        </is>
      </c>
      <c r="P285" s="32" t="n"/>
      <c r="Q285" s="32" t="inlineStr">
        <is>
          <t>Not reached by browsing: with the app running, its storage was padded to 194 MB (185 MB appended to the empty outbox box file via run-as). The 5-minute monitor ran about 5 min after launch: last_eviction_sweep_at was written and 4 of the 18 saved responses were removed (delete records in http_cache.hive); the app kept working (Records loaded). Observation: the box file was not rewritten after the sweep (15,131 bytes after vs 14,823 before), so the space of the dropped entries was not reclaimed - worth a look. Whether the 4 were the oldest was not checked. Padding removed afterwards.</t>
        </is>
      </c>
    </row>
    <row r="286" ht="30" customHeight="1">
      <c r="A286" s="27" t="inlineStr">
        <is>
          <t>BL-CACHE-012</t>
        </is>
      </c>
      <c r="B286" s="28" t="inlineStr">
        <is>
          <t>Cache, offline &amp; pagination</t>
        </is>
      </c>
      <c r="C286" s="28" t="inlineStr">
        <is>
          <t>Eviction &amp; corruption</t>
        </is>
      </c>
      <c r="D286" s="28" t="inlineStr">
        <is>
          <t>Corrupt entry recovery</t>
        </is>
      </c>
      <c r="E286" s="28" t="inlineStr">
        <is>
          <t>1. Corrupt a cache entry on a debug build
2. Reopen the screen</t>
        </is>
      </c>
      <c r="F286" s="28" t="inlineStr">
        <is>
          <t>Loads from the network as if new; no crash.</t>
        </is>
      </c>
      <c r="G286" s="29" t="inlineStr">
        <is>
          <t>P1</t>
        </is>
      </c>
      <c r="H286" s="29" t="inlineStr">
        <is>
          <t>Error handling</t>
        </is>
      </c>
      <c r="I286" s="30" t="inlineStr">
        <is>
          <t>lib/core/storage/cache/cached_fetcher.dart:380</t>
        </is>
      </c>
      <c r="J286" s="29" t="n"/>
      <c r="K286" s="31" t="inlineStr">
        <is>
          <t>Pass</t>
        </is>
      </c>
      <c r="L286" s="32" t="inlineStr">
        <is>
          <t>Claude (adb)</t>
        </is>
      </c>
      <c r="M286" s="33" t="n">
        <v>46299</v>
      </c>
      <c r="N286" s="32" t="inlineStr">
        <is>
          <t>1.0.0+1 debug</t>
        </is>
      </c>
      <c r="O286" s="32" t="inlineStr">
        <is>
          <t>emulator-5554 / Android 14</t>
        </is>
      </c>
      <c r="P286" s="32" t="n"/>
      <c r="Q286" s="32" t="inlineStr">
        <is>
          <t>With the app stopped, 400 random bytes were written into the middle of http_cache.hive and garbage into two other cache boxes. The app relaunched to Home, Records and Appointments loaded from the network, and logcat shows no fatal error.</t>
        </is>
      </c>
    </row>
    <row r="287" ht="30" customHeight="1">
      <c r="A287" s="27" t="inlineStr">
        <is>
          <t>BL-CACHE-013</t>
        </is>
      </c>
      <c r="B287" s="28" t="inlineStr">
        <is>
          <t>Cache, offline &amp; pagination</t>
        </is>
      </c>
      <c r="C287" s="28" t="inlineStr">
        <is>
          <t>Eviction &amp; corruption</t>
        </is>
      </c>
      <c r="D287" s="28" t="inlineStr">
        <is>
          <t>Storage unavailable</t>
        </is>
      </c>
      <c r="E287" s="28" t="inlineStr">
        <is>
          <t>1. Fill the device storage or corrupt a box file
2. Relaunch</t>
        </is>
      </c>
      <c r="F287" s="28" t="inlineStr">
        <is>
          <t>App still works online; nothing is saved; no error shown.</t>
        </is>
      </c>
      <c r="G287" s="29" t="inlineStr">
        <is>
          <t>P2</t>
        </is>
      </c>
      <c r="H287" s="29" t="inlineStr">
        <is>
          <t>Error handling</t>
        </is>
      </c>
      <c r="I287" s="30" t="inlineStr">
        <is>
          <t>lib/core/storage/hive_local_store.dart:109</t>
        </is>
      </c>
      <c r="J287" s="29" t="n"/>
      <c r="K287" s="31" t="inlineStr">
        <is>
          <t>Pass</t>
        </is>
      </c>
      <c r="L287" s="32" t="inlineStr">
        <is>
          <t>Claude (adb)</t>
        </is>
      </c>
      <c r="M287" s="33" t="n">
        <v>46299</v>
      </c>
      <c r="N287" s="32" t="inlineStr">
        <is>
          <t>1.0.0+1 debug</t>
        </is>
      </c>
      <c r="O287" s="32" t="inlineStr">
        <is>
          <t>emulator-5554 / Android 14</t>
        </is>
      </c>
      <c r="P287" s="32" t="n"/>
      <c r="Q287" s="32" t="inlineStr">
        <is>
          <t>Same run: a box whose header was overwritten and one with trailing garbage did not stop the app; data was refetched and nothing was reported to the user. (Full-disk case not exercised.)</t>
        </is>
      </c>
    </row>
    <row r="288" ht="56" customHeight="1">
      <c r="A288" s="27" t="inlineStr">
        <is>
          <t>BL-CACHE-014</t>
        </is>
      </c>
      <c r="B288" s="28" t="inlineStr">
        <is>
          <t>Cache, offline &amp; pagination</t>
        </is>
      </c>
      <c r="C288" s="28" t="inlineStr">
        <is>
          <t>Isolation &amp; logout</t>
        </is>
      </c>
      <c r="D288" s="28" t="inlineStr">
        <is>
          <t>User B never sees user A's saved data</t>
        </is>
      </c>
      <c r="E288" s="28" t="inlineStr">
        <is>
          <t>1. Sign in as A and browse
2. Log out
3. Sign in as B
4. Go offline</t>
        </is>
      </c>
      <c r="F288" s="28" t="inlineStr">
        <is>
          <t>Nothing of A's appears.</t>
        </is>
      </c>
      <c r="G288" s="29" t="inlineStr">
        <is>
          <t>P0</t>
        </is>
      </c>
      <c r="H288" s="29" t="inlineStr">
        <is>
          <t>Rule</t>
        </is>
      </c>
      <c r="I288" s="30" t="inlineStr">
        <is>
          <t>lib/core/storage/hive/keys.dart:123</t>
        </is>
      </c>
      <c r="J288" s="29" t="n"/>
      <c r="K288" s="31" t="inlineStr">
        <is>
          <t>Pass</t>
        </is>
      </c>
      <c r="L288" s="32" t="inlineStr">
        <is>
          <t>Claude (adb)</t>
        </is>
      </c>
      <c r="M288" s="33" t="n">
        <v>46299</v>
      </c>
      <c r="N288" s="32" t="inlineStr">
        <is>
          <t>1.0.0+1 debug</t>
        </is>
      </c>
      <c r="O288" s="32" t="inlineStr">
        <is>
          <t>emulator-5554 / Android 14</t>
        </is>
      </c>
      <c r="P288" s="32" t="n"/>
      <c r="Q288" s="32" t="inlineStr">
        <is>
          <t>Sanjay logged out, Asha signed in on the same device, then relaunched in airplane mode: Home greets Asha, Appointments shows her 7 visits ('For Asha Rao'), Records shows her own saved record — nothing belonging to Sanjay appears.</t>
        </is>
      </c>
    </row>
    <row r="289" ht="30" customHeight="1">
      <c r="A289" s="27" t="inlineStr">
        <is>
          <t>BL-CACHE-015</t>
        </is>
      </c>
      <c r="B289" s="28" t="inlineStr">
        <is>
          <t>Cache, offline &amp; pagination</t>
        </is>
      </c>
      <c r="C289" s="28" t="inlineStr">
        <is>
          <t>Isolation &amp; logout</t>
        </is>
      </c>
      <c r="D289" s="28" t="inlineStr">
        <is>
          <t>Logout clears saved data but keeps device settings</t>
        </is>
      </c>
      <c r="E289" s="28" t="inlineStr">
        <is>
          <t>1. Log out
2. Inspect storage</t>
        </is>
      </c>
      <c r="F289" s="28" t="inlineStr">
        <is>
          <t>Tokens and all cached data gone; onboarding flag kept.</t>
        </is>
      </c>
      <c r="G289" s="29" t="inlineStr">
        <is>
          <t>P0</t>
        </is>
      </c>
      <c r="H289" s="29" t="inlineStr">
        <is>
          <t>State</t>
        </is>
      </c>
      <c r="I289" s="30" t="inlineStr">
        <is>
          <t>lib/core/storage/hive/boxes.dart:83</t>
        </is>
      </c>
      <c r="J289" s="29" t="n"/>
      <c r="K289" s="31" t="inlineStr">
        <is>
          <t>Pass</t>
        </is>
      </c>
      <c r="L289" s="32" t="inlineStr">
        <is>
          <t>Claude (adb)</t>
        </is>
      </c>
      <c r="M289" s="33" t="n">
        <v>46299</v>
      </c>
      <c r="N289" s="32" t="inlineStr">
        <is>
          <t>1.0.0+1 debug</t>
        </is>
      </c>
      <c r="O289" s="32" t="inlineStr">
        <is>
          <t>emulator-5554 / Android 14</t>
        </is>
      </c>
      <c r="P289" s="32" t="n"/>
      <c r="Q289" s="32" t="inlineStr">
        <is>
          <t>On logout and on a forced sign-out all cached data is removed (cache boxes 0 bytes, tokens removed); the settings box survives so onboarding is not repeated.</t>
        </is>
      </c>
    </row>
    <row r="290" ht="30" customHeight="1">
      <c r="A290" s="27" t="inlineStr">
        <is>
          <t>BL-CACHE-016</t>
        </is>
      </c>
      <c r="B290" s="28" t="inlineStr">
        <is>
          <t>Cache, offline &amp; pagination</t>
        </is>
      </c>
      <c r="C290" s="28" t="inlineStr">
        <is>
          <t>Isolation &amp; logout</t>
        </is>
      </c>
      <c r="D290" s="28" t="inlineStr">
        <is>
          <t>Any change empties the whole response cache</t>
        </is>
      </c>
      <c r="E290" s="28" t="inlineStr">
        <is>
          <t>1. Edit a document
2. Open Appointments (proxy attached)</t>
        </is>
      </c>
      <c r="F290" s="28" t="inlineStr">
        <is>
          <t>Appointments reload from the network. Confirm this breadth is acceptable for performance.</t>
        </is>
      </c>
      <c r="G290" s="29" t="inlineStr">
        <is>
          <t>P3</t>
        </is>
      </c>
      <c r="H290" s="29" t="inlineStr">
        <is>
          <t>Verify gap</t>
        </is>
      </c>
      <c r="I290" s="30" t="inlineStr">
        <is>
          <t>lib/core/storage/cache/cached_fetcher.dart:430</t>
        </is>
      </c>
      <c r="J290" s="29" t="n"/>
      <c r="K290" s="31" t="inlineStr">
        <is>
          <t>Blocked</t>
        </is>
      </c>
      <c r="L290" s="32" t="inlineStr">
        <is>
          <t>Claude (adb)</t>
        </is>
      </c>
      <c r="M290" s="33" t="n">
        <v>46300</v>
      </c>
      <c r="N290" s="32" t="inlineStr">
        <is>
          <t>1.0.0+1 debug</t>
        </is>
      </c>
      <c r="O290" s="32" t="inlineStr">
        <is>
          <t>emulator-5554 / Android 14</t>
        </is>
      </c>
      <c r="P290" s="32" t="n"/>
      <c r="Q290" s="32" t="inlineStr">
        <is>
          <t>OWNER DECISION. Calls watched through a pass-through recorder on the host (app pointed at http://10.0.2.2:8000, which forwards to the integration server). Confirmed: after editing one document's title (PATCH /patient/documents/&lt;id&gt;), the whole response cache was empty. Appointments did not refetch at once (its screen state is kept in memory), but on the next app start every call - app-config, hospitals, departments, appointments - went out without If-None-Match and returned a full 200, where the previous start sent If-None-Match and got 304s. So one edit costs a full reload of everything on the next start, and would leave nothing saved for offline use. Decide whether that breadth is acceptable or the clear should be limited to the changed area. The document title was changed back.</t>
        </is>
      </c>
    </row>
    <row r="291" ht="30" customHeight="1">
      <c r="A291" s="27" t="inlineStr">
        <is>
          <t>BL-CACHE-017</t>
        </is>
      </c>
      <c r="B291" s="28" t="inlineStr">
        <is>
          <t>Cache, offline &amp; pagination</t>
        </is>
      </c>
      <c r="C291" s="28" t="inlineStr">
        <is>
          <t>Connectivity</t>
        </is>
      </c>
      <c r="D291" s="28" t="inlineStr">
        <is>
          <t>Offline indicators appear and clear</t>
        </is>
      </c>
      <c r="E291" s="28" t="inlineStr">
        <is>
          <t>Toggle airplane mode on shared lists and on Notifications</t>
        </is>
      </c>
      <c r="F291" s="28" t="inlineStr">
        <is>
          <t>'You're offline. Showing what was saved on this device.' while offline; cleared on reconnect.</t>
        </is>
      </c>
      <c r="G291" s="29" t="inlineStr">
        <is>
          <t>P1</t>
        </is>
      </c>
      <c r="H291" s="29" t="inlineStr">
        <is>
          <t>State</t>
        </is>
      </c>
      <c r="I291" s="30" t="inlineStr">
        <is>
          <t>lib/features/common/cached/cached_status_bar.dart:40</t>
        </is>
      </c>
      <c r="J291" s="29" t="n"/>
      <c r="K291" s="31" t="inlineStr">
        <is>
          <t>Pass</t>
        </is>
      </c>
      <c r="L291" s="32" t="inlineStr">
        <is>
          <t>Claude (adb)</t>
        </is>
      </c>
      <c r="M291" s="33" t="n">
        <v>46300</v>
      </c>
      <c r="N291" s="32" t="inlineStr">
        <is>
          <t>1.0.0+1 debug</t>
        </is>
      </c>
      <c r="O291" s="32" t="inlineStr">
        <is>
          <t>emulator-5554 / Android 14</t>
        </is>
      </c>
      <c r="P291" s="32" t="inlineStr">
        <is>
          <t>DEF-026</t>
        </is>
      </c>
      <c r="Q291" s="32" t="inlineStr">
        <is>
          <t>FIXED AND RETESTED (5 Oct 2026, rebuilt debug build; DEF-026). Three changes: the offline bar is no longer shown when nothing is on screen (the error view already says it is offline - no more 'Showing what was saved' over an empty list); the error view can be pulled to refresh; a list whose last load failed reloads itself when the connection returns (appointments_screen.dart, freshness_bar.dart, appointments_provider.dart). Emulator: Upcoming (empty) offline -&gt; only 'You're offline - You appear to be offline...' with Try Again; network back, nothing tapped -&gt; 'Nothing here yet', 0 visits within seconds. Golden for the offline Appointments screen updated (banner gone). Test added (appointments_list_controller_test.dart). First observed: Offline indicators appear correctly, but they do not all clear: on the Appointments tab (opened offline after a cold start) the screen showed both 'You're offline. Showing what was saved on this phone.' and a full error view 'You're offline — You appear to be offline…'. After the network returned the banner went away but the error view stayed for 20+ s and pull-to-refresh did nothing; only tapping 'Try Again' loaded the list. Records, by contrast, refreshed automatically.</t>
        </is>
      </c>
    </row>
    <row r="292" ht="30" customHeight="1">
      <c r="A292" s="27" t="inlineStr">
        <is>
          <t>BL-CACHE-018</t>
        </is>
      </c>
      <c r="B292" s="28" t="inlineStr">
        <is>
          <t>Cache, offline &amp; pagination</t>
        </is>
      </c>
      <c r="C292" s="28" t="inlineStr">
        <is>
          <t>Connectivity</t>
        </is>
      </c>
      <c r="D292" s="28" t="inlineStr">
        <is>
          <t>Reconnect triggers one refresh burst</t>
        </is>
      </c>
      <c r="E292" s="28" t="inlineStr">
        <is>
          <t>Turn airplane mode off with the app open</t>
        </is>
      </c>
      <c r="F292" s="28" t="inlineStr">
        <is>
          <t>Profile, unread count and waiting lists refresh once; no polling while offline.</t>
        </is>
      </c>
      <c r="G292" s="29" t="inlineStr">
        <is>
          <t>P2</t>
        </is>
      </c>
      <c r="H292" s="29" t="inlineStr">
        <is>
          <t>Rule</t>
        </is>
      </c>
      <c r="I292" s="30" t="inlineStr">
        <is>
          <t>lib/app/app.dart:54</t>
        </is>
      </c>
      <c r="J292" s="29" t="n"/>
      <c r="K292" s="31" t="inlineStr">
        <is>
          <t>Pass</t>
        </is>
      </c>
      <c r="L292" s="32" t="inlineStr">
        <is>
          <t>Claude (adb)</t>
        </is>
      </c>
      <c r="M292" s="33" t="n">
        <v>46300</v>
      </c>
      <c r="N292" s="32" t="inlineStr">
        <is>
          <t>1.0.0+1 debug</t>
        </is>
      </c>
      <c r="O292" s="32" t="inlineStr">
        <is>
          <t>emulator-5554 / Android 14</t>
        </is>
      </c>
      <c r="P292" s="32" t="n"/>
      <c r="Q292" s="32" t="inlineStr">
        <is>
          <t>Calls watched through a pass-through recorder on the host (app pointed at http://10.0.2.2:8000, which forwards to the integration server). Airplane mode on for 30 s with the app on Home, then off: one GET /patient/me, the inbox socket reconnected, and the unread count was read (twice within a second - once by the reconnect burst and once by the socket's own resync). No repeated bursts. Not observable with this setup: calls the app might attempt while offline never reach the recorder. Afterwards the unread count is re-read about every 8 s because the server keeps dropping the socket (docs/BACKEND_BLOCKERS.md BB-04).</t>
        </is>
      </c>
    </row>
    <row r="293" ht="43" customHeight="1">
      <c r="A293" s="27" t="inlineStr">
        <is>
          <t>BL-CACHE-019</t>
        </is>
      </c>
      <c r="B293" s="28" t="inlineStr">
        <is>
          <t>Cache, offline &amp; pagination</t>
        </is>
      </c>
      <c r="C293" s="28" t="inlineStr">
        <is>
          <t>Connectivity</t>
        </is>
      </c>
      <c r="D293" s="28" t="inlineStr">
        <is>
          <t>Wi-Fi without internet</t>
        </is>
      </c>
      <c r="E293" s="28" t="inlineStr">
        <is>
          <t>Connect to Wi-Fi that has no internet</t>
        </is>
      </c>
      <c r="F293" s="28" t="inlineStr">
        <is>
          <t>Decide what is acceptable: the app treats this as online, so no offline banner — requests fail after the 10 s timeout.</t>
        </is>
      </c>
      <c r="G293" s="29" t="inlineStr">
        <is>
          <t>P2</t>
        </is>
      </c>
      <c r="H293" s="29" t="inlineStr">
        <is>
          <t>Verify gap</t>
        </is>
      </c>
      <c r="I293" s="30" t="inlineStr">
        <is>
          <t>lib/core/connectivity/connectivity_monitor.dart:46</t>
        </is>
      </c>
      <c r="J293" s="29" t="inlineStr">
        <is>
          <t/>
        </is>
      </c>
      <c r="K293" s="31" t="inlineStr">
        <is>
          <t>Pass</t>
        </is>
      </c>
      <c r="L293" s="32" t="inlineStr">
        <is>
          <t>Claude (adb)</t>
        </is>
      </c>
      <c r="M293" s="33" t="n">
        <v>46300</v>
      </c>
      <c r="N293" s="32" t="inlineStr">
        <is>
          <t>1.0.0+1 debug</t>
        </is>
      </c>
      <c r="O293" s="32" t="inlineStr">
        <is>
          <t>emulator-5554 / Android 14</t>
        </is>
      </c>
      <c r="P293" s="32" t="inlineStr">
        <is>
          <t>DEF-066</t>
        </is>
      </c>
      <c r="Q293" s="32" t="inlineStr">
        <is>
          <t>OWNER DECISION (5 Oct 2026): make it smarter - treat repeated timeouts as offline (DEF-066). DONE AND RETESTED (5 Oct 2026, rebuilt debug build). Fix: after 2 requests in a row fail with no connection or a timeout, the app treats the phone as offline even though Wi-Fi is connected, and checks GET /shared/health every 10 s; any answer from the server brings it back online and refreshes the screens (lib/core/connectivity/connectivity_monitor.dart, api_client.dart, app_bootstrap.dart). Retest - Wi-Fi left connected, all outgoing traffic dropped on the emulator: Records showed 'Offline' in the header and 'You are offline - showing your saved records' with the saved list at once (no 10 s wait, no silent 'Updating...'); Insurance showed 'You are offline - showing your saved policies'. Internet back (Wi-Fi never dropped): within 6 s Insurance loaded from the server ('No insurance saved') and Home showed 'Notifications, 13 unread' - no restart or tap needed. Tests added (connectivity_monitor_test.dart, dio_api_client_test.dart). The bell reading 'no unread' while offline was fixed the same day (DEF-068): it now shows the last known count. Before the fix (same day): no offline banner; Records' 'Updating...' vanished silently after about 10 s; pull to refresh and Insurance showed 'This is taking longer than usual. Please try again.' after about 10 s.</t>
        </is>
      </c>
    </row>
    <row r="294" ht="43" customHeight="1">
      <c r="A294" s="27" t="inlineStr">
        <is>
          <t>BL-CACHE-020</t>
        </is>
      </c>
      <c r="B294" s="28" t="inlineStr">
        <is>
          <t>Cache, offline &amp; pagination</t>
        </is>
      </c>
      <c r="C294" s="28" t="inlineStr">
        <is>
          <t>Pagination</t>
        </is>
      </c>
      <c r="D294" s="28" t="inlineStr">
        <is>
          <t>Records: Load more without duplicates</t>
        </is>
      </c>
      <c r="E294" s="28" t="inlineStr">
        <is>
          <t>1. Have 21+ records
2. Add one from another device
3. Tap Load more</t>
        </is>
      </c>
      <c r="F294" s="28" t="inlineStr">
        <is>
          <t>Next 20 appended, none repeated; button only while more exist.</t>
        </is>
      </c>
      <c r="G294" s="29" t="inlineStr">
        <is>
          <t>P1</t>
        </is>
      </c>
      <c r="H294" s="29" t="inlineStr">
        <is>
          <t>Rule</t>
        </is>
      </c>
      <c r="I294" s="30" t="inlineStr">
        <is>
          <t>lib/features/records/application/providers/records_provider.dart:178</t>
        </is>
      </c>
      <c r="J294" s="29" t="inlineStr">
        <is>
          <t>BB-10 (docs/BACKEND_BLOCKERS.md): 21+ documents on one account</t>
        </is>
      </c>
      <c r="K294" s="31" t="inlineStr">
        <is>
          <t>Blocked</t>
        </is>
      </c>
      <c r="L294" s="32" t="inlineStr">
        <is>
          <t>Claude (adb)</t>
        </is>
      </c>
      <c r="M294" s="33" t="n">
        <v>46299</v>
      </c>
      <c r="N294" s="32" t="inlineStr">
        <is>
          <t>1.0.0+1 debug</t>
        </is>
      </c>
      <c r="O294" s="32" t="inlineStr">
        <is>
          <t>emulator-5554 / Android 14</t>
        </is>
      </c>
      <c r="P294" s="32" t="n"/>
      <c r="Q294" s="32" t="inlineStr">
        <is>
          <t>Seed data: the account has 2 records (page size is 20).</t>
        </is>
      </c>
    </row>
    <row r="295" ht="43" customHeight="1">
      <c r="A295" s="27" t="inlineStr">
        <is>
          <t>BL-CACHE-021</t>
        </is>
      </c>
      <c r="B295" s="28" t="inlineStr">
        <is>
          <t>Cache, offline &amp; pagination</t>
        </is>
      </c>
      <c r="C295" s="28" t="inlineStr">
        <is>
          <t>Pagination</t>
        </is>
      </c>
      <c r="D295" s="28" t="inlineStr">
        <is>
          <t>Records: failed Load more</t>
        </is>
      </c>
      <c r="E295" s="28" t="inlineStr">
        <is>
          <t>1. Go offline
2. Tap Load more
3. Tap the banner</t>
        </is>
      </c>
      <c r="F295" s="28" t="inlineStr">
        <is>
          <t>Failure banner over the list. Check the retry — the code reloads page 1 only, dropping later pages.</t>
        </is>
      </c>
      <c r="G295" s="29" t="inlineStr">
        <is>
          <t>P2</t>
        </is>
      </c>
      <c r="H295" s="29" t="inlineStr">
        <is>
          <t>Verify gap</t>
        </is>
      </c>
      <c r="I295" s="30" t="inlineStr">
        <is>
          <t>lib/features/records/presentation/screen/records_screen.dart:196</t>
        </is>
      </c>
      <c r="J295" s="29" t="inlineStr">
        <is>
          <t>BB-10 (docs/BACKEND_BLOCKERS.md): 21+ documents on one account</t>
        </is>
      </c>
      <c r="K295" s="31" t="inlineStr">
        <is>
          <t>Blocked</t>
        </is>
      </c>
      <c r="L295" s="32" t="inlineStr">
        <is>
          <t>Claude (adb)</t>
        </is>
      </c>
      <c r="M295" s="33" t="n">
        <v>46299</v>
      </c>
      <c r="N295" s="32" t="inlineStr">
        <is>
          <t>1.0.0+1 debug</t>
        </is>
      </c>
      <c r="O295" s="32" t="inlineStr">
        <is>
          <t>emulator-5554 / Android 14</t>
        </is>
      </c>
      <c r="P295" s="32" t="n"/>
      <c r="Q295" s="32" t="inlineStr">
        <is>
          <t>Seed data: the account has 2 records (page size is 20).</t>
        </is>
      </c>
    </row>
    <row r="296" ht="43" customHeight="1">
      <c r="A296" s="27" t="inlineStr">
        <is>
          <t>BL-CACHE-022</t>
        </is>
      </c>
      <c r="B296" s="28" t="inlineStr">
        <is>
          <t>Cache, offline &amp; pagination</t>
        </is>
      </c>
      <c r="C296" s="28" t="inlineStr">
        <is>
          <t>Pagination</t>
        </is>
      </c>
      <c r="D296" s="28" t="inlineStr">
        <is>
          <t>Notifications: next page and failure</t>
        </is>
      </c>
      <c r="E296" s="28" t="inlineStr">
        <is>
          <t>1. Have 21+ notifications
2. Fail page 2</t>
        </is>
      </c>
      <c r="F296" s="28" t="inlineStr">
        <is>
          <t>Inline error with 'Load more'; first page stays.</t>
        </is>
      </c>
      <c r="G296" s="29" t="inlineStr">
        <is>
          <t>P2</t>
        </is>
      </c>
      <c r="H296" s="29" t="inlineStr">
        <is>
          <t>Error handling</t>
        </is>
      </c>
      <c r="I296" s="30" t="inlineStr">
        <is>
          <t>lib/features/notifications/application/providers/notifications_provider.dart:154</t>
        </is>
      </c>
      <c r="J296" s="29" t="n"/>
      <c r="K296" s="31" t="inlineStr">
        <is>
          <t>Pass</t>
        </is>
      </c>
      <c r="L296" s="32" t="inlineStr">
        <is>
          <t>Claude (adb)</t>
        </is>
      </c>
      <c r="M296" s="33" t="n">
        <v>46299</v>
      </c>
      <c r="N296" s="32" t="inlineStr">
        <is>
          <t>1.0.0+1 debug</t>
        </is>
      </c>
      <c r="O296" s="32" t="inlineStr">
        <is>
          <t>emulator-5554 / Android 14</t>
        </is>
      </c>
      <c r="P296" s="32" t="n"/>
      <c r="Q296" s="32" t="inlineStr">
        <is>
          <t>Notifications page 1 ends with 'Load more'. Offline: an inline 'You appear to be offline. Check your connection…' appears with the first page kept; back online, 'Load more' appends the next page.</t>
        </is>
      </c>
    </row>
    <row r="297" ht="30" customHeight="1">
      <c r="A297" s="27" t="inlineStr">
        <is>
          <t>BL-CACHE-023</t>
        </is>
      </c>
      <c r="B297" s="28" t="inlineStr">
        <is>
          <t>Cache, offline &amp; pagination</t>
        </is>
      </c>
      <c r="C297" s="28" t="inlineStr">
        <is>
          <t>Pagination</t>
        </is>
      </c>
      <c r="D297" s="28" t="inlineStr">
        <is>
          <t>Server omits paging fields</t>
        </is>
      </c>
      <c r="E297" s="28" t="inlineStr">
        <is>
          <t>Return a page without has_next / total (proxy)</t>
        </is>
      </c>
      <c r="F297" s="28" t="inlineStr">
        <is>
          <t>No 'Load more'; count equals rows shown; no crash.</t>
        </is>
      </c>
      <c r="G297" s="29" t="inlineStr">
        <is>
          <t>P3</t>
        </is>
      </c>
      <c r="H297" s="29" t="inlineStr">
        <is>
          <t>Error handling</t>
        </is>
      </c>
      <c r="I297" s="30" t="inlineStr">
        <is>
          <t>lib/core/network/api_client.dart:219</t>
        </is>
      </c>
      <c r="J297" s="29" t="n"/>
      <c r="K297" s="31" t="inlineStr">
        <is>
          <t>Pass</t>
        </is>
      </c>
      <c r="L297" s="32" t="inlineStr">
        <is>
          <t>Claude (adb)</t>
        </is>
      </c>
      <c r="M297" s="33" t="n">
        <v>46300</v>
      </c>
      <c r="N297" s="32" t="inlineStr">
        <is>
          <t>1.0.0+1 debug</t>
        </is>
      </c>
      <c r="O297" s="32" t="inlineStr">
        <is>
          <t>emulator-5554 / Android 14</t>
        </is>
      </c>
      <c r="P297" s="32" t="n"/>
      <c r="Q297" s="32" t="inlineStr">
        <is>
          <t>Calls watched through a pass-through recorder on the host (app pointed at http://10.0.2.2:8000, which forwards to the integration server). GET /patient/documents returned without has_next, total, page and page_size: no crash, no 'Load more', and the header count '2 records' equals the 2 rows shown.</t>
        </is>
      </c>
    </row>
    <row r="298" ht="30" customHeight="1">
      <c r="A298" s="27" t="inlineStr">
        <is>
          <t>BL-CACHE-024</t>
        </is>
      </c>
      <c r="B298" s="28" t="inlineStr">
        <is>
          <t>Cache, offline &amp; pagination</t>
        </is>
      </c>
      <c r="C298" s="28" t="inlineStr">
        <is>
          <t>Mutations</t>
        </is>
      </c>
      <c r="D298" s="28" t="inlineStr">
        <is>
          <t>Second tap while saving is ignored</t>
        </is>
      </c>
      <c r="E298" s="28" t="inlineStr">
        <is>
          <t>Double-tap Save on profile, address and family forms</t>
        </is>
      </c>
      <c r="F298" s="28" t="inlineStr">
        <is>
          <t>One request each. Check there is no false 'saved' toast for the ignored tap.</t>
        </is>
      </c>
      <c r="G298" s="29" t="inlineStr">
        <is>
          <t>P1</t>
        </is>
      </c>
      <c r="H298" s="29" t="inlineStr">
        <is>
          <t>Verify gap</t>
        </is>
      </c>
      <c r="I298" s="30" t="inlineStr">
        <is>
          <t>lib/features/common/mutation/mutation_notifier.dart:27</t>
        </is>
      </c>
      <c r="J298" s="29" t="inlineStr">
        <is>
          <t/>
        </is>
      </c>
      <c r="K298" s="31" t="inlineStr">
        <is>
          <t>Pass</t>
        </is>
      </c>
      <c r="L298" s="32" t="inlineStr">
        <is>
          <t>Claude (adb)</t>
        </is>
      </c>
      <c r="M298" s="33" t="n">
        <v>46300</v>
      </c>
      <c r="N298" s="32" t="inlineStr">
        <is>
          <t>1.0.0+1 debug</t>
        </is>
      </c>
      <c r="O298" s="32" t="inlineStr">
        <is>
          <t>emulator-5554 / Android 14</t>
        </is>
      </c>
      <c r="P298" s="32" t="inlineStr">
        <is>
          <t>DEF-067</t>
        </is>
      </c>
      <c r="Q298" s="32" t="inlineStr">
        <is>
          <t>FIXED (5 Oct 2026, DEF-067); checked by automated screen test, not on the emulator. Found in the code: a second tap on Save that lands in the same screen frame as the first (before the button shows its spinner) reached the save controller, which ignores it but answers 'nothing went wrong'. The profile and family-member screens read that as success: 'Profile updated' / '&lt;name&gt; added' and the screen closed while the real save was still running - and a failure of that save would then never be shown. The address form already had its own guard. Fix: the profile and family-member Save handlers now ignore a tap while a save is running (profile_edit_screen.dart, dependant_edit_screen.dart). Test (profile_edit_double_tap_test.dart): two taps in one frame with the save held in the air -&gt; one PATCH /patient/me, no message and the screen stays open; when the save finishes, one 'Profile updated' and the screen closes. The same test without the fix shows 'Profile updated' before anything is saved. Not checked on the emulator: adb cannot tap twice inside one frame, and slower double taps are already stopped by the button's spinner.</t>
        </is>
      </c>
    </row>
    <row r="299" ht="30" customHeight="1">
      <c r="A299" s="27" t="inlineStr">
        <is>
          <t>BL-CACHE-025</t>
        </is>
      </c>
      <c r="B299" s="28" t="inlineStr">
        <is>
          <t>Cache, offline &amp; pagination</t>
        </is>
      </c>
      <c r="C299" s="28" t="inlineStr">
        <is>
          <t>Mutations</t>
        </is>
      </c>
      <c r="D299" s="28" t="inlineStr">
        <is>
          <t>Refresh while a refresh is running</t>
        </is>
      </c>
      <c r="E299" s="28" t="inlineStr">
        <is>
          <t>Pull to refresh twice quickly</t>
        </is>
      </c>
      <c r="F299" s="28" t="inlineStr">
        <is>
          <t>One request.</t>
        </is>
      </c>
      <c r="G299" s="29" t="inlineStr">
        <is>
          <t>P3</t>
        </is>
      </c>
      <c r="H299" s="29" t="inlineStr">
        <is>
          <t>Rule</t>
        </is>
      </c>
      <c r="I299" s="30" t="inlineStr">
        <is>
          <t>lib/features/common/cached/cached_controller.dart:62</t>
        </is>
      </c>
      <c r="J299" s="29" t="n"/>
      <c r="K299" s="31" t="inlineStr">
        <is>
          <t>Pass</t>
        </is>
      </c>
      <c r="L299" s="32" t="inlineStr">
        <is>
          <t>Claude (adb)</t>
        </is>
      </c>
      <c r="M299" s="33" t="n">
        <v>46300</v>
      </c>
      <c r="N299" s="32" t="inlineStr">
        <is>
          <t>1.0.0+1 debug</t>
        </is>
      </c>
      <c r="O299" s="32" t="inlineStr">
        <is>
          <t>emulator-5554 / Android 14</t>
        </is>
      </c>
      <c r="P299" s="32" t="n"/>
      <c r="Q299" s="32" t="inlineStr">
        <is>
          <t>Calls watched through a pass-through recorder on the host (app pointed at http://10.0.2.2:8000, which forwards to the integration server). Two pulls to refresh on Records in quick succession: one request (GET /patient/documents, 304).</t>
        </is>
      </c>
    </row>
    <row r="300" ht="43" customHeight="1">
      <c r="A300" s="27" t="inlineStr">
        <is>
          <t>BL-NOTIF-001</t>
        </is>
      </c>
      <c r="B300" s="28" t="inlineStr">
        <is>
          <t>Notifications</t>
        </is>
      </c>
      <c r="C300" s="28" t="inlineStr">
        <is>
          <t>Routing</t>
        </is>
      </c>
      <c r="D300" s="28" t="inlineStr">
        <is>
          <t>Appointment events open the appointment</t>
        </is>
      </c>
      <c r="E300" s="28" t="inlineStr">
        <is>
          <t>Tap confirmation, approval, reminder, cancellation, rejection, no-show and refund notifications</t>
        </is>
      </c>
      <c r="F300" s="28" t="inlineStr">
        <is>
          <t>Appointment detail for that booking.</t>
        </is>
      </c>
      <c r="G300" s="29" t="inlineStr">
        <is>
          <t>P1</t>
        </is>
      </c>
      <c r="H300" s="29" t="inlineStr">
        <is>
          <t>Data mapping</t>
        </is>
      </c>
      <c r="I300" s="30" t="inlineStr">
        <is>
          <t>lib/features/notifications/application/usecases/notification_target.dart:59</t>
        </is>
      </c>
      <c r="J300" s="29" t="n"/>
      <c r="K300" s="31" t="inlineStr">
        <is>
          <t>Pass</t>
        </is>
      </c>
      <c r="L300" s="32" t="inlineStr">
        <is>
          <t>Claude (adb)</t>
        </is>
      </c>
      <c r="M300" s="33" t="n">
        <v>46299</v>
      </c>
      <c r="N300" s="32" t="inlineStr">
        <is>
          <t>1.0.0+1 debug</t>
        </is>
      </c>
      <c r="O300" s="32" t="inlineStr">
        <is>
          <t>emulator-5554 / Android 14</t>
        </is>
      </c>
      <c r="P300" s="32" t="n"/>
      <c r="Q300" s="32" t="inlineStr">
        <is>
          <t>Tapping an 'Appointment cancelled' notification opens that appointment's detail (Dr. Meera Varghese, Cancelled). Other appointment events not present to tap.</t>
        </is>
      </c>
    </row>
    <row r="301" ht="43" customHeight="1">
      <c r="A301" s="27" t="inlineStr">
        <is>
          <t>BL-NOTIF-002</t>
        </is>
      </c>
      <c r="B301" s="28" t="inlineStr">
        <is>
          <t>Notifications</t>
        </is>
      </c>
      <c r="C301" s="28" t="inlineStr">
        <is>
          <t>Routing</t>
        </is>
      </c>
      <c r="D301" s="28" t="inlineStr">
        <is>
          <t>Token called opens the live queue; payment captured opens the receipt</t>
        </is>
      </c>
      <c r="E301" s="28" t="inlineStr">
        <is>
          <t>Tap each</t>
        </is>
      </c>
      <c r="F301" s="28" t="inlineStr">
        <is>
          <t>Live queue / receipt for that appointment.</t>
        </is>
      </c>
      <c r="G301" s="29" t="inlineStr">
        <is>
          <t>P1</t>
        </is>
      </c>
      <c r="H301" s="29" t="inlineStr">
        <is>
          <t>Data mapping</t>
        </is>
      </c>
      <c r="I301" s="30" t="inlineStr">
        <is>
          <t>lib/features/notifications/application/usecases/notification_target.dart:59</t>
        </is>
      </c>
      <c r="J301" s="29" t="n"/>
      <c r="K301" s="31" t="inlineStr">
        <is>
          <t>Pass</t>
        </is>
      </c>
      <c r="L301" s="32" t="inlineStr">
        <is>
          <t>Claude (adb)</t>
        </is>
      </c>
      <c r="M301" s="33" t="n">
        <v>46299</v>
      </c>
      <c r="N301" s="32" t="inlineStr">
        <is>
          <t>1.0.0+1 debug</t>
        </is>
      </c>
      <c r="O301" s="32" t="inlineStr">
        <is>
          <t>emulator-5554 / Android 14</t>
        </is>
      </c>
      <c r="P301" s="32" t="n"/>
      <c r="Q301" s="32" t="inlineStr">
        <is>
          <t>Queue notification ('Token A001: please proceed…') opens Live queue for that appointment; 'Payment received' opens the Receipt (LKSR/26-27/00089); 'Appointment confirmed' opens Appointment Details.</t>
        </is>
      </c>
    </row>
    <row r="302" ht="43" customHeight="1">
      <c r="A302" s="27" t="inlineStr">
        <is>
          <t>BL-NOTIF-003</t>
        </is>
      </c>
      <c r="B302" s="28" t="inlineStr">
        <is>
          <t>Notifications</t>
        </is>
      </c>
      <c r="C302" s="28" t="inlineStr">
        <is>
          <t>Routing</t>
        </is>
      </c>
      <c r="D302" s="28" t="inlineStr">
        <is>
          <t>Account events</t>
        </is>
      </c>
      <c r="E302" s="28" t="inlineStr">
        <is>
          <t>Tap family auto-link, deletion requested, phone changed, export ready and ticket updated notifications</t>
        </is>
      </c>
      <c r="F302" s="28" t="inlineStr">
        <is>
          <t>Family members / Profile / Profile / Download my data / that ticket (or the ticket list).</t>
        </is>
      </c>
      <c r="G302" s="29" t="inlineStr">
        <is>
          <t>P2</t>
        </is>
      </c>
      <c r="H302" s="29" t="inlineStr">
        <is>
          <t>Data mapping</t>
        </is>
      </c>
      <c r="I302" s="30" t="inlineStr">
        <is>
          <t>lib/features/notifications/presentation/screen/notifications_screen.dart:538</t>
        </is>
      </c>
      <c r="J302" s="29" t="n"/>
      <c r="K302" s="31" t="inlineStr">
        <is>
          <t>Pass</t>
        </is>
      </c>
      <c r="L302" s="32" t="inlineStr">
        <is>
          <t>Claude (adb)</t>
        </is>
      </c>
      <c r="M302" s="33" t="n">
        <v>46299</v>
      </c>
      <c r="N302" s="32" t="inlineStr">
        <is>
          <t>1.0.0+1 debug</t>
        </is>
      </c>
      <c r="O302" s="32" t="inlineStr">
        <is>
          <t>emulator-5554 / Android 14</t>
        </is>
      </c>
      <c r="P302" s="32" t="n"/>
      <c r="Q302" s="32" t="inlineStr">
        <is>
          <t>'Account deletion requested' opens Profile; 'Your data export is ready' opens Download My Data. Family auto-link / phone changed / ticket notifications not present.</t>
        </is>
      </c>
    </row>
    <row r="303" ht="43" customHeight="1">
      <c r="A303" s="27" t="inlineStr">
        <is>
          <t>BL-NOTIF-004</t>
        </is>
      </c>
      <c r="B303" s="28" t="inlineStr">
        <is>
          <t>Notifications</t>
        </is>
      </c>
      <c r="C303" s="28" t="inlineStr">
        <is>
          <t>Routing</t>
        </is>
      </c>
      <c r="D303" s="28" t="inlineStr">
        <is>
          <t>Unknown event or missing id</t>
        </is>
      </c>
      <c r="E303" s="28" t="inlineStr">
        <is>
          <t>Send an unknown event with and without an appointment id</t>
        </is>
      </c>
      <c r="F303" s="28" t="inlineStr">
        <is>
          <t>Opens the appointment when an id is present; otherwise just marks the card read.</t>
        </is>
      </c>
      <c r="G303" s="29" t="inlineStr">
        <is>
          <t>P2</t>
        </is>
      </c>
      <c r="H303" s="29" t="inlineStr">
        <is>
          <t>Error handling</t>
        </is>
      </c>
      <c r="I303" s="30" t="inlineStr">
        <is>
          <t>lib/features/notifications/application/usecases/notification_target.dart:87</t>
        </is>
      </c>
      <c r="J303" s="29" t="inlineStr">
        <is>
          <t>BB-18 (docs/BACKEND_BLOCKERS.md): test notifications</t>
        </is>
      </c>
      <c r="K303" s="31" t="inlineStr">
        <is>
          <t>Blocked</t>
        </is>
      </c>
      <c r="L303" s="32" t="inlineStr">
        <is>
          <t>Claude (adb)</t>
        </is>
      </c>
      <c r="M303" s="33" t="n">
        <v>46299</v>
      </c>
      <c r="N303" s="32" t="inlineStr">
        <is>
          <t>1.0.0+1 debug</t>
        </is>
      </c>
      <c r="O303" s="32" t="inlineStr">
        <is>
          <t>emulator-5554 / Android 14</t>
        </is>
      </c>
      <c r="P303" s="32" t="n"/>
      <c r="Q303" s="32" t="inlineStr">
        <is>
          <t>Needs a specially crafted notification from the backend (unknown event/kind, or refund id only); none in the inbox and no way to inject one.</t>
        </is>
      </c>
    </row>
    <row r="304" ht="43" customHeight="1">
      <c r="A304" s="27" t="inlineStr">
        <is>
          <t>BL-NOTIF-005</t>
        </is>
      </c>
      <c r="B304" s="28" t="inlineStr">
        <is>
          <t>Notifications</t>
        </is>
      </c>
      <c r="C304" s="28" t="inlineStr">
        <is>
          <t>Routing</t>
        </is>
      </c>
      <c r="D304" s="28" t="inlineStr">
        <is>
          <t>Refund notification carrying only a refund id</t>
        </is>
      </c>
      <c r="E304" s="28" t="inlineStr">
        <is>
          <t>1. Send a refund notification without an appointment id
2. Tap it</t>
        </is>
      </c>
      <c r="F304" s="28" t="inlineStr">
        <is>
          <t>It should lead somewhere useful. The code opens nothing.</t>
        </is>
      </c>
      <c r="G304" s="29" t="inlineStr">
        <is>
          <t>P3</t>
        </is>
      </c>
      <c r="H304" s="29" t="inlineStr">
        <is>
          <t>Verify gap</t>
        </is>
      </c>
      <c r="I304" s="30" t="inlineStr">
        <is>
          <t>lib/features/notifications/application/usecases/notification_target.dart:68</t>
        </is>
      </c>
      <c r="J304" s="29" t="inlineStr">
        <is>
          <t>BB-18 (docs/BACKEND_BLOCKERS.md): test notifications</t>
        </is>
      </c>
      <c r="K304" s="31" t="inlineStr">
        <is>
          <t>Blocked</t>
        </is>
      </c>
      <c r="L304" s="32" t="inlineStr">
        <is>
          <t>Claude (adb)</t>
        </is>
      </c>
      <c r="M304" s="33" t="n">
        <v>46299</v>
      </c>
      <c r="N304" s="32" t="inlineStr">
        <is>
          <t>1.0.0+1 debug</t>
        </is>
      </c>
      <c r="O304" s="32" t="inlineStr">
        <is>
          <t>emulator-5554 / Android 14</t>
        </is>
      </c>
      <c r="P304" s="32" t="n"/>
      <c r="Q304" s="32" t="inlineStr">
        <is>
          <t>Needs a specially crafted notification from the backend (unknown event/kind, or refund id only); none in the inbox and no way to inject one.</t>
        </is>
      </c>
    </row>
    <row r="305" ht="43" customHeight="1">
      <c r="A305" s="27" t="inlineStr">
        <is>
          <t>BL-NOTIF-006</t>
        </is>
      </c>
      <c r="B305" s="28" t="inlineStr">
        <is>
          <t>Notifications</t>
        </is>
      </c>
      <c r="C305" s="28" t="inlineStr">
        <is>
          <t>Read state &amp; count</t>
        </is>
      </c>
      <c r="D305" s="28" t="inlineStr">
        <is>
          <t>Tapping an unread card marks it read</t>
        </is>
      </c>
      <c r="E305" s="28" t="inlineStr">
        <is>
          <t>Tap an unread card online, then another one offline</t>
        </is>
      </c>
      <c r="F305" s="28" t="inlineStr">
        <is>
          <t>Online: card read, badge −1. Offline: stays unread but still navigates.</t>
        </is>
      </c>
      <c r="G305" s="29" t="inlineStr">
        <is>
          <t>P1</t>
        </is>
      </c>
      <c r="H305" s="29" t="inlineStr">
        <is>
          <t>State</t>
        </is>
      </c>
      <c r="I305" s="30" t="inlineStr">
        <is>
          <t>lib/features/notifications/presentation/screen/notifications_screen.dart:527</t>
        </is>
      </c>
      <c r="J305" s="29" t="n"/>
      <c r="K305" s="31" t="inlineStr">
        <is>
          <t>Pass</t>
        </is>
      </c>
      <c r="L305" s="32" t="inlineStr">
        <is>
          <t>Claude (adb)</t>
        </is>
      </c>
      <c r="M305" s="33" t="n">
        <v>46299</v>
      </c>
      <c r="N305" s="32" t="inlineStr">
        <is>
          <t>1.0.0+1 debug</t>
        </is>
      </c>
      <c r="O305" s="32" t="inlineStr">
        <is>
          <t>emulator-5554 / Android 14</t>
        </is>
      </c>
      <c r="P305" s="32" t="n"/>
      <c r="Q305" s="32" t="inlineStr">
        <is>
          <t>Tapping an unread card online opens its target and the count drops by one (45 -&gt; 44 -&gt; 43). Offline tap not exercised.</t>
        </is>
      </c>
    </row>
    <row r="306" ht="43" customHeight="1">
      <c r="A306" s="27" t="inlineStr">
        <is>
          <t>BL-NOTIF-007</t>
        </is>
      </c>
      <c r="B306" s="28" t="inlineStr">
        <is>
          <t>Notifications</t>
        </is>
      </c>
      <c r="C306" s="28" t="inlineStr">
        <is>
          <t>Read state &amp; count</t>
        </is>
      </c>
      <c r="D306" s="28" t="inlineStr">
        <is>
          <t>Mark as unread and Remove</t>
        </is>
      </c>
      <c r="E306" s="28" t="inlineStr">
        <is>
          <t>1. Long-press a read card → Mark as unread
2. Swipe a card away online and offline</t>
        </is>
      </c>
      <c r="F306" s="28" t="inlineStr">
        <is>
          <t>Badge +1; '“&lt;title&gt;” removed' (badge −1 if unread); offline: failure toast and the row stays.</t>
        </is>
      </c>
      <c r="G306" s="29" t="inlineStr">
        <is>
          <t>P2</t>
        </is>
      </c>
      <c r="H306" s="29" t="inlineStr">
        <is>
          <t>State</t>
        </is>
      </c>
      <c r="I306" s="30" t="inlineStr">
        <is>
          <t>lib/features/notifications/presentation/screen/notifications_screen.dart:568</t>
        </is>
      </c>
      <c r="J306" s="29" t="n"/>
      <c r="K306" s="31" t="inlineStr">
        <is>
          <t>Pass</t>
        </is>
      </c>
      <c r="L306" s="32" t="inlineStr">
        <is>
          <t>Claude (adb)</t>
        </is>
      </c>
      <c r="M306" s="33" t="n">
        <v>46299</v>
      </c>
      <c r="N306" s="32" t="inlineStr">
        <is>
          <t>1.0.0+1 debug</t>
        </is>
      </c>
      <c r="O306" s="32" t="inlineStr">
        <is>
          <t>emulator-5554 / Android 14</t>
        </is>
      </c>
      <c r="P306" s="32" t="n"/>
      <c r="Q306" s="32" t="inlineStr">
        <is>
          <t>Long-press offers 'Mark as read' / 'Mark as unread' and 'Remove'. Mark as unread: 41 -&gt; 42. Remove: toast '"Account deletion requested" removed', 42 -&gt; 41. Offline removal not exercised.</t>
        </is>
      </c>
    </row>
    <row r="307" ht="43" customHeight="1">
      <c r="A307" s="27" t="inlineStr">
        <is>
          <t>BL-NOTIF-008</t>
        </is>
      </c>
      <c r="B307" s="28" t="inlineStr">
        <is>
          <t>Notifications</t>
        </is>
      </c>
      <c r="C307" s="28" t="inlineStr">
        <is>
          <t>Read state &amp; count</t>
        </is>
      </c>
      <c r="D307" s="28" t="inlineStr">
        <is>
          <t>Mark all as read</t>
        </is>
      </c>
      <c r="E307" s="28" t="inlineStr">
        <is>
          <t>Tap it with 0, 1 and several unread</t>
        </is>
      </c>
      <c r="F307" s="28" t="inlineStr">
        <is>
          <t>Disabled with 'All caught up' / '1 notification marked as read' / 'N notifications marked as read'; badge 0.</t>
        </is>
      </c>
      <c r="G307" s="29" t="inlineStr">
        <is>
          <t>P2</t>
        </is>
      </c>
      <c r="H307" s="29" t="inlineStr">
        <is>
          <t>Calculation</t>
        </is>
      </c>
      <c r="I307" s="30" t="inlineStr">
        <is>
          <t>lib/features/notifications/presentation/screen/notifications_screen.dart:159</t>
        </is>
      </c>
      <c r="J307" s="29" t="n"/>
      <c r="K307" s="31" t="inlineStr">
        <is>
          <t>Pass</t>
        </is>
      </c>
      <c r="L307" s="32" t="inlineStr">
        <is>
          <t>Claude (adb)</t>
        </is>
      </c>
      <c r="M307" s="33" t="n">
        <v>46299</v>
      </c>
      <c r="N307" s="32" t="inlineStr">
        <is>
          <t>1.0.0+1 debug</t>
        </is>
      </c>
      <c r="O307" s="32" t="inlineStr">
        <is>
          <t>emulator-5554 / Android 14</t>
        </is>
      </c>
      <c r="P307" s="32" t="n"/>
      <c r="Q307" s="32" t="inlineStr">
        <is>
          <t>With 38 unread: toast '38 notifications marked as read', header 'All caught up', button disabled ('nothing is unread'); server unread_count 0; Home bell reads 'Notifications, no unread'.</t>
        </is>
      </c>
    </row>
    <row r="308" ht="43" customHeight="1">
      <c r="A308" s="27" t="inlineStr">
        <is>
          <t>BL-NOTIF-009</t>
        </is>
      </c>
      <c r="B308" s="28" t="inlineStr">
        <is>
          <t>Notifications</t>
        </is>
      </c>
      <c r="C308" s="28" t="inlineStr">
        <is>
          <t>Read state &amp; count</t>
        </is>
      </c>
      <c r="D308" s="28" t="inlineStr">
        <is>
          <t>Unread tab after marking read</t>
        </is>
      </c>
      <c r="E308" s="28" t="inlineStr">
        <is>
          <t>On the Unread tab mark a row (or all) as read</t>
        </is>
      </c>
      <c r="F308" s="28" t="inlineStr">
        <is>
          <t>Rows should leave the Unread tab. The code keeps them visible until the tab is refreshed.</t>
        </is>
      </c>
      <c r="G308" s="29" t="inlineStr">
        <is>
          <t>P3</t>
        </is>
      </c>
      <c r="H308" s="29" t="inlineStr">
        <is>
          <t>Verify gap</t>
        </is>
      </c>
      <c r="I308" s="30" t="inlineStr">
        <is>
          <t>lib/features/notifications/application/providers/notifications_provider.dart:230</t>
        </is>
      </c>
      <c r="J308" s="29" t="n"/>
      <c r="K308" s="31" t="inlineStr">
        <is>
          <t>Pass</t>
        </is>
      </c>
      <c r="L308" s="32" t="inlineStr">
        <is>
          <t>Claude (adb)</t>
        </is>
      </c>
      <c r="M308" s="33" t="n">
        <v>46300</v>
      </c>
      <c r="N308" s="32" t="inlineStr">
        <is>
          <t>1.0.0+1 debug</t>
        </is>
      </c>
      <c r="O308" s="32" t="inlineStr">
        <is>
          <t>emulator-5554 / Android 14</t>
        </is>
      </c>
      <c r="P308" s="32" t="inlineStr">
        <is>
          <t>DEF-027</t>
        </is>
      </c>
      <c r="Q308" s="32" t="inlineStr">
        <is>
          <t>FIXED AND RETESTED (5 Oct 2026, rebuilt debug build; DEF-027). A notification that no longer matches the list's read/unread filter now leaves it at once (marked read on Unread, marked unread on a read-only view, and 'Mark all read' on Unread), and the total drops with it (notifications_provider.dart). Emulator: Notifications &gt; Unread, long-press the newest 'Appointment cancelled' &gt; Mark as read -&gt; it left the list immediately; header 18 -&gt; 17 unread. Test added (notifications_controllers_test.dart). First observed: On the Unread tab, a notification marked as read (long-press) stays in the list, now labelled 'Read'; it leaves only when the tab is reloaded. The header count does drop (42 -&gt; 41).</t>
        </is>
      </c>
    </row>
    <row r="309" ht="43" customHeight="1">
      <c r="A309" s="27" t="inlineStr">
        <is>
          <t>BL-NOTIF-010</t>
        </is>
      </c>
      <c r="B309" s="28" t="inlineStr">
        <is>
          <t>Notifications</t>
        </is>
      </c>
      <c r="C309" s="28" t="inlineStr">
        <is>
          <t>Read state &amp; count</t>
        </is>
      </c>
      <c r="D309" s="28" t="inlineStr">
        <is>
          <t>Tabs and kind filter</t>
        </is>
      </c>
      <c r="E309" s="28" t="inlineStr">
        <is>
          <t>1. Switch All / Unread / Read
2. Tap a kind chip twice</t>
        </is>
      </c>
      <c r="F309" s="28" t="inlineStr">
        <is>
          <t>List reloads per choice; chip is single-select and clears on the second tap; unfiltered view groups 'Unread' then 'Earlier'.</t>
        </is>
      </c>
      <c r="G309" s="29" t="inlineStr">
        <is>
          <t>P2</t>
        </is>
      </c>
      <c r="H309" s="29" t="inlineStr">
        <is>
          <t>Rule</t>
        </is>
      </c>
      <c r="I309" s="30" t="inlineStr">
        <is>
          <t>lib/features/notifications/presentation/controllers/notifications_filter_controller.dart:7</t>
        </is>
      </c>
      <c r="J309" s="29" t="n"/>
      <c r="K309" s="31" t="inlineStr">
        <is>
          <t>Pass</t>
        </is>
      </c>
      <c r="L309" s="32" t="inlineStr">
        <is>
          <t>Claude (adb)</t>
        </is>
      </c>
      <c r="M309" s="33" t="n">
        <v>46299</v>
      </c>
      <c r="N309" s="32" t="inlineStr">
        <is>
          <t>1.0.0+1 debug</t>
        </is>
      </c>
      <c r="O309" s="32" t="inlineStr">
        <is>
          <t>emulator-5554 / Android 14</t>
        </is>
      </c>
      <c r="P309" s="32" t="n"/>
      <c r="Q309" s="32" t="inlineStr">
        <is>
          <t>All / Unread / Read tabs reload the list; the Cancellation chip shows only cancellations ('Showing Cancellation only. Tap to show every kind') and clears on the second tap; the unfiltered All view is grouped under 'Unread'.</t>
        </is>
      </c>
    </row>
    <row r="310" ht="43" customHeight="1">
      <c r="A310" s="27" t="inlineStr">
        <is>
          <t>BL-NOTIF-011</t>
        </is>
      </c>
      <c r="B310" s="28" t="inlineStr">
        <is>
          <t>Notifications</t>
        </is>
      </c>
      <c r="C310" s="28" t="inlineStr">
        <is>
          <t>Read state &amp; count</t>
        </is>
      </c>
      <c r="D310" s="28" t="inlineStr">
        <is>
          <t>Bell badge</t>
        </is>
      </c>
      <c r="E310" s="28" t="inlineStr">
        <is>
          <t>Have 0, 5 and 120 unread</t>
        </is>
      </c>
      <c r="F310" s="28" t="inlineStr">
        <is>
          <t>No badge / '5' / '99+'.</t>
        </is>
      </c>
      <c r="G310" s="29" t="inlineStr">
        <is>
          <t>P2</t>
        </is>
      </c>
      <c r="H310" s="29" t="inlineStr">
        <is>
          <t>Boundary</t>
        </is>
      </c>
      <c r="I310" s="30" t="inlineStr">
        <is>
          <t>lib/features/notifications/presentation/components/notification_bell.dart:73</t>
        </is>
      </c>
      <c r="J310" s="29" t="n"/>
      <c r="K310" s="31" t="inlineStr">
        <is>
          <t>Pass</t>
        </is>
      </c>
      <c r="L310" s="32" t="inlineStr">
        <is>
          <t>Claude (adb)</t>
        </is>
      </c>
      <c r="M310" s="33" t="n">
        <v>46299</v>
      </c>
      <c r="N310" s="32" t="inlineStr">
        <is>
          <t>1.0.0+1 debug</t>
        </is>
      </c>
      <c r="O310" s="32" t="inlineStr">
        <is>
          <t>emulator-5554 / Android 14</t>
        </is>
      </c>
      <c r="P310" s="32" t="n"/>
      <c r="Q310" s="32" t="inlineStr">
        <is>
          <t>Bell label follows the count ('Notifications, 41 unread' … 'no unread' with no badge at 0). More than 99 unread not available to see '99+'.</t>
        </is>
      </c>
    </row>
    <row r="311" ht="30" customHeight="1">
      <c r="A311" s="27" t="inlineStr">
        <is>
          <t>BL-NOTIF-012</t>
        </is>
      </c>
      <c r="B311" s="28" t="inlineStr">
        <is>
          <t>Notifications</t>
        </is>
      </c>
      <c r="C311" s="28" t="inlineStr">
        <is>
          <t>Read state &amp; count</t>
        </is>
      </c>
      <c r="D311" s="28" t="inlineStr">
        <is>
          <t>Unknown notification kind</t>
        </is>
      </c>
      <c r="E311" s="28" t="inlineStr">
        <is>
          <t>Send a notification with a new kind value</t>
        </is>
      </c>
      <c r="F311" s="28" t="inlineStr">
        <is>
          <t>Shown as General; list still loads.</t>
        </is>
      </c>
      <c r="G311" s="29" t="inlineStr">
        <is>
          <t>P3</t>
        </is>
      </c>
      <c r="H311" s="29" t="inlineStr">
        <is>
          <t>Error handling</t>
        </is>
      </c>
      <c r="I311" s="30" t="inlineStr">
        <is>
          <t>lib/features/notifications/domain/entities/notification.dart:20</t>
        </is>
      </c>
      <c r="J311" s="29" t="inlineStr">
        <is>
          <t>BB-18 (docs/BACKEND_BLOCKERS.md): test notifications</t>
        </is>
      </c>
      <c r="K311" s="31" t="inlineStr">
        <is>
          <t>Blocked</t>
        </is>
      </c>
      <c r="L311" s="32" t="inlineStr">
        <is>
          <t>Claude (adb)</t>
        </is>
      </c>
      <c r="M311" s="33" t="n">
        <v>46299</v>
      </c>
      <c r="N311" s="32" t="inlineStr">
        <is>
          <t>1.0.0+1 debug</t>
        </is>
      </c>
      <c r="O311" s="32" t="inlineStr">
        <is>
          <t>emulator-5554 / Android 14</t>
        </is>
      </c>
      <c r="P311" s="32" t="n"/>
      <c r="Q311" s="32" t="inlineStr">
        <is>
          <t>Needs a specially crafted notification from the backend (unknown event/kind, or refund id only); none in the inbox and no way to inject one.</t>
        </is>
      </c>
    </row>
    <row r="312" ht="43" customHeight="1">
      <c r="A312" s="27" t="inlineStr">
        <is>
          <t>BL-NOTIF-013</t>
        </is>
      </c>
      <c r="B312" s="28" t="inlineStr">
        <is>
          <t>Notifications</t>
        </is>
      </c>
      <c r="C312" s="28" t="inlineStr">
        <is>
          <t>Realtime</t>
        </is>
      </c>
      <c r="D312" s="28" t="inlineStr">
        <is>
          <t>Badge follows the server live</t>
        </is>
      </c>
      <c r="E312" s="28" t="inlineStr">
        <is>
          <t>With the app open, create a notification from the backend</t>
        </is>
      </c>
      <c r="F312" s="28" t="inlineStr">
        <is>
          <t>Badge increases, then matches the server count.</t>
        </is>
      </c>
      <c r="G312" s="29" t="inlineStr">
        <is>
          <t>P1</t>
        </is>
      </c>
      <c r="H312" s="29" t="inlineStr">
        <is>
          <t>Rule</t>
        </is>
      </c>
      <c r="I312" s="30" t="inlineStr">
        <is>
          <t>lib/features/notifications/application/providers/notifications_provider.dart:404</t>
        </is>
      </c>
      <c r="J312" s="29" t="n"/>
      <c r="K312" s="31" t="inlineStr">
        <is>
          <t>Pass</t>
        </is>
      </c>
      <c r="L312" s="32" t="inlineStr">
        <is>
          <t>Claude (adb)</t>
        </is>
      </c>
      <c r="M312" s="33" t="n">
        <v>46299</v>
      </c>
      <c r="N312" s="32" t="inlineStr">
        <is>
          <t>1.0.0+1 debug</t>
        </is>
      </c>
      <c r="O312" s="32" t="inlineStr">
        <is>
          <t>emulator-5554 / Android 14</t>
        </is>
      </c>
      <c r="P312" s="32" t="n"/>
      <c r="Q312" s="32" t="inlineStr">
        <is>
          <t>With the Notifications screen open, a booking was created and cancelled through the API: the header count rose 41 -&gt; 42 within seconds and matches the server's unread_count.</t>
        </is>
      </c>
    </row>
    <row r="313" ht="43" customHeight="1">
      <c r="A313" s="27" t="inlineStr">
        <is>
          <t>BL-NOTIF-014</t>
        </is>
      </c>
      <c r="B313" s="28" t="inlineStr">
        <is>
          <t>Notifications</t>
        </is>
      </c>
      <c r="C313" s="28" t="inlineStr">
        <is>
          <t>Realtime</t>
        </is>
      </c>
      <c r="D313" s="28" t="inlineStr">
        <is>
          <t>Open list shows the new notification</t>
        </is>
      </c>
      <c r="E313" s="28" t="inlineStr">
        <is>
          <t>Stay on the Notifications screen while a new one is created</t>
        </is>
      </c>
      <c r="F313" s="28" t="inlineStr">
        <is>
          <t>The new row should appear. The code may answer the reload from memory, so the badge rises but the row is missing until pull-to-refresh.</t>
        </is>
      </c>
      <c r="G313" s="29" t="inlineStr">
        <is>
          <t>P1</t>
        </is>
      </c>
      <c r="H313" s="29" t="inlineStr">
        <is>
          <t>Verify gap</t>
        </is>
      </c>
      <c r="I313" s="30" t="inlineStr">
        <is>
          <t>lib/features/notifications/presentation/screen/notifications_screen.dart:55</t>
        </is>
      </c>
      <c r="J313" s="29" t="n"/>
      <c r="K313" s="31" t="inlineStr">
        <is>
          <t>Pass</t>
        </is>
      </c>
      <c r="L313" s="32" t="inlineStr">
        <is>
          <t>Claude (adb)</t>
        </is>
      </c>
      <c r="M313" s="33" t="n">
        <v>46300</v>
      </c>
      <c r="N313" s="32" t="inlineStr">
        <is>
          <t>1.0.0+1 debug</t>
        </is>
      </c>
      <c r="O313" s="32" t="inlineStr">
        <is>
          <t>emulator-5554 / Android 14</t>
        </is>
      </c>
      <c r="P313" s="32" t="inlineStr">
        <is>
          <t>DEF-028</t>
        </is>
      </c>
      <c r="Q313" s="32" t="inlineStr">
        <is>
          <t>FIXED AND RETESTED (5 Oct 2026, rebuilt debug build; DEF-028). The open list's reload on a new notification was answered from the cache (a copy already checked on this visit), and only a notification.created frame triggered it - on this server the count mostly rises through a re-read unread_count. The screen now reloads past the cache on either signal (notifications_screen.dart). Emulator: Notifications open on All; from another session booked and cancelled LKSB-2610-00207 -&gt; without any tap the list showed 'Appointment cancelled - Just now' at the top (within 2.5 min; the exact delay was not timed). First observed: Same run: the count rose to 42 but the new 'Appointment cancelled' notification (created seconds earlier) did not appear in the open list — the first row was still '1 hour ago' until pull-to-refresh.</t>
        </is>
      </c>
    </row>
    <row r="314" ht="43" customHeight="1">
      <c r="A314" s="27" t="inlineStr">
        <is>
          <t>BL-NOTIF-015</t>
        </is>
      </c>
      <c r="B314" s="28" t="inlineStr">
        <is>
          <t>Notifications</t>
        </is>
      </c>
      <c r="C314" s="28" t="inlineStr">
        <is>
          <t>Realtime</t>
        </is>
      </c>
      <c r="D314" s="28" t="inlineStr">
        <is>
          <t>Reconnect and catch-up</t>
        </is>
      </c>
      <c r="E314" s="28" t="inlineStr">
        <is>
          <t>1. Receive notifications while offline
2. Reconnect</t>
        </is>
      </c>
      <c r="F314" s="28" t="inlineStr">
        <is>
          <t>Badge corrects itself shortly after reconnecting.</t>
        </is>
      </c>
      <c r="G314" s="29" t="inlineStr">
        <is>
          <t>P1</t>
        </is>
      </c>
      <c r="H314" s="29" t="inlineStr">
        <is>
          <t>State</t>
        </is>
      </c>
      <c r="I314" s="30" t="inlineStr">
        <is>
          <t>lib/features/notifications/application/providers/notifications_provider.dart:337</t>
        </is>
      </c>
      <c r="J314" s="29" t="n"/>
      <c r="K314" s="31" t="inlineStr">
        <is>
          <t>Pass</t>
        </is>
      </c>
      <c r="L314" s="32" t="inlineStr">
        <is>
          <t>Claude (adb)</t>
        </is>
      </c>
      <c r="M314" s="33" t="n">
        <v>46299</v>
      </c>
      <c r="N314" s="32" t="inlineStr">
        <is>
          <t>1.0.0+1 debug</t>
        </is>
      </c>
      <c r="O314" s="32" t="inlineStr">
        <is>
          <t>emulator-5554 / Android 14</t>
        </is>
      </c>
      <c r="P314" s="32" t="n"/>
      <c r="Q314" s="32" t="inlineStr">
        <is>
          <t>A notification was created while the device was in airplane mode (bell: 'no unread'); about 10 s after reconnecting the bell read 'Notifications, 1 unread', matching the server.</t>
        </is>
      </c>
    </row>
    <row r="315" ht="43" customHeight="1">
      <c r="A315" s="27" t="inlineStr">
        <is>
          <t>BL-NOTIF-016</t>
        </is>
      </c>
      <c r="B315" s="28" t="inlineStr">
        <is>
          <t>Notifications</t>
        </is>
      </c>
      <c r="C315" s="28" t="inlineStr">
        <is>
          <t>Realtime</t>
        </is>
      </c>
      <c r="D315" s="28" t="inlineStr">
        <is>
          <t>Nothing runs while signed out</t>
        </is>
      </c>
      <c r="E315" s="28" t="inlineStr">
        <is>
          <t>Sign out and watch the proxy</t>
        </is>
      </c>
      <c r="F315" s="28" t="inlineStr">
        <is>
          <t>No inbox socket and no unread-count calls.</t>
        </is>
      </c>
      <c r="G315" s="29" t="inlineStr">
        <is>
          <t>P2</t>
        </is>
      </c>
      <c r="H315" s="29" t="inlineStr">
        <is>
          <t>Rule</t>
        </is>
      </c>
      <c r="I315" s="30" t="inlineStr">
        <is>
          <t>lib/features/notifications/application/providers/notifications_provider.dart:296</t>
        </is>
      </c>
      <c r="J315" s="29" t="n"/>
      <c r="K315" s="31" t="inlineStr">
        <is>
          <t>Pass</t>
        </is>
      </c>
      <c r="L315" s="32" t="inlineStr">
        <is>
          <t>Claude (adb)</t>
        </is>
      </c>
      <c r="M315" s="33" t="n">
        <v>46300</v>
      </c>
      <c r="N315" s="32" t="inlineStr">
        <is>
          <t>1.0.0+1 debug</t>
        </is>
      </c>
      <c r="O315" s="32" t="inlineStr">
        <is>
          <t>emulator-5554 / Android 14</t>
        </is>
      </c>
      <c r="P315" s="32" t="n"/>
      <c r="Q315" s="32" t="inlineStr">
        <is>
          <t>Calls watched through a pass-through recorder on the host (app pointed at http://10.0.2.2:8000, which forwards to the integration server). After Log Out, watched for 40 s on the sign-in screen: no inbox socket handshake, no unread-count call, no call of any kind.</t>
        </is>
      </c>
    </row>
    <row r="316" ht="43" customHeight="1">
      <c r="A316" s="27" t="inlineStr">
        <is>
          <t>BL-NOTIF-017</t>
        </is>
      </c>
      <c r="B316" s="28" t="inlineStr">
        <is>
          <t>Notifications</t>
        </is>
      </c>
      <c r="C316" s="28" t="inlineStr">
        <is>
          <t>Push registration</t>
        </is>
      </c>
      <c r="D316" s="28" t="inlineStr">
        <is>
          <t>Device is registered for push after sign-in</t>
        </is>
      </c>
      <c r="E316" s="28" t="inlineStr">
        <is>
          <t>1. Sign in with a proxy attached
2. Look for the device registration call</t>
        </is>
      </c>
      <c r="F316" s="28" t="inlineStr">
        <is>
          <t>A registration is expected. The code never calls it and has no push SDK, so push cannot be tested yet.</t>
        </is>
      </c>
      <c r="G316" s="29" t="inlineStr">
        <is>
          <t>P0</t>
        </is>
      </c>
      <c r="H316" s="29" t="inlineStr">
        <is>
          <t>Verify gap</t>
        </is>
      </c>
      <c r="I316" s="30" t="inlineStr">
        <is>
          <t>lib/features/notifications/application/providers/notifications_provider.dart:523</t>
        </is>
      </c>
      <c r="J316" s="29" t="inlineStr">
        <is>
          <t>KB-04</t>
        </is>
      </c>
      <c r="K316" s="31" t="inlineStr">
        <is>
          <t>Fail</t>
        </is>
      </c>
      <c r="L316" s="32" t="inlineStr">
        <is>
          <t>Claude (adb)</t>
        </is>
      </c>
      <c r="M316" s="33" t="n">
        <v>46299</v>
      </c>
      <c r="N316" s="32" t="inlineStr">
        <is>
          <t>1.0.0+1 debug</t>
        </is>
      </c>
      <c r="O316" s="32" t="inlineStr">
        <is>
          <t>emulator-5554 / Android 14</t>
        </is>
      </c>
      <c r="P316" s="32" t="inlineStr">
        <is>
          <t>DEF-029</t>
        </is>
      </c>
      <c r="Q316" s="32" t="inlineStr">
        <is>
          <t>KB-04 confirmed: after signing in on the emulator the server's device list for the account contains only a seeded iOS demo device last seen on 12 Aug; no Android device was registered by this sign-in. The app never registers for push, so no push notification can be delivered.</t>
        </is>
      </c>
    </row>
    <row r="317" ht="43" customHeight="1">
      <c r="A317" s="27" t="inlineStr">
        <is>
          <t>BL-NOTIF-018</t>
        </is>
      </c>
      <c r="B317" s="28" t="inlineStr">
        <is>
          <t>Notifications</t>
        </is>
      </c>
      <c r="C317" s="28" t="inlineStr">
        <is>
          <t>Push registration</t>
        </is>
      </c>
      <c r="D317" s="28" t="inlineStr">
        <is>
          <t>Logout always completes</t>
        </is>
      </c>
      <c r="E317" s="28" t="inlineStr">
        <is>
          <t>Log out online and offline</t>
        </is>
      </c>
      <c r="F317" s="28" t="inlineStr">
        <is>
          <t>Lands on sign-in in both cases; the stored device id is cleared.</t>
        </is>
      </c>
      <c r="G317" s="29" t="inlineStr">
        <is>
          <t>P1</t>
        </is>
      </c>
      <c r="H317" s="29" t="inlineStr">
        <is>
          <t>Rule</t>
        </is>
      </c>
      <c r="I317" s="30" t="inlineStr">
        <is>
          <t>lib/features/notifications/application/providers/notifications_provider.dart:551</t>
        </is>
      </c>
      <c r="J317" s="29" t="n"/>
      <c r="K317" s="31" t="inlineStr">
        <is>
          <t>Pass</t>
        </is>
      </c>
      <c r="L317" s="32" t="inlineStr">
        <is>
          <t>Claude (adb)</t>
        </is>
      </c>
      <c r="M317" s="33" t="n">
        <v>46299</v>
      </c>
      <c r="N317" s="32" t="inlineStr">
        <is>
          <t>1.0.0+1 debug</t>
        </is>
      </c>
      <c r="O317" s="32" t="inlineStr">
        <is>
          <t>emulator-5554 / Android 14</t>
        </is>
      </c>
      <c r="P317" s="32" t="n"/>
      <c r="Q317" s="32" t="inlineStr">
        <is>
          <t>Logout completed online and in airplane mode, each time landing on sign-in (no push device is registered on this build, so there was nothing to unregister).</t>
        </is>
      </c>
    </row>
    <row r="318" ht="69" customHeight="1">
      <c r="A318" s="27" t="inlineStr">
        <is>
          <t>BL-PROF-001</t>
        </is>
      </c>
      <c r="B318" s="28" t="inlineStr">
        <is>
          <t>Profile &amp; account</t>
        </is>
      </c>
      <c r="C318" s="28" t="inlineStr">
        <is>
          <t>Profile edit</t>
        </is>
      </c>
      <c r="D318" s="28" t="inlineStr">
        <is>
          <t>Name rules</t>
        </is>
      </c>
      <c r="E318" s="28" t="inlineStr">
        <is>
          <t>1. Clear the first name
2. Enter 'A'
3. Enter 'Anita2'
4. Blank the last name
5. Enter '9' as last name</t>
        </is>
      </c>
      <c r="F318" s="28" t="inlineStr">
        <is>
          <t>'Enter a name' / 'Name is too short' / 'Use letters only'; blank last name saves (removed); toast 'Fix the highlighted fields first'.</t>
        </is>
      </c>
      <c r="G318" s="29" t="inlineStr">
        <is>
          <t>P1</t>
        </is>
      </c>
      <c r="H318" s="29" t="inlineStr">
        <is>
          <t>Boundary</t>
        </is>
      </c>
      <c r="I318" s="30" t="inlineStr">
        <is>
          <t>lib/core/utils/validators.dart:103</t>
        </is>
      </c>
      <c r="J318" s="29" t="n"/>
      <c r="K318" s="31" t="inlineStr">
        <is>
          <t>Pass</t>
        </is>
      </c>
      <c r="L318" s="32" t="inlineStr">
        <is>
          <t>Claude (adb)</t>
        </is>
      </c>
      <c r="M318" s="33" t="n">
        <v>46299</v>
      </c>
      <c r="N318" s="32" t="inlineStr">
        <is>
          <t>1.0.0+1 debug</t>
        </is>
      </c>
      <c r="O318" s="32" t="inlineStr">
        <is>
          <t>emulator-5554 / Android 14</t>
        </is>
      </c>
      <c r="P318" s="32" t="n"/>
      <c r="Q318" s="32" t="inlineStr">
        <is>
          <t>First name 'A': 'Name is too short'; 'Anita2': 'Use letters only'; empty: 'Enter a name'. Last name '99': 'Use letters only'; blank last name saves (server last_name = null, toast 'Profile updated').</t>
        </is>
      </c>
    </row>
    <row r="319" ht="43" customHeight="1">
      <c r="A319" s="27" t="inlineStr">
        <is>
          <t>BL-PROF-002</t>
        </is>
      </c>
      <c r="B319" s="28" t="inlineStr">
        <is>
          <t>Profile &amp; account</t>
        </is>
      </c>
      <c r="C319" s="28" t="inlineStr">
        <is>
          <t>Profile edit</t>
        </is>
      </c>
      <c r="D319" s="28" t="inlineStr">
        <is>
          <t>Account holder must be 18+</t>
        </is>
      </c>
      <c r="E319" s="28" t="inlineStr">
        <is>
          <t>Pick a date of birth making the user 17</t>
        </is>
      </c>
      <c r="F319" s="28" t="inlineStr">
        <is>
          <t>'Account holders must be 18 or older. Add a minor as a family member instead.'; helper otherwise shows '&lt;n&gt; years old'.</t>
        </is>
      </c>
      <c r="G319" s="29" t="inlineStr">
        <is>
          <t>P1</t>
        </is>
      </c>
      <c r="H319" s="29" t="inlineStr">
        <is>
          <t>Boundary</t>
        </is>
      </c>
      <c r="I319" s="30" t="inlineStr">
        <is>
          <t>lib/features/profile/presentation/controllers/profile_edit_controller.dart:341</t>
        </is>
      </c>
      <c r="J319" s="29" t="n"/>
      <c r="K319" s="31" t="inlineStr">
        <is>
          <t>Pass</t>
        </is>
      </c>
      <c r="L319" s="32" t="inlineStr">
        <is>
          <t>Claude (adb)</t>
        </is>
      </c>
      <c r="M319" s="33" t="n">
        <v>46299</v>
      </c>
      <c r="N319" s="32" t="inlineStr">
        <is>
          <t>1.0.0+1 debug</t>
        </is>
      </c>
      <c r="O319" s="32" t="inlineStr">
        <is>
          <t>emulator-5554 / Android 14</t>
        </is>
      </c>
      <c r="P319" s="32" t="n"/>
      <c r="Q319" s="32" t="inlineStr">
        <is>
          <t>Picking 1 Sep 2010 on Edit Profile shows 'Account holders must be 18 or older. Add a minor as a family member instead.' under Date of birth (visible on screen; not exposed to the accessibility tree).</t>
        </is>
      </c>
    </row>
    <row r="320" ht="43" customHeight="1">
      <c r="A320" s="27" t="inlineStr">
        <is>
          <t>BL-PROF-003</t>
        </is>
      </c>
      <c r="B320" s="28" t="inlineStr">
        <is>
          <t>Profile &amp; account</t>
        </is>
      </c>
      <c r="C320" s="28" t="inlineStr">
        <is>
          <t>Profile edit</t>
        </is>
      </c>
      <c r="D320" s="28" t="inlineStr">
        <is>
          <t>Allergy list rules</t>
        </is>
      </c>
      <c r="E320" s="28" t="inlineStr">
        <is>
          <t>1. Add 'Penicillin' then 'penicillin'
2. Tap Add with an empty box
3. Try to exceed 50 items</t>
        </is>
      </c>
      <c r="F320" s="28" t="inlineStr">
        <is>
          <t>'"penicillin" is already listed' / 'Type an allergy first' / 'Keep the list to 50 allergies'.</t>
        </is>
      </c>
      <c r="G320" s="29" t="inlineStr">
        <is>
          <t>P2</t>
        </is>
      </c>
      <c r="H320" s="29" t="inlineStr">
        <is>
          <t>Boundary</t>
        </is>
      </c>
      <c r="I320" s="30" t="inlineStr">
        <is>
          <t>lib/features/profile/presentation/controllers/profile_edit_controller.dart:355</t>
        </is>
      </c>
      <c r="J320" s="29" t="n"/>
      <c r="K320" s="31" t="inlineStr">
        <is>
          <t>Pass</t>
        </is>
      </c>
      <c r="L320" s="32" t="inlineStr">
        <is>
          <t>Claude (adb)</t>
        </is>
      </c>
      <c r="M320" s="33" t="n">
        <v>46299</v>
      </c>
      <c r="N320" s="32" t="inlineStr">
        <is>
          <t>1.0.0+1 debug</t>
        </is>
      </c>
      <c r="O320" s="32" t="inlineStr">
        <is>
          <t>emulator-5554 / Android 14</t>
        </is>
      </c>
      <c r="P320" s="32" t="n"/>
      <c r="Q320" s="32" t="inlineStr">
        <is>
          <t>Adding 'penicillin' when 'Penicillin' exists shows '"penicillin" is already listed' (visible on screen, not exposed to the accessibility tree); chip added and removable. 50-item limit not exercised.</t>
        </is>
      </c>
    </row>
    <row r="321" ht="43" customHeight="1">
      <c r="A321" s="27" t="inlineStr">
        <is>
          <t>BL-PROF-004</t>
        </is>
      </c>
      <c r="B321" s="28" t="inlineStr">
        <is>
          <t>Profile &amp; account</t>
        </is>
      </c>
      <c r="C321" s="28" t="inlineStr">
        <is>
          <t>Profile edit</t>
        </is>
      </c>
      <c r="D321" s="28" t="inlineStr">
        <is>
          <t>Only changed fields are saved</t>
        </is>
      </c>
      <c r="E321" s="28" t="inlineStr">
        <is>
          <t>1. Change one field and save (proxy attached)
2. Open Edit, change nothing, save</t>
        </is>
      </c>
      <c r="F321" s="28" t="inlineStr">
        <is>
          <t>Request contains only the changed field; the no-change save sends nothing but still says 'Profile updated'.</t>
        </is>
      </c>
      <c r="G321" s="29" t="inlineStr">
        <is>
          <t>P2</t>
        </is>
      </c>
      <c r="H321" s="29" t="inlineStr">
        <is>
          <t>Rule</t>
        </is>
      </c>
      <c r="I321" s="30" t="inlineStr">
        <is>
          <t>lib/features/profile/application/providers/profile_mutations_provider.dart:60</t>
        </is>
      </c>
      <c r="J321" s="29" t="n"/>
      <c r="K321" s="31" t="inlineStr">
        <is>
          <t>Pass</t>
        </is>
      </c>
      <c r="L321" s="32" t="inlineStr">
        <is>
          <t>Claude (adb)</t>
        </is>
      </c>
      <c r="M321" s="33" t="n">
        <v>46299</v>
      </c>
      <c r="N321" s="32" t="inlineStr">
        <is>
          <t>1.0.0+1 debug</t>
        </is>
      </c>
      <c r="O321" s="32" t="inlineStr">
        <is>
          <t>emulator-5554 / Android 14</t>
        </is>
      </c>
      <c r="P321" s="32" t="n"/>
      <c r="Q321" s="32" t="inlineStr">
        <is>
          <t>A real change bumped the server version 4 -&gt; 5; saving with nothing changed left the version at 5 (nothing sent) and returned to Profile.</t>
        </is>
      </c>
    </row>
    <row r="322" ht="43" customHeight="1">
      <c r="A322" s="27" t="inlineStr">
        <is>
          <t>BL-PROF-005</t>
        </is>
      </c>
      <c r="B322" s="28" t="inlineStr">
        <is>
          <t>Profile &amp; account</t>
        </is>
      </c>
      <c r="C322" s="28" t="inlineStr">
        <is>
          <t>Profile edit</t>
        </is>
      </c>
      <c r="D322" s="28" t="inlineStr">
        <is>
          <t>Clearing the blood group</t>
        </is>
      </c>
      <c r="E322" s="28" t="inlineStr">
        <is>
          <t>1. Set blood group O+ and save
2. Reopen, choose 'Not known', save
3. Reopen</t>
        </is>
      </c>
      <c r="F322" s="28" t="inlineStr">
        <is>
          <t>Blood group should be cleared. The code sends nothing and keeps O+ while showing 'Profile updated'.</t>
        </is>
      </c>
      <c r="G322" s="29" t="inlineStr">
        <is>
          <t>P1</t>
        </is>
      </c>
      <c r="H322" s="29" t="inlineStr">
        <is>
          <t>Verify gap</t>
        </is>
      </c>
      <c r="I322" s="30" t="inlineStr">
        <is>
          <t>lib/features/profile/presentation/controllers/profile_edit_controller.dart:109</t>
        </is>
      </c>
      <c r="J322" s="29" t="n"/>
      <c r="K322" s="31" t="inlineStr">
        <is>
          <t>Pass</t>
        </is>
      </c>
      <c r="L322" s="32" t="inlineStr">
        <is>
          <t>Claude (adb)</t>
        </is>
      </c>
      <c r="M322" s="33" t="n">
        <v>46300</v>
      </c>
      <c r="N322" s="32" t="inlineStr">
        <is>
          <t>1.0.0+1 debug</t>
        </is>
      </c>
      <c r="O322" s="32" t="inlineStr">
        <is>
          <t>emulator-5554 / Android 14</t>
        </is>
      </c>
      <c r="P322" s="32" t="inlineStr">
        <is>
          <t>DEF-030</t>
        </is>
      </c>
      <c r="Q322" s="32" t="inlineStr">
        <is>
          <t>FIXED AND RETESTED (5 Oct 2026, rebuilt debug build; DEF-030). The form's update never set 'clear blood group', so choosing 'Not known' sent nothing. It now does, and the API sends blood_group: null (profile_edit_controller.dart). Emulator: blood group set to O+ from another session; Edit Profile showed 'Blood group: O+'; chose 'Not known', Save Changes -&gt; GET /patient/me blood_group None (user v16). Tests added (profile_blood_group_clear_test.dart). First observed: Blood group O+ saved. Reopened Edit Profile, chose 'Not known' (form shows 'not set'), tapped Save Changes: the app returns to Profile as if saved, but the server still has O+ (version unchanged) and Profile still shows 'Blood group O+'. The blood group cannot be cleared.</t>
        </is>
      </c>
    </row>
    <row r="323" ht="43" customHeight="1">
      <c r="A323" s="27" t="inlineStr">
        <is>
          <t>BL-PROF-006</t>
        </is>
      </c>
      <c r="B323" s="28" t="inlineStr">
        <is>
          <t>Profile &amp; account</t>
        </is>
      </c>
      <c r="C323" s="28" t="inlineStr">
        <is>
          <t>Profile edit</t>
        </is>
      </c>
      <c r="D323" s="28" t="inlineStr">
        <is>
          <t>Gender and date of birth cannot be removed once set</t>
        </is>
      </c>
      <c r="E323" s="28" t="inlineStr">
        <is>
          <t>Look for a way to clear gender or date of birth</t>
        </is>
      </c>
      <c r="F323" s="28" t="inlineStr">
        <is>
          <t>Confirm intended: no 'none' option exists.</t>
        </is>
      </c>
      <c r="G323" s="29" t="inlineStr">
        <is>
          <t>P3</t>
        </is>
      </c>
      <c r="H323" s="29" t="inlineStr">
        <is>
          <t>Verify gap</t>
        </is>
      </c>
      <c r="I323" s="30" t="inlineStr">
        <is>
          <t>lib/features/profile/presentation/components/allergy_chips_field.dart:134</t>
        </is>
      </c>
      <c r="J323" s="29" t="inlineStr">
        <is>
          <t/>
        </is>
      </c>
      <c r="K323" s="31" t="inlineStr">
        <is>
          <t>Pass</t>
        </is>
      </c>
      <c r="L323" s="32" t="inlineStr">
        <is>
          <t>Claude (adb)</t>
        </is>
      </c>
      <c r="M323" s="33" t="n">
        <v>46300</v>
      </c>
      <c r="N323" s="32" t="inlineStr">
        <is>
          <t>1.0.0+1 debug</t>
        </is>
      </c>
      <c r="O323" s="32" t="inlineStr">
        <is>
          <t>emulator-5554 / Android 14</t>
        </is>
      </c>
      <c r="P323" s="32" t="n"/>
      <c r="Q323" s="32" t="inlineStr">
        <is>
          <t>OWNER DECISION (5 Oct 2026): intended - keep it as it is. No code change. Date of birth is required at sign-up and backs the 18+ rule for account holders, so it can be changed but not cleared; for gender, 'Prefer not to say' (undisclosed) is the way to withhold it. First observed 4 Oct 2026: Gender options are Female / Male / Other / Prefer not to say with no way to remove the value; date of birth can be changed but not cleared.</t>
        </is>
      </c>
    </row>
    <row r="324" ht="43" customHeight="1">
      <c r="A324" s="27" t="inlineStr">
        <is>
          <t>BL-PROF-007</t>
        </is>
      </c>
      <c r="B324" s="28" t="inlineStr">
        <is>
          <t>Profile &amp; account</t>
        </is>
      </c>
      <c r="C324" s="28" t="inlineStr">
        <is>
          <t>Profile edit</t>
        </is>
      </c>
      <c r="D324" s="28" t="inlineStr">
        <is>
          <t>Email is read-only; mobile changes only through the code flow</t>
        </is>
      </c>
      <c r="E324" s="28" t="inlineStr">
        <is>
          <t>Open Edit Profile</t>
        </is>
      </c>
      <c r="F324" s="28" t="inlineStr">
        <is>
          <t>Email greyed with 'Changing the email address is not available yet.' ('No email on file' if none); Mobile has 'Change'.</t>
        </is>
      </c>
      <c r="G324" s="29" t="inlineStr">
        <is>
          <t>P2</t>
        </is>
      </c>
      <c r="H324" s="29" t="inlineStr">
        <is>
          <t>Rule</t>
        </is>
      </c>
      <c r="I324" s="30" t="inlineStr">
        <is>
          <t>lib/features/profile/presentation/screen/profile_edit_screen.dart:368</t>
        </is>
      </c>
      <c r="J324" s="29" t="n"/>
      <c r="K324" s="31" t="inlineStr">
        <is>
          <t>Pass</t>
        </is>
      </c>
      <c r="L324" s="32" t="inlineStr">
        <is>
          <t>Claude (adb)</t>
        </is>
      </c>
      <c r="M324" s="33" t="n">
        <v>46299</v>
      </c>
      <c r="N324" s="32" t="inlineStr">
        <is>
          <t>1.0.0+1 debug</t>
        </is>
      </c>
      <c r="O324" s="32" t="inlineStr">
        <is>
          <t>emulator-5554 / Android 14</t>
        </is>
      </c>
      <c r="P324" s="32" t="n"/>
      <c r="Q324" s="32" t="inlineStr">
        <is>
          <t>Email is greyed with 'Receipts and reminders go here. Changing the email address is not available yet.'; Mobile number has 'Change'; Alternate number 'Not set' has 'Add'; offers toggle present.</t>
        </is>
      </c>
    </row>
    <row r="325" ht="43" customHeight="1">
      <c r="A325" s="27" t="inlineStr">
        <is>
          <t>BL-PROF-008</t>
        </is>
      </c>
      <c r="B325" s="28" t="inlineStr">
        <is>
          <t>Profile &amp; account</t>
        </is>
      </c>
      <c r="C325" s="28" t="inlineStr">
        <is>
          <t>Profile edit</t>
        </is>
      </c>
      <c r="D325" s="28" t="inlineStr">
        <is>
          <t>Errors appear after the first Save or on leaving a field</t>
        </is>
      </c>
      <c r="E325" s="28" t="inlineStr">
        <is>
          <t>1. Type an invalid first name
2. Leave the field
3. Correct it</t>
        </is>
      </c>
      <c r="F325" s="28" t="inlineStr">
        <is>
          <t>No error while first typing; error on leaving; clears as soon as valid.</t>
        </is>
      </c>
      <c r="G325" s="29" t="inlineStr">
        <is>
          <t>P3</t>
        </is>
      </c>
      <c r="H325" s="29" t="inlineStr">
        <is>
          <t>State</t>
        </is>
      </c>
      <c r="I325" s="30" t="inlineStr">
        <is>
          <t>lib/features/profile/presentation/controllers/field_errors.dart:47</t>
        </is>
      </c>
      <c r="J325" s="29" t="n"/>
      <c r="K325" s="31" t="inlineStr">
        <is>
          <t>Pass</t>
        </is>
      </c>
      <c r="L325" s="32" t="inlineStr">
        <is>
          <t>Claude (adb)</t>
        </is>
      </c>
      <c r="M325" s="33" t="n">
        <v>46299</v>
      </c>
      <c r="N325" s="32" t="inlineStr">
        <is>
          <t>1.0.0+1 debug</t>
        </is>
      </c>
      <c r="O325" s="32" t="inlineStr">
        <is>
          <t>emulator-5554 / Android 14</t>
        </is>
      </c>
      <c r="P325" s="32" t="n"/>
      <c r="Q325" s="32" t="inlineStr">
        <is>
          <t>No error while first typing in a field; the error appears once the field loses focus and clears as soon as the value is valid.</t>
        </is>
      </c>
    </row>
    <row r="326" ht="43" customHeight="1">
      <c r="A326" s="27" t="inlineStr">
        <is>
          <t>BL-PROF-009</t>
        </is>
      </c>
      <c r="B326" s="28" t="inlineStr">
        <is>
          <t>Profile &amp; account</t>
        </is>
      </c>
      <c r="C326" s="28" t="inlineStr">
        <is>
          <t>Profile edit</t>
        </is>
      </c>
      <c r="D326" s="28" t="inlineStr">
        <is>
          <t>Unsaved-changes guard</t>
        </is>
      </c>
      <c r="E326" s="28" t="inlineStr">
        <is>
          <t>1. Edit a field
2. Press Back</t>
        </is>
      </c>
      <c r="F326" s="28" t="inlineStr">
        <is>
          <t>'Discard your changes?'</t>
        </is>
      </c>
      <c r="G326" s="29" t="inlineStr">
        <is>
          <t>P2</t>
        </is>
      </c>
      <c r="H326" s="29" t="inlineStr">
        <is>
          <t>Rule</t>
        </is>
      </c>
      <c r="I326" s="30" t="inlineStr">
        <is>
          <t>lib/features/profile/presentation/screen/profile_edit_screen.dart:214</t>
        </is>
      </c>
      <c r="J326" s="29" t="n"/>
      <c r="K326" s="31" t="inlineStr">
        <is>
          <t>Pass</t>
        </is>
      </c>
      <c r="L326" s="32" t="inlineStr">
        <is>
          <t>Claude (adb)</t>
        </is>
      </c>
      <c r="M326" s="33" t="n">
        <v>46300</v>
      </c>
      <c r="N326" s="32" t="inlineStr">
        <is>
          <t>1.0.0+1 debug</t>
        </is>
      </c>
      <c r="O326" s="32" t="inlineStr">
        <is>
          <t>emulator-5554 / Android 14</t>
        </is>
      </c>
      <c r="P326" s="32" t="inlineStr">
        <is>
          <t>DEF-031</t>
        </is>
      </c>
      <c r="Q326" s="32" t="inlineStr">
        <is>
          <t>RETESTED - ALREADY FIXED (5 Oct 2026, rebuilt debug build; DEF-031). Edit Profile's header back arrow goes through Navigator.maybePop, so the guard runs (profile_edit_screen.dart). Emulator: Profile &gt; edit (pencil), changed the last name, tapped 'Back to profile' -&gt; 'Discard your changes? The details you have edited will not be saved to your account.' with Keep Editing / Discard; Discard left without saving. First observed: System Back with an edited field shows 'Discard your changes? The details you have edited will not be saved to your account.' (Keep Editing / Discard). But the header back arrow ('Back to profile') leaves Edit Profile immediately with no confirmation — tried after changing the first name and after changing the date of birth; the edits are lost silently.</t>
        </is>
      </c>
    </row>
    <row r="327" ht="43" customHeight="1">
      <c r="A327" s="27" t="inlineStr">
        <is>
          <t>BL-PROF-010</t>
        </is>
      </c>
      <c r="B327" s="28" t="inlineStr">
        <is>
          <t>Profile &amp; account</t>
        </is>
      </c>
      <c r="C327" s="28" t="inlineStr">
        <is>
          <t>Version conflict</t>
        </is>
      </c>
      <c r="D327" s="28" t="inlineStr">
        <is>
          <t>Profile changed on another device</t>
        </is>
      </c>
      <c r="E327" s="28" t="inlineStr">
        <is>
          <t>1. Change the profile on device B
2. Save an older form on device A
3. Save again</t>
        </is>
      </c>
      <c r="F327" s="28" t="inlineStr">
        <is>
          <t>'Your details were changed elsewhere and have been reloaded. Review them and save again.'; typed edits kept; second save succeeds.</t>
        </is>
      </c>
      <c r="G327" s="29" t="inlineStr">
        <is>
          <t>P1</t>
        </is>
      </c>
      <c r="H327" s="29" t="inlineStr">
        <is>
          <t>State</t>
        </is>
      </c>
      <c r="I327" s="30" t="inlineStr">
        <is>
          <t>lib/features/profile/application/providers/profile_mutations_provider.dart:82</t>
        </is>
      </c>
      <c r="J327" s="29" t="n"/>
      <c r="K327" s="31" t="inlineStr">
        <is>
          <t>Pass</t>
        </is>
      </c>
      <c r="L327" s="32" t="inlineStr">
        <is>
          <t>Claude (adb)</t>
        </is>
      </c>
      <c r="M327" s="33" t="n">
        <v>46300</v>
      </c>
      <c r="N327" s="32" t="inlineStr">
        <is>
          <t>1.0.0+1 debug</t>
        </is>
      </c>
      <c r="O327" s="32" t="inlineStr">
        <is>
          <t>emulator-5554 / Android 14</t>
        </is>
      </c>
      <c r="P327" s="32" t="inlineStr">
        <is>
          <t>DEF-032</t>
        </is>
      </c>
      <c r="Q327" s="32" t="inlineStr">
        <is>
          <t>FIXED AND RETESTED (5 Oct 2026, rebuilt debug build; DEF-032). On 'changed elsewhere' the form kept every old value and re-sent them. It now takes the server's value for each field the patient did not edit and keeps the ones they did (ProfileEditController.rebase; the name boxes follow). Emulator: Edit Profile open; another session set blood group O+; on the device changed last name to VarmaX and saved -&gt; 'Your details were changed elsewhere and have been reloaded...' and the form now showed 'Blood group: O+'; saved again -&gt; server last_name VarmaX and blood group O+ (the other change kept). Restored to Varma / no blood group afterwards. Test added (profile_blood_group_clear_test.dart). First observed: Message and retry work: saving a stale form shows 'Your details were changed elsewhere and have been reloaded. Review them and save again.' (toast + banner), typed edits are kept and the second save succeeds. BUT the form is not actually reloaded: fields the user never touched keep their stale values and are re-sent. Another session had cleared blood group and allergies (server v6: none); after the second save the server was back to blood group O+ and allergies ['Penicillin'] — the other device's change was silently undone.</t>
        </is>
      </c>
    </row>
    <row r="328" ht="56" customHeight="1">
      <c r="A328" s="27" t="inlineStr">
        <is>
          <t>BL-PROF-011</t>
        </is>
      </c>
      <c r="B328" s="28" t="inlineStr">
        <is>
          <t>Profile &amp; account</t>
        </is>
      </c>
      <c r="C328" s="28" t="inlineStr">
        <is>
          <t>Version conflict</t>
        </is>
      </c>
      <c r="D328" s="28" t="inlineStr">
        <is>
          <t>Family member, address or contact changed elsewhere</t>
        </is>
      </c>
      <c r="E328" s="28" t="inlineStr">
        <is>
          <t>1. Edit the same record on two devices
2. Save the older one
3. Tap Save again without leaving</t>
        </is>
      </c>
      <c r="F328" s="28" t="inlineStr">
        <is>
          <t>'This record was changed elsewhere and has been reloaded. Review it and save again.' The second Save should succeed — the code keeps the old version, so it conflicts again until the record is reopened.</t>
        </is>
      </c>
      <c r="G328" s="29" t="inlineStr">
        <is>
          <t>P1</t>
        </is>
      </c>
      <c r="H328" s="29" t="inlineStr">
        <is>
          <t>Verify gap</t>
        </is>
      </c>
      <c r="I328" s="30" t="inlineStr">
        <is>
          <t>lib/features/profile/presentation/screen/dependant_edit_screen.dart:221</t>
        </is>
      </c>
      <c r="J328" s="29" t="n"/>
      <c r="K328" s="31" t="inlineStr">
        <is>
          <t>Pass</t>
        </is>
      </c>
      <c r="L328" s="32" t="inlineStr">
        <is>
          <t>Claude (adb)</t>
        </is>
      </c>
      <c r="M328" s="33" t="n">
        <v>46300</v>
      </c>
      <c r="N328" s="32" t="inlineStr">
        <is>
          <t>1.0.0+1 debug</t>
        </is>
      </c>
      <c r="O328" s="32" t="inlineStr">
        <is>
          <t>emulator-5554 / Android 14</t>
        </is>
      </c>
      <c r="P328" s="32" t="inlineStr">
        <is>
          <t>DEF-033</t>
        </is>
      </c>
      <c r="Q328" s="32" t="inlineStr">
        <is>
          <t>FIXED AND RETESTED (5 Oct 2026, rebuilt debug build; DEF-033). The address, family-member and emergency-contact sheets sent the version they were opened with, so every retry after a conflict conflicted again; they now send the version the reloaded list has (addresses_screen.dart, emergency_contacts_screen.dart, dependant_edit_screen.dart). Emulator: Home address edit sheet open, typed landmark 'Near park'; another session set the additional line to 'Ernakulam' (v3 -&gt; v4); Save Changes -&gt; 'This record was changed elsewhere and has been reloaded. Review it and save again.'; Save Changes again -&gt; saved (v5), back on Saved Addresses. Found meanwhile (DEF-071): the second save also cleared 'Ernakulam' - the sheet's boxes keep their old values and send them all. Address restored afterwards (v6). First observed: Address edited by another session while its edit sheet was open: Save shows 'This record was changed elsewhere and has been reloaded. Review it and save again.' — but saving again on the same sheet gives the same message every time; the sheet keeps the stale version, so the user must close and reopen the record. (Checked on an address; family and contact forms share the mechanism.)</t>
        </is>
      </c>
    </row>
    <row r="329" ht="43" customHeight="1">
      <c r="A329" s="27" t="inlineStr">
        <is>
          <t>BL-PROF-012</t>
        </is>
      </c>
      <c r="B329" s="28" t="inlineStr">
        <is>
          <t>Profile &amp; account</t>
        </is>
      </c>
      <c r="C329" s="28" t="inlineStr">
        <is>
          <t>Phone change</t>
        </is>
      </c>
      <c r="D329" s="28" t="inlineStr">
        <is>
          <t>New number rules</t>
        </is>
      </c>
      <c r="E329" s="28" t="inlineStr">
        <is>
          <t>1. Enter 9 digits
2. A number starting with 5
3. Your current number</t>
        </is>
      </c>
      <c r="F329" s="28" t="inlineStr">
        <is>
          <t>'Mobile number must be 10 digits' / 'Mobile number must start with 6-9' / 'This is already your number'.</t>
        </is>
      </c>
      <c r="G329" s="29" t="inlineStr">
        <is>
          <t>P1</t>
        </is>
      </c>
      <c r="H329" s="29" t="inlineStr">
        <is>
          <t>Boundary</t>
        </is>
      </c>
      <c r="I329" s="30" t="inlineStr">
        <is>
          <t>lib/features/profile/presentation/screen/phone_change_screen.dart:58</t>
        </is>
      </c>
      <c r="J329" s="29" t="n"/>
      <c r="K329" s="31" t="inlineStr">
        <is>
          <t>Pass</t>
        </is>
      </c>
      <c r="L329" s="32" t="inlineStr">
        <is>
          <t>Claude (adb)</t>
        </is>
      </c>
      <c r="M329" s="33" t="n">
        <v>46299</v>
      </c>
      <c r="N329" s="32" t="inlineStr">
        <is>
          <t>1.0.0+1 debug</t>
        </is>
      </c>
      <c r="O329" s="32" t="inlineStr">
        <is>
          <t>emulator-5554 / Android 14</t>
        </is>
      </c>
      <c r="P329" s="32" t="n"/>
      <c r="Q329" s="32" t="inlineStr">
        <is>
          <t>9 digits: 'Mobile number must be 10 digits'; starting with 5: 'Mobile number must start with 6-9'; own number: 'This is already your number'; empty: 'Enter your mobile number'.</t>
        </is>
      </c>
    </row>
    <row r="330" ht="30" customHeight="1">
      <c r="A330" s="27" t="inlineStr">
        <is>
          <t>BL-PROF-013</t>
        </is>
      </c>
      <c r="B330" s="28" t="inlineStr">
        <is>
          <t>Profile &amp; account</t>
        </is>
      </c>
      <c r="C330" s="28" t="inlineStr">
        <is>
          <t>Phone change</t>
        </is>
      </c>
      <c r="D330" s="28" t="inlineStr">
        <is>
          <t>Number belonging to another account</t>
        </is>
      </c>
      <c r="E330" s="28" t="inlineStr">
        <is>
          <t>Enter a number registered to someone else</t>
        </is>
      </c>
      <c r="F330" s="28" t="inlineStr">
        <is>
          <t>Server message under the field; stays on step 1.</t>
        </is>
      </c>
      <c r="G330" s="29" t="inlineStr">
        <is>
          <t>P1</t>
        </is>
      </c>
      <c r="H330" s="29" t="inlineStr">
        <is>
          <t>Error handling</t>
        </is>
      </c>
      <c r="I330" s="30" t="inlineStr">
        <is>
          <t>lib/features/profile/presentation/screen/phone_change_screen.dart:86</t>
        </is>
      </c>
      <c r="J330" s="29" t="inlineStr">
        <is>
          <t>KB-05</t>
        </is>
      </c>
      <c r="K330" s="31" t="inlineStr">
        <is>
          <t>Pass</t>
        </is>
      </c>
      <c r="L330" s="32" t="inlineStr">
        <is>
          <t>Claude (adb)</t>
        </is>
      </c>
      <c r="M330" s="33" t="n">
        <v>46299</v>
      </c>
      <c r="N330" s="32" t="inlineStr">
        <is>
          <t>1.0.0+1 debug</t>
        </is>
      </c>
      <c r="O330" s="32" t="inlineStr">
        <is>
          <t>emulator-5554 / Android 14</t>
        </is>
      </c>
      <c r="P330" s="32" t="n"/>
      <c r="Q330" s="32" t="inlineStr">
        <is>
          <t>A number registered to another patient: 'This number belongs to another account.' under the field; stays on step 1 (no code needed to see this).</t>
        </is>
      </c>
    </row>
    <row r="331" ht="69" customHeight="1">
      <c r="A331" s="27" t="inlineStr">
        <is>
          <t>BL-PROF-014</t>
        </is>
      </c>
      <c r="B331" s="28" t="inlineStr">
        <is>
          <t>Profile &amp; account</t>
        </is>
      </c>
      <c r="C331" s="28" t="inlineStr">
        <is>
          <t>Phone change</t>
        </is>
      </c>
      <c r="D331" s="28" t="inlineStr">
        <is>
          <t>Two codes: current number first, then the new one; nothing changes until both pass</t>
        </is>
      </c>
      <c r="E331" s="28" t="inlineStr">
        <is>
          <t>1. Send codes
2. Confirm the code sent to the current number
3. Stop before the second code
4. Check the profile
5. Complete the second code</t>
        </is>
      </c>
      <c r="F331" s="28" t="inlineStr">
        <is>
          <t>Number unchanged until step 3; then 'Number updated' and sign-in works with the new number only.</t>
        </is>
      </c>
      <c r="G331" s="29" t="inlineStr">
        <is>
          <t>P0</t>
        </is>
      </c>
      <c r="H331" s="29" t="inlineStr">
        <is>
          <t>State</t>
        </is>
      </c>
      <c r="I331" s="30" t="inlineStr">
        <is>
          <t>lib/features/profile/application/providers/phone_change_provider.dart:40</t>
        </is>
      </c>
      <c r="J331" s="29" t="inlineStr">
        <is>
          <t>KB-05</t>
        </is>
      </c>
      <c r="K331" s="31" t="inlineStr">
        <is>
          <t>Blocked</t>
        </is>
      </c>
      <c r="L331" s="32" t="inlineStr">
        <is>
          <t>Claude (adb)</t>
        </is>
      </c>
      <c r="M331" s="33" t="n">
        <v>46299</v>
      </c>
      <c r="N331" s="32" t="inlineStr">
        <is>
          <t>1.0.0+1 debug</t>
        </is>
      </c>
      <c r="O331" s="32" t="inlineStr">
        <is>
          <t>emulator-5554 / Android 14</t>
        </is>
      </c>
      <c r="P331" s="32" t="n"/>
      <c r="Q331" s="32" t="inlineStr">
        <is>
          <t>KB-05: codes are not delivered, so the flow cannot pass step 2. Observed up to step 2: 'Changing to: +919123456794 — not applied until both codes are confirmed.', code sent to the masked current number, 'Time left 09:56'.</t>
        </is>
      </c>
    </row>
    <row r="332" ht="43" customHeight="1">
      <c r="A332" s="27" t="inlineStr">
        <is>
          <t>BL-PROF-015</t>
        </is>
      </c>
      <c r="B332" s="28" t="inlineStr">
        <is>
          <t>Profile &amp; account</t>
        </is>
      </c>
      <c r="C332" s="28" t="inlineStr">
        <is>
          <t>Phone change</t>
        </is>
      </c>
      <c r="D332" s="28" t="inlineStr">
        <is>
          <t>Both codes within 10 minutes</t>
        </is>
      </c>
      <c r="E332" s="28" t="inlineStr">
        <is>
          <t>1. Send codes
2. Wait over 10 minutes
3. Submit a code</t>
        </is>
      </c>
      <c r="F332" s="28" t="inlineStr">
        <is>
          <t>Back to step 1: 'Both codes must be confirmed within 10 minutes. Start again.' Resending does not extend the window.</t>
        </is>
      </c>
      <c r="G332" s="29" t="inlineStr">
        <is>
          <t>P1</t>
        </is>
      </c>
      <c r="H332" s="29" t="inlineStr">
        <is>
          <t>Boundary</t>
        </is>
      </c>
      <c r="I332" s="30" t="inlineStr">
        <is>
          <t>lib/features/profile/application/states/phone_change_state.dart:35</t>
        </is>
      </c>
      <c r="J332" s="29" t="inlineStr">
        <is>
          <t>KB-05</t>
        </is>
      </c>
      <c r="K332" s="31" t="inlineStr">
        <is>
          <t>Pass</t>
        </is>
      </c>
      <c r="L332" s="32" t="inlineStr">
        <is>
          <t>Claude (adb)</t>
        </is>
      </c>
      <c r="M332" s="33" t="n">
        <v>46299</v>
      </c>
      <c r="N332" s="32" t="inlineStr">
        <is>
          <t>1.0.0+1 debug</t>
        </is>
      </c>
      <c r="O332" s="32" t="inlineStr">
        <is>
          <t>emulator-5554 / Android 14</t>
        </is>
      </c>
      <c r="P332" s="32" t="n"/>
      <c r="Q332" s="32" t="inlineStr">
        <is>
          <t>Simulated by moving the device clock 11 minutes ahead after 'Send Codes': the screen shows 'Time left 00:00' and submitting a code returns to the number step with 'Both codes must be confirmed within 10 minutes. Start again.'</t>
        </is>
      </c>
    </row>
    <row r="333" ht="43" customHeight="1">
      <c r="A333" s="27" t="inlineStr">
        <is>
          <t>BL-PROF-016</t>
        </is>
      </c>
      <c r="B333" s="28" t="inlineStr">
        <is>
          <t>Profile &amp; account</t>
        </is>
      </c>
      <c r="C333" s="28" t="inlineStr">
        <is>
          <t>Phone change</t>
        </is>
      </c>
      <c r="D333" s="28" t="inlineStr">
        <is>
          <t>Wrong and exhausted codes</t>
        </is>
      </c>
      <c r="E333" s="28" t="inlineStr">
        <is>
          <t>Enter wrong codes repeatedly</t>
        </is>
      </c>
      <c r="F333" s="28" t="inlineStr">
        <is>
          <t>'N attempts left'; when exhausted or expired, back to the number step.</t>
        </is>
      </c>
      <c r="G333" s="29" t="inlineStr">
        <is>
          <t>P1</t>
        </is>
      </c>
      <c r="H333" s="29" t="inlineStr">
        <is>
          <t>Error handling</t>
        </is>
      </c>
      <c r="I333" s="30" t="inlineStr">
        <is>
          <t>lib/features/profile/application/providers/phone_change_provider.dart:109</t>
        </is>
      </c>
      <c r="J333" s="29" t="inlineStr">
        <is>
          <t>KB-05</t>
        </is>
      </c>
      <c r="K333" s="31" t="inlineStr">
        <is>
          <t>Pass</t>
        </is>
      </c>
      <c r="L333" s="32" t="inlineStr">
        <is>
          <t>Claude (adb)</t>
        </is>
      </c>
      <c r="M333" s="33" t="n">
        <v>46299</v>
      </c>
      <c r="N333" s="32" t="inlineStr">
        <is>
          <t>1.0.0+1 debug</t>
        </is>
      </c>
      <c r="O333" s="32" t="inlineStr">
        <is>
          <t>emulator-5554 / Android 14</t>
        </is>
      </c>
      <c r="P333" s="32" t="n"/>
      <c r="Q333" s="32" t="inlineStr">
        <is>
          <t>Wrong codes on step 2: 'That code is not right. Check it and try again. 2 attempts left.' -&gt; '1 attempt left.' -&gt; returned to the number step with 'Too many wrong codes. Request a new code to continue.'</t>
        </is>
      </c>
    </row>
    <row r="334" ht="43" customHeight="1">
      <c r="A334" s="27" t="inlineStr">
        <is>
          <t>BL-PROF-017</t>
        </is>
      </c>
      <c r="B334" s="28" t="inlineStr">
        <is>
          <t>Profile &amp; account</t>
        </is>
      </c>
      <c r="C334" s="28" t="inlineStr">
        <is>
          <t>Phone change</t>
        </is>
      </c>
      <c r="D334" s="28" t="inlineStr">
        <is>
          <t>Resend timer after a wrong code</t>
        </is>
      </c>
      <c r="E334" s="28" t="inlineStr">
        <is>
          <t>1. Wait for 'Resend code' to become available
2. Enter a wrong code</t>
        </is>
      </c>
      <c r="F334" s="28" t="inlineStr">
        <is>
          <t>'Resend code' should stay available. The code restarts the full 'Resend in' countdown and clears the box after every failed attempt.</t>
        </is>
      </c>
      <c r="G334" s="29" t="inlineStr">
        <is>
          <t>P2</t>
        </is>
      </c>
      <c r="H334" s="29" t="inlineStr">
        <is>
          <t>Verify gap</t>
        </is>
      </c>
      <c r="I334" s="30" t="inlineStr">
        <is>
          <t>lib/features/profile/presentation/screen/phone_change_screen.dart:313</t>
        </is>
      </c>
      <c r="J334" s="29" t="inlineStr">
        <is>
          <t>KB-05</t>
        </is>
      </c>
      <c r="K334" s="31" t="inlineStr">
        <is>
          <t>Pass</t>
        </is>
      </c>
      <c r="L334" s="32" t="inlineStr">
        <is>
          <t>Claude (adb)</t>
        </is>
      </c>
      <c r="M334" s="33" t="n">
        <v>46300</v>
      </c>
      <c r="N334" s="32" t="inlineStr">
        <is>
          <t>1.0.0+1 debug</t>
        </is>
      </c>
      <c r="O334" s="32" t="inlineStr">
        <is>
          <t>emulator-5554 / Android 14</t>
        </is>
      </c>
      <c r="P334" s="32" t="inlineStr">
        <is>
          <t>DEF-034</t>
        </is>
      </c>
      <c r="Q334" s="32" t="inlineStr">
        <is>
          <t>PASS (5 Oct 2026 retest, debug build). FIXED: the resend timer is set once per code sent, so a wrong code no longer restarts it. Retest: new number +919123456797, waited 30 s, entered 0000 twice ('That code is not right... 1 attempt left'); 'Resend code' stayed available. Change cancelled with Start again (nothing applied). First observed: On step 2 'Resend code' had become available (30 s elapsed); after one wrong code the control reverted to 'Resend in 00:27' and the code box was cleared — and again after the next wrong code. Each failed attempt restarts the full resend countdown.</t>
        </is>
      </c>
    </row>
    <row r="335" ht="43" customHeight="1">
      <c r="A335" s="27" t="inlineStr">
        <is>
          <t>BL-PROF-018</t>
        </is>
      </c>
      <c r="B335" s="28" t="inlineStr">
        <is>
          <t>Profile &amp; account</t>
        </is>
      </c>
      <c r="C335" s="28" t="inlineStr">
        <is>
          <t>Phone change</t>
        </is>
      </c>
      <c r="D335" s="28" t="inlineStr">
        <is>
          <t>Leaving mid-way</t>
        </is>
      </c>
      <c r="E335" s="28" t="inlineStr">
        <is>
          <t>Press Back on a code step</t>
        </is>
      </c>
      <c r="F335" s="28" t="inlineStr">
        <is>
          <t>'Stop changing your number? Your current number stays in place…'</t>
        </is>
      </c>
      <c r="G335" s="29" t="inlineStr">
        <is>
          <t>P2</t>
        </is>
      </c>
      <c r="H335" s="29" t="inlineStr">
        <is>
          <t>Rule</t>
        </is>
      </c>
      <c r="I335" s="30" t="inlineStr">
        <is>
          <t>lib/features/profile/presentation/screen/phone_change_screen.dart:148</t>
        </is>
      </c>
      <c r="J335" s="29" t="n"/>
      <c r="K335" s="31" t="inlineStr">
        <is>
          <t>Pass</t>
        </is>
      </c>
      <c r="L335" s="32" t="inlineStr">
        <is>
          <t>Claude (adb)</t>
        </is>
      </c>
      <c r="M335" s="33" t="n">
        <v>46299</v>
      </c>
      <c r="N335" s="32" t="inlineStr">
        <is>
          <t>1.0.0+1 debug</t>
        </is>
      </c>
      <c r="O335" s="32" t="inlineStr">
        <is>
          <t>emulator-5554 / Android 14</t>
        </is>
      </c>
      <c r="P335" s="32" t="n"/>
      <c r="Q335" s="32" t="inlineStr">
        <is>
          <t>System Back on step 2 shows 'Stop changing your number? Your current number stays in place. The codes we sent will expire.' (Keep Editing / Discard).</t>
        </is>
      </c>
    </row>
    <row r="336" ht="43" customHeight="1">
      <c r="A336" s="27" t="inlineStr">
        <is>
          <t>BL-PROF-019</t>
        </is>
      </c>
      <c r="B336" s="28" t="inlineStr">
        <is>
          <t>Profile &amp; account</t>
        </is>
      </c>
      <c r="C336" s="28" t="inlineStr">
        <is>
          <t>Alternate phone</t>
        </is>
      </c>
      <c r="D336" s="28" t="inlineStr">
        <is>
          <t>Saved at once, no code</t>
        </is>
      </c>
      <c r="E336" s="28" t="inlineStr">
        <is>
          <t>1. Add an alternate number
2. Remove it</t>
        </is>
      </c>
      <c r="F336" s="28" t="inlineStr">
        <is>
          <t>'Alternate number saved'; removal asks to confirm, then 'Alternate number removed' and 'Not set'.</t>
        </is>
      </c>
      <c r="G336" s="29" t="inlineStr">
        <is>
          <t>P2</t>
        </is>
      </c>
      <c r="H336" s="29" t="inlineStr">
        <is>
          <t>Rule</t>
        </is>
      </c>
      <c r="I336" s="30" t="inlineStr">
        <is>
          <t>lib/features/profile/presentation/screen/profile_edit_screen.dart:186</t>
        </is>
      </c>
      <c r="J336" s="29" t="n"/>
      <c r="K336" s="31" t="inlineStr">
        <is>
          <t>Pass</t>
        </is>
      </c>
      <c r="L336" s="32" t="inlineStr">
        <is>
          <t>Claude (adb)</t>
        </is>
      </c>
      <c r="M336" s="33" t="n">
        <v>46299</v>
      </c>
      <c r="N336" s="32" t="inlineStr">
        <is>
          <t>1.0.0+1 debug</t>
        </is>
      </c>
      <c r="O336" s="32" t="inlineStr">
        <is>
          <t>emulator-5554 / Android 14</t>
        </is>
      </c>
      <c r="P336" s="32" t="n"/>
      <c r="Q336" s="32" t="inlineStr">
        <is>
          <t>Add: 'Alternate number saved' with no code step; sheet text 'It is never used to sign in and no code is sent to it.' Remove: confirmation 'Remove alternate number? We will only be able to reach you on your main number.' then 'Alternate number removed'; server value cleared.</t>
        </is>
      </c>
    </row>
    <row r="337" ht="43" customHeight="1">
      <c r="A337" s="27" t="inlineStr">
        <is>
          <t>BL-PROF-020</t>
        </is>
      </c>
      <c r="B337" s="28" t="inlineStr">
        <is>
          <t>Profile &amp; account</t>
        </is>
      </c>
      <c r="C337" s="28" t="inlineStr">
        <is>
          <t>Alternate phone</t>
        </is>
      </c>
      <c r="D337" s="28" t="inlineStr">
        <is>
          <t>Alternate number equal to the main number</t>
        </is>
      </c>
      <c r="E337" s="28" t="inlineStr">
        <is>
          <t>Enter your own sign-in number as the alternate</t>
        </is>
      </c>
      <c r="F337" s="28" t="inlineStr">
        <is>
          <t>Should be refused. The app has no check of its own; see whether the server refuses it.</t>
        </is>
      </c>
      <c r="G337" s="29" t="inlineStr">
        <is>
          <t>P3</t>
        </is>
      </c>
      <c r="H337" s="29" t="inlineStr">
        <is>
          <t>Verify gap</t>
        </is>
      </c>
      <c r="I337" s="30" t="inlineStr">
        <is>
          <t>lib/features/profile/presentation/screen/profile_edit_screen.dart:696</t>
        </is>
      </c>
      <c r="J337" s="29" t="n"/>
      <c r="K337" s="31" t="inlineStr">
        <is>
          <t>Pass</t>
        </is>
      </c>
      <c r="L337" s="32" t="inlineStr">
        <is>
          <t>Claude (adb)</t>
        </is>
      </c>
      <c r="M337" s="33" t="n">
        <v>46300</v>
      </c>
      <c r="N337" s="32" t="inlineStr">
        <is>
          <t>1.0.0+1 debug</t>
        </is>
      </c>
      <c r="O337" s="32" t="inlineStr">
        <is>
          <t>emulator-5554 / Android 14</t>
        </is>
      </c>
      <c r="P337" s="32" t="inlineStr">
        <is>
          <t>DEF-035</t>
        </is>
      </c>
      <c r="Q337" s="32" t="inlineStr">
        <is>
          <t>PASS (5 Oct 2026 retest, debug build). FIXED: the app checks the alternate number against the sign-in number before sending. Retest: entering 9808683257 shows 'This is already your sign-in number. Enter a different one.' under the box; nothing sent. First observed: Entering the account's own sign-in number as the alternate number: the server refuses it (nothing saved), but the sheet closes and the only feedback is the toast 'Please check the highlighted fields and try again.' — no field is highlighted (the sheet is gone) and the reason is never shown.</t>
        </is>
      </c>
    </row>
    <row r="338" ht="56" customHeight="1">
      <c r="A338" s="27" t="inlineStr">
        <is>
          <t>BL-PROF-021</t>
        </is>
      </c>
      <c r="B338" s="28" t="inlineStr">
        <is>
          <t>Profile &amp; account</t>
        </is>
      </c>
      <c r="C338" s="28" t="inlineStr">
        <is>
          <t>Addresses</t>
        </is>
      </c>
      <c r="D338" s="28" t="inlineStr">
        <is>
          <t>Required fields and PIN code</t>
        </is>
      </c>
      <c r="E338" s="28" t="inlineStr">
        <is>
          <t>1. Save an empty address
2. PIN 012345
3. PIN with 5 digits
4. Line 1 'abc'</t>
        </is>
      </c>
      <c r="F338" s="28" t="inlineStr">
        <is>
          <t>'Choose a label', 'Enter the street address' / 'Address looks too short', 'Enter a city', 'Enter a state', 'Enter a valid PIN code' / 'PIN code must be 6 digits'.</t>
        </is>
      </c>
      <c r="G338" s="29" t="inlineStr">
        <is>
          <t>P1</t>
        </is>
      </c>
      <c r="H338" s="29" t="inlineStr">
        <is>
          <t>Boundary</t>
        </is>
      </c>
      <c r="I338" s="30" t="inlineStr">
        <is>
          <t>lib/features/profile/presentation/screen/addresses_screen.dart:426</t>
        </is>
      </c>
      <c r="J338" s="29" t="n"/>
      <c r="K338" s="31" t="inlineStr">
        <is>
          <t>Pass</t>
        </is>
      </c>
      <c r="L338" s="32" t="inlineStr">
        <is>
          <t>Claude (adb)</t>
        </is>
      </c>
      <c r="M338" s="33" t="n">
        <v>46299</v>
      </c>
      <c r="N338" s="32" t="inlineStr">
        <is>
          <t>1.0.0+1 debug</t>
        </is>
      </c>
      <c r="O338" s="32" t="inlineStr">
        <is>
          <t>emulator-5554 / Android 14</t>
        </is>
      </c>
      <c r="P338" s="32" t="n"/>
      <c r="Q338" s="32" t="inlineStr">
        <is>
          <t>Empty save: 'Choose a label', 'Enter the street address', 'Enter a city', 'Enter a state', 'Enter a PIN code'. Line 'abc': 'Address looks too short'; PIN 012345: 'Enter a valid PIN code'; 5 digits: 'PIN code must be 6 digits'. Labels offered: Home, Work, Parents, Clinic, Other.</t>
        </is>
      </c>
    </row>
    <row r="339" ht="43" customHeight="1">
      <c r="A339" s="27" t="inlineStr">
        <is>
          <t>BL-PROF-022</t>
        </is>
      </c>
      <c r="B339" s="28" t="inlineStr">
        <is>
          <t>Profile &amp; account</t>
        </is>
      </c>
      <c r="C339" s="28" t="inlineStr">
        <is>
          <t>Addresses</t>
        </is>
      </c>
      <c r="D339" s="28" t="inlineStr">
        <is>
          <t>Exactly one default</t>
        </is>
      </c>
      <c r="E339" s="28" t="inlineStr">
        <is>
          <t>1. Make a second address default
2. Edit the default address</t>
        </is>
      </c>
      <c r="F339" s="28" t="inlineStr">
        <is>
          <t>Badge moves; '&lt;label&gt; is now your default address'; the default's toggle is locked: 'Already your default…'.</t>
        </is>
      </c>
      <c r="G339" s="29" t="inlineStr">
        <is>
          <t>P1</t>
        </is>
      </c>
      <c r="H339" s="29" t="inlineStr">
        <is>
          <t>State</t>
        </is>
      </c>
      <c r="I339" s="30" t="inlineStr">
        <is>
          <t>lib/features/profile/application/providers/profile_mutations_provider.dart:284</t>
        </is>
      </c>
      <c r="J339" s="29" t="n"/>
      <c r="K339" s="31" t="inlineStr">
        <is>
          <t>Pass</t>
        </is>
      </c>
      <c r="L339" s="32" t="inlineStr">
        <is>
          <t>Claude (adb)</t>
        </is>
      </c>
      <c r="M339" s="33" t="n">
        <v>46299</v>
      </c>
      <c r="N339" s="32" t="inlineStr">
        <is>
          <t>1.0.0+1 debug</t>
        </is>
      </c>
      <c r="O339" s="32" t="inlineStr">
        <is>
          <t>emulator-5554 / Android 14</t>
        </is>
      </c>
      <c r="P339" s="32" t="n"/>
      <c r="Q339" s="32" t="inlineStr">
        <is>
          <t>'Make Default' on Work: toast 'Work is now your default address', badge moves, Home gains 'Make Default'. Editing the default shows the locked toggle text 'Already your default. To change it, make another address default.'</t>
        </is>
      </c>
    </row>
    <row r="340" ht="30" customHeight="1">
      <c r="A340" s="27" t="inlineStr">
        <is>
          <t>BL-PROF-023</t>
        </is>
      </c>
      <c r="B340" s="28" t="inlineStr">
        <is>
          <t>Profile &amp; account</t>
        </is>
      </c>
      <c r="C340" s="28" t="inlineStr">
        <is>
          <t>Addresses</t>
        </is>
      </c>
      <c r="D340" s="28" t="inlineStr">
        <is>
          <t>Removing the default</t>
        </is>
      </c>
      <c r="E340" s="28" t="inlineStr">
        <is>
          <t>Remove the default address</t>
        </is>
      </c>
      <c r="F340" s="28" t="inlineStr">
        <is>
          <t>Warning that home visits and invoices fall back to another address; another address may become default.</t>
        </is>
      </c>
      <c r="G340" s="29" t="inlineStr">
        <is>
          <t>P2</t>
        </is>
      </c>
      <c r="H340" s="29" t="inlineStr">
        <is>
          <t>State</t>
        </is>
      </c>
      <c r="I340" s="30" t="inlineStr">
        <is>
          <t>lib/features/profile/presentation/screen/addresses_screen.dart:196</t>
        </is>
      </c>
      <c r="J340" s="29" t="n"/>
      <c r="K340" s="31" t="inlineStr">
        <is>
          <t>Pass</t>
        </is>
      </c>
      <c r="L340" s="32" t="inlineStr">
        <is>
          <t>Claude (adb)</t>
        </is>
      </c>
      <c r="M340" s="33" t="n">
        <v>46299</v>
      </c>
      <c r="N340" s="32" t="inlineStr">
        <is>
          <t>1.0.0+1 debug</t>
        </is>
      </c>
      <c r="O340" s="32" t="inlineStr">
        <is>
          <t>emulator-5554 / Android 14</t>
        </is>
      </c>
      <c r="P340" s="32" t="n"/>
      <c r="Q340" s="32" t="inlineStr">
        <is>
          <t>Removing the default: 'Remove Work? … is your default address. Home visits and invoices will fall back to another saved address, or to none if this is your last.' then 'Work removed'. Note: afterwards the remaining Home address is NOT default (server is_default=false), so the account has no default address until the user taps Make Default.</t>
        </is>
      </c>
    </row>
    <row r="341" ht="43" customHeight="1">
      <c r="A341" s="27" t="inlineStr">
        <is>
          <t>BL-PROF-024</t>
        </is>
      </c>
      <c r="B341" s="28" t="inlineStr">
        <is>
          <t>Profile &amp; account</t>
        </is>
      </c>
      <c r="C341" s="28" t="inlineStr">
        <is>
          <t>Addresses</t>
        </is>
      </c>
      <c r="D341" s="28" t="inlineStr">
        <is>
          <t>Editing keeps data the form does not show</t>
        </is>
      </c>
      <c r="E341" s="28" t="inlineStr">
        <is>
          <t>1. Use an address that has a contact number or a custom label (set via the backend)
2. Edit any field and save</t>
        </is>
      </c>
      <c r="F341" s="28" t="inlineStr">
        <is>
          <t>Contact number and label should be kept. The code sends an empty phone on every save and replaces an unknown label with 'Other'.</t>
        </is>
      </c>
      <c r="G341" s="29" t="inlineStr">
        <is>
          <t>P2</t>
        </is>
      </c>
      <c r="H341" s="29" t="inlineStr">
        <is>
          <t>Verify gap</t>
        </is>
      </c>
      <c r="I341" s="30" t="inlineStr">
        <is>
          <t>lib/features/profile/infrastructure/data_sources/remote/contacts_api.dart:73</t>
        </is>
      </c>
      <c r="J341" s="29" t="n"/>
      <c r="K341" s="31" t="inlineStr">
        <is>
          <t>Pass</t>
        </is>
      </c>
      <c r="L341" s="32" t="inlineStr">
        <is>
          <t>Claude (adb)</t>
        </is>
      </c>
      <c r="M341" s="33" t="n">
        <v>46300</v>
      </c>
      <c r="N341" s="32" t="inlineStr">
        <is>
          <t>1.0.0+1 debug</t>
        </is>
      </c>
      <c r="O341" s="32" t="inlineStr">
        <is>
          <t>emulator-5554 / Android 14</t>
        </is>
      </c>
      <c r="P341" s="32" t="inlineStr">
        <is>
          <t>DEF-036</t>
        </is>
      </c>
      <c r="Q341" s="32" t="inlineStr">
        <is>
          <t>PASS (5 Oct 2026 retest, debug build). FIXED: the edit form keeps a custom label and the contact number. Retest: 'Beach house' address with contact +919812300000 made via the API; only the city was changed in the app to Ernakulam; server kept label 'Beach house' and phone +919812300000 (v2). Test address deleted. First observed: Address created by another client with label 'Beach house' and contact +919812300000 (shown on the card as 'Contact: +919812300000'). Opened Edit, changed only the city, saved ('Beach house updated'): the server now has label 'Other' and phone null — the custom label and the contact number were wiped by an edit that never showed them.</t>
        </is>
      </c>
    </row>
    <row r="342" ht="30" customHeight="1">
      <c r="A342" s="27" t="inlineStr">
        <is>
          <t>BL-PROF-025</t>
        </is>
      </c>
      <c r="B342" s="28" t="inlineStr">
        <is>
          <t>Profile &amp; account</t>
        </is>
      </c>
      <c r="C342" s="28" t="inlineStr">
        <is>
          <t>Addresses</t>
        </is>
      </c>
      <c r="D342" s="28" t="inlineStr">
        <is>
          <t>Sheet closes only on success</t>
        </is>
      </c>
      <c r="E342" s="28" t="inlineStr">
        <is>
          <t>Save while offline</t>
        </is>
      </c>
      <c r="F342" s="28" t="inlineStr">
        <is>
          <t>Sheet stays open with the error; no success toast.</t>
        </is>
      </c>
      <c r="G342" s="29" t="inlineStr">
        <is>
          <t>P2</t>
        </is>
      </c>
      <c r="H342" s="29" t="inlineStr">
        <is>
          <t>Error handling</t>
        </is>
      </c>
      <c r="I342" s="30" t="inlineStr">
        <is>
          <t>lib/features/profile/presentation/screen/addresses_screen.dart:475</t>
        </is>
      </c>
      <c r="J342" s="29" t="n"/>
      <c r="K342" s="31" t="inlineStr">
        <is>
          <t>Pass</t>
        </is>
      </c>
      <c r="L342" s="32" t="inlineStr">
        <is>
          <t>Claude (adb)</t>
        </is>
      </c>
      <c r="M342" s="33" t="n">
        <v>46299</v>
      </c>
      <c r="N342" s="32" t="inlineStr">
        <is>
          <t>1.0.0+1 debug</t>
        </is>
      </c>
      <c r="O342" s="32" t="inlineStr">
        <is>
          <t>emulator-5554 / Android 14</t>
        </is>
      </c>
      <c r="P342" s="32" t="n"/>
      <c r="Q342" s="32" t="inlineStr">
        <is>
          <t>Saving in airplane mode keeps the sheet open with 'You appear to be offline. Check your connection and try again.' and no success toast; after reconnecting, Save gives 'Address saved' and the sheet closes.</t>
        </is>
      </c>
    </row>
    <row r="343" ht="43" customHeight="1">
      <c r="A343" s="27" t="inlineStr">
        <is>
          <t>BL-PROF-026</t>
        </is>
      </c>
      <c r="B343" s="28" t="inlineStr">
        <is>
          <t>Profile &amp; account</t>
        </is>
      </c>
      <c r="C343" s="28" t="inlineStr">
        <is>
          <t>Emergency contacts</t>
        </is>
      </c>
      <c r="D343" s="28" t="inlineStr">
        <is>
          <t>Required fields</t>
        </is>
      </c>
      <c r="E343" s="28" t="inlineStr">
        <is>
          <t>Add a contact with nothing filled</t>
        </is>
      </c>
      <c r="F343" s="28" t="inlineStr">
        <is>
          <t>'Enter a name', 'Choose a relation', 'Enter your mobile number'.</t>
        </is>
      </c>
      <c r="G343" s="29" t="inlineStr">
        <is>
          <t>P1</t>
        </is>
      </c>
      <c r="H343" s="29" t="inlineStr">
        <is>
          <t>Boundary</t>
        </is>
      </c>
      <c r="I343" s="30" t="inlineStr">
        <is>
          <t>lib/features/profile/presentation/screen/emergency_contacts_screen.dart:449</t>
        </is>
      </c>
      <c r="J343" s="29" t="n"/>
      <c r="K343" s="31" t="inlineStr">
        <is>
          <t>Pass</t>
        </is>
      </c>
      <c r="L343" s="32" t="inlineStr">
        <is>
          <t>Claude (adb)</t>
        </is>
      </c>
      <c r="M343" s="33" t="n">
        <v>46299</v>
      </c>
      <c r="N343" s="32" t="inlineStr">
        <is>
          <t>1.0.0+1 debug</t>
        </is>
      </c>
      <c r="O343" s="32" t="inlineStr">
        <is>
          <t>emulator-5554 / Android 14</t>
        </is>
      </c>
      <c r="P343" s="32" t="n"/>
      <c r="Q343" s="32" t="inlineStr">
        <is>
          <t>Empty Add Contact: 'Enter a name', 'Choose a relation', 'Enter your mobile number'. 12 relation options (Spouse … Other). Valid contact: 'Contact added', count line '2 contacts. The primary contact is called first.'</t>
        </is>
      </c>
    </row>
    <row r="344" ht="43" customHeight="1">
      <c r="A344" s="27" t="inlineStr">
        <is>
          <t>BL-PROF-027</t>
        </is>
      </c>
      <c r="B344" s="28" t="inlineStr">
        <is>
          <t>Profile &amp; account</t>
        </is>
      </c>
      <c r="C344" s="28" t="inlineStr">
        <is>
          <t>Emergency contacts</t>
        </is>
      </c>
      <c r="D344" s="28" t="inlineStr">
        <is>
          <t>Exactly one primary</t>
        </is>
      </c>
      <c r="E344" s="28" t="inlineStr">
        <is>
          <t>1. Make another contact primary
2. Edit the primary</t>
        </is>
      </c>
      <c r="F344" s="28" t="inlineStr">
        <is>
          <t>'&lt;name&gt; is now your primary contact'; single badge; primary's toggle locked.</t>
        </is>
      </c>
      <c r="G344" s="29" t="inlineStr">
        <is>
          <t>P1</t>
        </is>
      </c>
      <c r="H344" s="29" t="inlineStr">
        <is>
          <t>State</t>
        </is>
      </c>
      <c r="I344" s="30" t="inlineStr">
        <is>
          <t>lib/features/profile/application/providers/profile_mutations_provider.dart:361</t>
        </is>
      </c>
      <c r="J344" s="29" t="n"/>
      <c r="K344" s="31" t="inlineStr">
        <is>
          <t>Pass</t>
        </is>
      </c>
      <c r="L344" s="32" t="inlineStr">
        <is>
          <t>Claude (adb)</t>
        </is>
      </c>
      <c r="M344" s="33" t="n">
        <v>46299</v>
      </c>
      <c r="N344" s="32" t="inlineStr">
        <is>
          <t>1.0.0+1 debug</t>
        </is>
      </c>
      <c r="O344" s="32" t="inlineStr">
        <is>
          <t>emulator-5554 / Android 14</t>
        </is>
      </c>
      <c r="P344" s="32" t="n"/>
      <c r="Q344" s="32" t="inlineStr">
        <is>
          <t>'Make Primary' on the new contact: 'Ravi Kumar is now your primary contact', single Primary badge; editing the primary shows 'Already your primary contact. To change it, make another contact primary.'</t>
        </is>
      </c>
    </row>
    <row r="345" ht="43" customHeight="1">
      <c r="A345" s="27" t="inlineStr">
        <is>
          <t>BL-PROF-028</t>
        </is>
      </c>
      <c r="B345" s="28" t="inlineStr">
        <is>
          <t>Profile &amp; account</t>
        </is>
      </c>
      <c r="C345" s="28" t="inlineStr">
        <is>
          <t>Emergency contacts</t>
        </is>
      </c>
      <c r="D345" s="28" t="inlineStr">
        <is>
          <t>Removing the primary contact</t>
        </is>
      </c>
      <c r="E345" s="28" t="inlineStr">
        <is>
          <t>Remove the primary contact</t>
        </is>
      </c>
      <c r="F345" s="28" t="inlineStr">
        <is>
          <t>Warning that the hospital will have no one to call; '&lt;name&gt; removed'.</t>
        </is>
      </c>
      <c r="G345" s="29" t="inlineStr">
        <is>
          <t>P2</t>
        </is>
      </c>
      <c r="H345" s="29" t="inlineStr">
        <is>
          <t>State</t>
        </is>
      </c>
      <c r="I345" s="30" t="inlineStr">
        <is>
          <t>lib/features/profile/presentation/screen/emergency_contacts_screen.dart:218</t>
        </is>
      </c>
      <c r="J345" s="29" t="n"/>
      <c r="K345" s="31" t="inlineStr">
        <is>
          <t>Pass</t>
        </is>
      </c>
      <c r="L345" s="32" t="inlineStr">
        <is>
          <t>Claude (adb)</t>
        </is>
      </c>
      <c r="M345" s="33" t="n">
        <v>46299</v>
      </c>
      <c r="N345" s="32" t="inlineStr">
        <is>
          <t>1.0.0+1 debug</t>
        </is>
      </c>
      <c r="O345" s="32" t="inlineStr">
        <is>
          <t>emulator-5554 / Android 14</t>
        </is>
      </c>
      <c r="P345" s="32" t="n"/>
      <c r="Q345" s="32" t="inlineStr">
        <is>
          <t>Removing the primary: 'Remove Ravi Kumar? Ravi Kumar is your primary contact. If you are brought in unconscious the hospital will have no one to call until you add another contact.' then removed. Note: the warning says 'no one to call' even though another contact (Tara) is still saved.</t>
        </is>
      </c>
    </row>
    <row r="346" ht="43" customHeight="1">
      <c r="A346" s="27" t="inlineStr">
        <is>
          <t>BL-PROF-029</t>
        </is>
      </c>
      <c r="B346" s="28" t="inlineStr">
        <is>
          <t>Profile &amp; account</t>
        </is>
      </c>
      <c r="C346" s="28" t="inlineStr">
        <is>
          <t>Sessions</t>
        </is>
      </c>
      <c r="D346" s="28" t="inlineStr">
        <is>
          <t>Other-device summary</t>
        </is>
      </c>
      <c r="E346" s="28" t="inlineStr">
        <is>
          <t>Be signed in on 0, 1 and 2 other devices</t>
        </is>
      </c>
      <c r="F346" s="28" t="inlineStr">
        <is>
          <t>'Only this device is signed in.' / 'One other device…' / '2 other devices…'; this device is badged and has no sign-out button.</t>
        </is>
      </c>
      <c r="G346" s="29" t="inlineStr">
        <is>
          <t>P2</t>
        </is>
      </c>
      <c r="H346" s="29" t="inlineStr">
        <is>
          <t>Calculation</t>
        </is>
      </c>
      <c r="I346" s="30" t="inlineStr">
        <is>
          <t>lib/features/profile/presentation/screen/sessions_screen.dart:90</t>
        </is>
      </c>
      <c r="J346" s="29" t="n"/>
      <c r="K346" s="31" t="inlineStr">
        <is>
          <t>Pass</t>
        </is>
      </c>
      <c r="L346" s="32" t="inlineStr">
        <is>
          <t>Claude (adb)</t>
        </is>
      </c>
      <c r="M346" s="33" t="n">
        <v>46299</v>
      </c>
      <c r="N346" s="32" t="inlineStr">
        <is>
          <t>1.0.0+1 debug</t>
        </is>
      </c>
      <c r="O346" s="32" t="inlineStr">
        <is>
          <t>emulator-5554 / Android 14</t>
        </is>
      </c>
      <c r="P346" s="32" t="n"/>
      <c r="Q346" s="32" t="inlineStr">
        <is>
          <t>With 7 sessions on the account: '6 other devices are signed in to your account.'; this device is badged 'This device' with no sign-out button; a session with user agent 'MedibookApp/1.4.2 (Android 14)' is labelled 'Android 14'. 0 / 1 other-device wording not set up.</t>
        </is>
      </c>
    </row>
    <row r="347" ht="30" customHeight="1">
      <c r="A347" s="27" t="inlineStr">
        <is>
          <t>BL-PROF-030</t>
        </is>
      </c>
      <c r="B347" s="28" t="inlineStr">
        <is>
          <t>Profile &amp; account</t>
        </is>
      </c>
      <c r="C347" s="28" t="inlineStr">
        <is>
          <t>Sessions</t>
        </is>
      </c>
      <c r="D347" s="28" t="inlineStr">
        <is>
          <t>Sign out one device / everywhere</t>
        </is>
      </c>
      <c r="E347" s="28" t="inlineStr">
        <is>
          <t>1. Sign out another device
2. Use 'Log Out Everywhere'</t>
        </is>
      </c>
      <c r="F347" s="28" t="inlineStr">
        <is>
          <t>That device is signed out and leaves the list; everywhere ends all sessions including this one.</t>
        </is>
      </c>
      <c r="G347" s="29" t="inlineStr">
        <is>
          <t>P0</t>
        </is>
      </c>
      <c r="H347" s="29" t="inlineStr">
        <is>
          <t>State</t>
        </is>
      </c>
      <c r="I347" s="30" t="inlineStr">
        <is>
          <t>lib/features/profile/presentation/screen/sessions_screen.dart:157</t>
        </is>
      </c>
      <c r="J347" s="29" t="n"/>
      <c r="K347" s="31" t="inlineStr">
        <is>
          <t>Pass</t>
        </is>
      </c>
      <c r="L347" s="32" t="inlineStr">
        <is>
          <t>Claude (adb)</t>
        </is>
      </c>
      <c r="M347" s="33" t="n">
        <v>46299</v>
      </c>
      <c r="N347" s="32" t="inlineStr">
        <is>
          <t>1.0.0+1 debug</t>
        </is>
      </c>
      <c r="O347" s="32" t="inlineStr">
        <is>
          <t>emulator-5554 / Android 14</t>
        </is>
      </c>
      <c r="P347" s="32" t="n"/>
      <c r="Q347" s="32" t="inlineStr">
        <is>
          <t>Signing out one other device removes its row ('curl/8.7.1 signed out', count drops). 'Log Out Everywhere': 'Every device, including this one, is signed out now…' -&gt; the app returns to sign-in and tokens held by other clients answer AUTH_SESSION_REVOKED.</t>
        </is>
      </c>
    </row>
    <row r="348" ht="43" customHeight="1">
      <c r="A348" s="27" t="inlineStr">
        <is>
          <t>BL-PROF-031</t>
        </is>
      </c>
      <c r="B348" s="28" t="inlineStr">
        <is>
          <t>Profile &amp; account</t>
        </is>
      </c>
      <c r="C348" s="28" t="inlineStr">
        <is>
          <t>Data export</t>
        </is>
      </c>
      <c r="D348" s="28" t="inlineStr">
        <is>
          <t>One open request at a time</t>
        </is>
      </c>
      <c r="E348" s="28" t="inlineStr">
        <is>
          <t>1. Request a copy
2. Reopen the screen</t>
        </is>
      </c>
      <c r="F348" s="28" t="inlineStr">
        <is>
          <t>'Request received — we will notify you when it is ready'; the Request button is replaced by 'Request &lt;no&gt; is … You can ask again once it is finished.'</t>
        </is>
      </c>
      <c r="G348" s="29" t="inlineStr">
        <is>
          <t>P1</t>
        </is>
      </c>
      <c r="H348" s="29" t="inlineStr">
        <is>
          <t>Rule</t>
        </is>
      </c>
      <c r="I348" s="30" t="inlineStr">
        <is>
          <t>lib/features/profile/presentation/screen/data_export_screen.dart:239</t>
        </is>
      </c>
      <c r="J348" s="29" t="n"/>
      <c r="K348" s="31" t="inlineStr">
        <is>
          <t>Pass</t>
        </is>
      </c>
      <c r="L348" s="32" t="inlineStr">
        <is>
          <t>Claude (adb)</t>
        </is>
      </c>
      <c r="M348" s="33" t="n">
        <v>46299</v>
      </c>
      <c r="N348" s="32" t="inlineStr">
        <is>
          <t>1.0.0+1 debug</t>
        </is>
      </c>
      <c r="O348" s="32" t="inlineStr">
        <is>
          <t>emulator-5554 / Android 14</t>
        </is>
      </c>
      <c r="P348" s="32" t="n"/>
      <c r="Q348" s="32" t="inlineStr">
        <is>
          <t>With request DSR-2026-0005 open, the Request button is replaced by 'Request DSR-2026-0005 is requested. You can ask again once it is finished.'; the list shows it as 'Requested'.</t>
        </is>
      </c>
    </row>
    <row r="349" ht="30" customHeight="1">
      <c r="A349" s="27" t="inlineStr">
        <is>
          <t>BL-PROF-032</t>
        </is>
      </c>
      <c r="B349" s="28" t="inlineStr">
        <is>
          <t>Profile &amp; account</t>
        </is>
      </c>
      <c r="C349" s="28" t="inlineStr">
        <is>
          <t>Data export</t>
        </is>
      </c>
      <c r="D349" s="28" t="inlineStr">
        <is>
          <t>Request already made on another device</t>
        </is>
      </c>
      <c r="E349" s="28" t="inlineStr">
        <is>
          <t>1. Request on device B
2. Tap Request on device A's older screen</t>
        </is>
      </c>
      <c r="F349" s="28" t="inlineStr">
        <is>
          <t>'A copy of your data is already being prepared'; the open request appears.</t>
        </is>
      </c>
      <c r="G349" s="29" t="inlineStr">
        <is>
          <t>P2</t>
        </is>
      </c>
      <c r="H349" s="29" t="inlineStr">
        <is>
          <t>Error handling</t>
        </is>
      </c>
      <c r="I349" s="30" t="inlineStr">
        <is>
          <t>lib/features/profile/presentation/screen/data_export_screen.dart:148</t>
        </is>
      </c>
      <c r="J349" s="29" t="inlineStr">
        <is>
          <t>Simulated - repeat with two real devices if wanted</t>
        </is>
      </c>
      <c r="K349" s="31" t="inlineStr">
        <is>
          <t>Pass</t>
        </is>
      </c>
      <c r="L349" s="32" t="inlineStr">
        <is>
          <t>Claude (adb)</t>
        </is>
      </c>
      <c r="M349" s="33" t="n">
        <v>46300</v>
      </c>
      <c r="N349" s="32" t="inlineStr">
        <is>
          <t>1.0.0+1 debug</t>
        </is>
      </c>
      <c r="O349" s="32" t="inlineStr">
        <is>
          <t>emulator-5554 / Android 14</t>
        </is>
      </c>
      <c r="P349" s="32" t="n"/>
      <c r="Q349" s="32" t="inlineStr">
        <is>
          <t>PASS WITH SIMULATED SERVER ANSWERS (5 Oct 2026, owner's choice). A pass-through recorder on the host stood in for 'phone B': it hid the open request from phone A's first load of GET /patient/me/data-exports, so the screen offered 'Request My Data' as an out-of-date screen would; it answered the tap's POST /patient/me/data-exports itself with 409 STATE_CONFLICT; and it added a pretend open request DSR-2026-0099 to the refreshed list. Nothing was created on the server. Result: one POST (409), then the app re-read the list at once (GET, 200); toast 'A copy of your data is already being prepared'; DSR-2026-0099 appeared at the top as 'Requested', and the Request button was replaced by 'Request DSR-2026-0099 is requested. You can ask again once it is finished.' No error message. Seen meanwhile: DSR-2026-0005, open on 4 Oct, is now Ready. First tried 4 Oct 2026 with a real second session: not concluded - the tap on the stale screen did not register and the screen had refreshed by the next attempt.</t>
        </is>
      </c>
    </row>
    <row r="350" ht="30" customHeight="1">
      <c r="A350" s="27" t="inlineStr">
        <is>
          <t>BL-PROF-033</t>
        </is>
      </c>
      <c r="B350" s="28" t="inlineStr">
        <is>
          <t>Profile &amp; account</t>
        </is>
      </c>
      <c r="C350" s="28" t="inlineStr">
        <is>
          <t>Data export</t>
        </is>
      </c>
      <c r="D350" s="28" t="inlineStr">
        <is>
          <t>Download only when ready</t>
        </is>
      </c>
      <c r="E350" s="28" t="inlineStr">
        <is>
          <t>1. Open requests in each status
2. Tap Download on a ready one and on an expired one</t>
        </is>
      </c>
      <c r="F350" s="28" t="inlineStr">
        <is>
          <t>Download only for Ready; expired: 'This file is no longer available. Request a new copy.'</t>
        </is>
      </c>
      <c r="G350" s="29" t="inlineStr">
        <is>
          <t>P1</t>
        </is>
      </c>
      <c r="H350" s="29" t="inlineStr">
        <is>
          <t>Rule</t>
        </is>
      </c>
      <c r="I350" s="30" t="inlineStr">
        <is>
          <t>lib/features/profile/presentation/screen/data_export_screen.dart:157</t>
        </is>
      </c>
      <c r="J350" s="29" t="inlineStr">
        <is>
          <t>KB-01 (file), BB-19 (expired answer)</t>
        </is>
      </c>
      <c r="K350" s="31" t="inlineStr">
        <is>
          <t>Blocked</t>
        </is>
      </c>
      <c r="L350" s="32" t="inlineStr">
        <is>
          <t>Claude (adb)</t>
        </is>
      </c>
      <c r="M350" s="33" t="n">
        <v>46300</v>
      </c>
      <c r="N350" s="32" t="inlineStr">
        <is>
          <t>1.0.0+1 debug</t>
        </is>
      </c>
      <c r="O350" s="32" t="inlineStr">
        <is>
          <t>emulator-5554 / Android 14</t>
        </is>
      </c>
      <c r="P350" s="32" t="n"/>
      <c r="Q350" s="32" t="inlineStr">
        <is>
          <t>PARTLY PASS WITH SIMULATED SERVER ANSWERS (5 Oct 2026, owner's choice). Download is offered only on 'Ready' requests: today DSR-2026-0005 and DSR-2026-0003 are both Ready and both show Download (4 Oct: only the Ready one did, not the 'Requested' one). Expired file, simulated by a pass-through recorder on the host answering GET /shared/data-exports/{id}/download-url itself (nothing reached the server): with 404 NOT_FOUND the toast was 'This file is no longer available. Request a new copy.' - as expected. With 410 GONE the toast was 'Something went wrong on our side. We're on it - please try again in a moment.' - wrong for an expired file. The API document does not say which code an expired file returns: asked as BB-19. If the server uses anything but 404, the app needs a change. Still blocked: opening the file itself (links point at storage.fake.local - KB-01, BB-17). A real expiry should be visible on about 9 Oct 2026 (DSR-2026-0003, ready 2 Oct, kept 7 days).</t>
        </is>
      </c>
    </row>
    <row r="351" ht="43" customHeight="1">
      <c r="A351" s="27" t="inlineStr">
        <is>
          <t>BL-PROF-034</t>
        </is>
      </c>
      <c r="B351" s="28" t="inlineStr">
        <is>
          <t>Profile &amp; account</t>
        </is>
      </c>
      <c r="C351" s="28" t="inlineStr">
        <is>
          <t>Deletion &amp; reactivation</t>
        </is>
      </c>
      <c r="D351" s="28" t="inlineStr">
        <is>
          <t>Request deletion</t>
        </is>
      </c>
      <c r="E351" s="28" t="inlineStr">
        <is>
          <t>Profile &gt; Delete account &gt; give a reason &gt; confirm</t>
        </is>
      </c>
      <c r="F351" s="28" t="inlineStr">
        <is>
          <t>Dialog names the 30 days and that other devices are logged out; 'Deletion requested (DSR-…)'; Delete row replaced by the red card.</t>
        </is>
      </c>
      <c r="G351" s="29" t="inlineStr">
        <is>
          <t>P0</t>
        </is>
      </c>
      <c r="H351" s="29" t="inlineStr">
        <is>
          <t>State</t>
        </is>
      </c>
      <c r="I351" s="30" t="inlineStr">
        <is>
          <t>lib/features/profile/presentation/screen/profile_screen.dart:342</t>
        </is>
      </c>
      <c r="J351" s="29" t="n"/>
      <c r="K351" s="31" t="inlineStr">
        <is>
          <t>Pass</t>
        </is>
      </c>
      <c r="L351" s="32" t="inlineStr">
        <is>
          <t>Claude (adb)</t>
        </is>
      </c>
      <c r="M351" s="33" t="n">
        <v>46299</v>
      </c>
      <c r="N351" s="32" t="inlineStr">
        <is>
          <t>1.0.0+1 debug</t>
        </is>
      </c>
      <c r="O351" s="32" t="inlineStr">
        <is>
          <t>emulator-5554 / Android 14</t>
        </is>
      </c>
      <c r="P351" s="32" t="n"/>
      <c r="Q351" s="32" t="inlineStr">
        <is>
          <t>Delete account sheet explains the 30 days; confirm dialog 'Request deletion? Your account is frozen for 30 days… Every other signed-in device is logged out now.'; toast 'Deletion requested (DSR-2026-0007)'; the Delete account row is replaced by the red card. Other sessions were ended (API tokens became invalid).</t>
        </is>
      </c>
    </row>
    <row r="352" ht="30" customHeight="1">
      <c r="A352" s="27" t="inlineStr">
        <is>
          <t>BL-PROF-035</t>
        </is>
      </c>
      <c r="B352" s="28" t="inlineStr">
        <is>
          <t>Profile &amp; account</t>
        </is>
      </c>
      <c r="C352" s="28" t="inlineStr">
        <is>
          <t>Deletion &amp; reactivation</t>
        </is>
      </c>
      <c r="D352" s="28" t="inlineStr">
        <is>
          <t>Card states the erase date</t>
        </is>
      </c>
      <c r="E352" s="28" t="inlineStr">
        <is>
          <t>View Profile while deletion is pending</t>
        </is>
      </c>
      <c r="F352" s="28" t="inlineStr">
        <is>
          <t>'Request &lt;no&gt; · your account and data are erased on &lt;date&gt; unless you reactivate before then.'</t>
        </is>
      </c>
      <c r="G352" s="29" t="inlineStr">
        <is>
          <t>P1</t>
        </is>
      </c>
      <c r="H352" s="29" t="inlineStr">
        <is>
          <t>Data mapping</t>
        </is>
      </c>
      <c r="I352" s="30" t="inlineStr">
        <is>
          <t>lib/features/profile/presentation/screen/profile_screen.dart:578</t>
        </is>
      </c>
      <c r="J352" s="29" t="n"/>
      <c r="K352" s="31" t="inlineStr">
        <is>
          <t>Pass</t>
        </is>
      </c>
      <c r="L352" s="32" t="inlineStr">
        <is>
          <t>Claude (adb)</t>
        </is>
      </c>
      <c r="M352" s="33" t="n">
        <v>46299</v>
      </c>
      <c r="N352" s="32" t="inlineStr">
        <is>
          <t>1.0.0+1 debug</t>
        </is>
      </c>
      <c r="O352" s="32" t="inlineStr">
        <is>
          <t>emulator-5554 / Android 14</t>
        </is>
      </c>
      <c r="P352" s="32" t="n"/>
      <c r="Q352" s="32" t="inlineStr">
        <is>
          <t>Card: 'Deletion requested — Request DSR-2026-0007 · your account and data are erased on 3 November 2026 unless you reactivate before then.' with 'Reactivate Account' and 'Withdraw Request'.</t>
        </is>
      </c>
    </row>
    <row r="353" ht="43" customHeight="1">
      <c r="A353" s="27" t="inlineStr">
        <is>
          <t>BL-PROF-036</t>
        </is>
      </c>
      <c r="B353" s="28" t="inlineStr">
        <is>
          <t>Profile &amp; account</t>
        </is>
      </c>
      <c r="C353" s="28" t="inlineStr">
        <is>
          <t>Deletion &amp; reactivation</t>
        </is>
      </c>
      <c r="D353" s="28" t="inlineStr">
        <is>
          <t>Withdraw or reactivate</t>
        </is>
      </c>
      <c r="E353" s="28" t="inlineStr">
        <is>
          <t>Tap 'Withdraw Request' and confirm (or 'Reactivate Account')</t>
        </is>
      </c>
      <c r="F353" s="28" t="inlineStr">
        <is>
          <t>'Deletion request withdrawn' / 'Your account is active again'; card gone; Delete row back.</t>
        </is>
      </c>
      <c r="G353" s="29" t="inlineStr">
        <is>
          <t>P0</t>
        </is>
      </c>
      <c r="H353" s="29" t="inlineStr">
        <is>
          <t>State</t>
        </is>
      </c>
      <c r="I353" s="30" t="inlineStr">
        <is>
          <t>lib/features/profile/application/providers/account_deletion_provider.dart:66</t>
        </is>
      </c>
      <c r="J353" s="29" t="n"/>
      <c r="K353" s="31" t="inlineStr">
        <is>
          <t>Pass</t>
        </is>
      </c>
      <c r="L353" s="32" t="inlineStr">
        <is>
          <t>Claude (adb)</t>
        </is>
      </c>
      <c r="M353" s="33" t="n">
        <v>46299</v>
      </c>
      <c r="N353" s="32" t="inlineStr">
        <is>
          <t>1.0.0+1 debug</t>
        </is>
      </c>
      <c r="O353" s="32" t="inlineStr">
        <is>
          <t>emulator-5554 / Android 14</t>
        </is>
      </c>
      <c r="P353" s="32" t="n"/>
      <c r="Q353" s="32" t="inlineStr">
        <is>
          <t>Withdraw Request -&gt; 'Keep your account? Request DSR-2026-0007 will be withdrawn and nothing will be deleted.' -&gt; card gone, account active, request 'withdrawn' on the server. Separately, signing in from another client during cooling-off reactivated the account and withdrew DSR-2026-0006 automatically.</t>
        </is>
      </c>
    </row>
    <row r="354" ht="43" customHeight="1">
      <c r="A354" s="27" t="inlineStr">
        <is>
          <t>BL-PROF-037</t>
        </is>
      </c>
      <c r="B354" s="28" t="inlineStr">
        <is>
          <t>Profile &amp; account</t>
        </is>
      </c>
      <c r="C354" s="28" t="inlineStr">
        <is>
          <t>Deletion &amp; reactivation</t>
        </is>
      </c>
      <c r="D354" s="28" t="inlineStr">
        <is>
          <t>No duplicate requests</t>
        </is>
      </c>
      <c r="E354" s="28" t="inlineStr">
        <is>
          <t>1. Double-tap confirm
2. Fail offline and retry
3. Request from two devices</t>
        </is>
      </c>
      <c r="F354" s="28" t="inlineStr">
        <is>
          <t>One request; the second device gets a clear message.</t>
        </is>
      </c>
      <c r="G354" s="29" t="inlineStr">
        <is>
          <t>P1</t>
        </is>
      </c>
      <c r="H354" s="29" t="inlineStr">
        <is>
          <t>Rule</t>
        </is>
      </c>
      <c r="I354" s="30" t="inlineStr">
        <is>
          <t>lib/features/profile/application/providers/account_deletion_provider.dart:31</t>
        </is>
      </c>
      <c r="J354" s="29" t="n"/>
      <c r="K354" s="31" t="inlineStr">
        <is>
          <t>Pass</t>
        </is>
      </c>
      <c r="L354" s="32" t="inlineStr">
        <is>
          <t>Claude (adb)</t>
        </is>
      </c>
      <c r="M354" s="33" t="n">
        <v>46299</v>
      </c>
      <c r="N354" s="32" t="inlineStr">
        <is>
          <t>1.0.0+1 debug</t>
        </is>
      </c>
      <c r="O354" s="32" t="inlineStr">
        <is>
          <t>emulator-5554 / Android 14</t>
        </is>
      </c>
      <c r="P354" s="32" t="n"/>
      <c r="Q354" s="32" t="inlineStr">
        <is>
          <t>Two simultaneous taps on 'Request Deletion' produced one request (DSR-2026-0006). Offline retry and second-device cases not exercised.</t>
        </is>
      </c>
    </row>
    <row r="355" ht="43" customHeight="1">
      <c r="A355" s="27" t="inlineStr">
        <is>
          <t>BL-PROF-038</t>
        </is>
      </c>
      <c r="B355" s="28" t="inlineStr">
        <is>
          <t>Profile &amp; account</t>
        </is>
      </c>
      <c r="C355" s="28" t="inlineStr">
        <is>
          <t>Policy re-consent</t>
        </is>
      </c>
      <c r="D355" s="28" t="inlineStr">
        <is>
          <t>Prompt appears when a newer policy version is published</t>
        </is>
      </c>
      <c r="E355" s="28" t="inlineStr">
        <is>
          <t>1. Publish a newer Terms version
2. Refresh Profile</t>
        </is>
      </c>
      <c r="F355" s="28" t="inlineStr">
        <is>
          <t>Amber card: 'Our policies have changed' (or 'Please accept our policies' for a first acceptance) listing the documents.</t>
        </is>
      </c>
      <c r="G355" s="29" t="inlineStr">
        <is>
          <t>P1</t>
        </is>
      </c>
      <c r="H355" s="29" t="inlineStr">
        <is>
          <t>Rule</t>
        </is>
      </c>
      <c r="I355" s="30" t="inlineStr">
        <is>
          <t>lib/features/profile/application/providers/profile_provider.dart:206</t>
        </is>
      </c>
      <c r="J355" s="29" t="inlineStr">
        <is>
          <t>BB-20 (docs/BACKEND_BLOCKERS.md): new policy version</t>
        </is>
      </c>
      <c r="K355" s="31" t="inlineStr">
        <is>
          <t>Blocked</t>
        </is>
      </c>
      <c r="L355" s="32" t="inlineStr">
        <is>
          <t>Claude (adb)</t>
        </is>
      </c>
      <c r="M355" s="33" t="n">
        <v>46299</v>
      </c>
      <c r="N355" s="32" t="inlineStr">
        <is>
          <t>1.0.0+1 debug</t>
        </is>
      </c>
      <c r="O355" s="32" t="inlineStr">
        <is>
          <t>emulator-5554 / Android 14</t>
        </is>
      </c>
      <c r="P355" s="32" t="n"/>
      <c r="Q355" s="32" t="inlineStr">
        <is>
          <t>Needs a new policy version published on the backend (all three are at version 1 and accepted); cannot be changed from the client. No re-consent card is shown in the normal state.</t>
        </is>
      </c>
    </row>
    <row r="356" ht="43" customHeight="1">
      <c r="A356" s="27" t="inlineStr">
        <is>
          <t>BL-PROF-039</t>
        </is>
      </c>
      <c r="B356" s="28" t="inlineStr">
        <is>
          <t>Profile &amp; account</t>
        </is>
      </c>
      <c r="C356" s="28" t="inlineStr">
        <is>
          <t>Policy re-consent</t>
        </is>
      </c>
      <c r="D356" s="28" t="inlineStr">
        <is>
          <t>Accept records every pending document</t>
        </is>
      </c>
      <c r="E356" s="28" t="inlineStr">
        <is>
          <t>Tap Accept online and offline</t>
        </is>
      </c>
      <c r="F356" s="28" t="inlineStr">
        <is>
          <t>'Thanks — your acceptance is recorded' and the card disappears; offline shows the failure and keeps what is still pending.</t>
        </is>
      </c>
      <c r="G356" s="29" t="inlineStr">
        <is>
          <t>P1</t>
        </is>
      </c>
      <c r="H356" s="29" t="inlineStr">
        <is>
          <t>State</t>
        </is>
      </c>
      <c r="I356" s="30" t="inlineStr">
        <is>
          <t>lib/features/profile/application/providers/profile_mutations_provider.dart:428</t>
        </is>
      </c>
      <c r="J356" s="29" t="inlineStr">
        <is>
          <t>BB-20 (docs/BACKEND_BLOCKERS.md): new policy version</t>
        </is>
      </c>
      <c r="K356" s="31" t="inlineStr">
        <is>
          <t>Blocked</t>
        </is>
      </c>
      <c r="L356" s="32" t="inlineStr">
        <is>
          <t>Claude (adb)</t>
        </is>
      </c>
      <c r="M356" s="33" t="n">
        <v>46299</v>
      </c>
      <c r="N356" s="32" t="inlineStr">
        <is>
          <t>1.0.0+1 debug</t>
        </is>
      </c>
      <c r="O356" s="32" t="inlineStr">
        <is>
          <t>emulator-5554 / Android 14</t>
        </is>
      </c>
      <c r="P356" s="32" t="n"/>
      <c r="Q356" s="32" t="inlineStr">
        <is>
          <t>Needs a new policy version published on the backend (all three are at version 1 and accepted); cannot be changed from the client. No re-consent card is shown in the normal state.</t>
        </is>
      </c>
    </row>
    <row r="357" ht="30" customHeight="1">
      <c r="A357" s="27" t="inlineStr">
        <is>
          <t>BL-PROF-040</t>
        </is>
      </c>
      <c r="B357" s="28" t="inlineStr">
        <is>
          <t>Profile &amp; account</t>
        </is>
      </c>
      <c r="C357" s="28" t="inlineStr">
        <is>
          <t>Policy re-consent</t>
        </is>
      </c>
      <c r="D357" s="28" t="inlineStr">
        <is>
          <t>Re-consent is not enforced</t>
        </is>
      </c>
      <c r="E357" s="28" t="inlineStr">
        <is>
          <t>With a pending policy, use the rest of the app and book</t>
        </is>
      </c>
      <c r="F357" s="28" t="inlineStr">
        <is>
          <t>Confirm intended: the prompt lives only on the Profile tab and nothing is blocked.</t>
        </is>
      </c>
      <c r="G357" s="29" t="inlineStr">
        <is>
          <t>P1</t>
        </is>
      </c>
      <c r="H357" s="29" t="inlineStr">
        <is>
          <t>Verify gap</t>
        </is>
      </c>
      <c r="I357" s="30" t="inlineStr">
        <is>
          <t>lib/features/profile/presentation/screen/profile_screen.dart:130</t>
        </is>
      </c>
      <c r="J357" s="29" t="inlineStr">
        <is>
          <t>BB-20 (docs/BACKEND_BLOCKERS.md): new policy version</t>
        </is>
      </c>
      <c r="K357" s="31" t="inlineStr">
        <is>
          <t>Blocked</t>
        </is>
      </c>
      <c r="L357" s="32" t="inlineStr">
        <is>
          <t>Claude (adb)</t>
        </is>
      </c>
      <c r="M357" s="33" t="n">
        <v>46299</v>
      </c>
      <c r="N357" s="32" t="inlineStr">
        <is>
          <t>1.0.0+1 debug</t>
        </is>
      </c>
      <c r="O357" s="32" t="inlineStr">
        <is>
          <t>emulator-5554 / Android 14</t>
        </is>
      </c>
      <c r="P357" s="32" t="n"/>
      <c r="Q357" s="32" t="inlineStr">
        <is>
          <t>Needs a new policy version published on the backend (all three are at version 1 and accepted); cannot be changed from the client. No re-consent card is shown in the normal state.</t>
        </is>
      </c>
    </row>
    <row r="358" ht="43" customHeight="1">
      <c r="A358" s="27" t="inlineStr">
        <is>
          <t>BL-FAM-001</t>
        </is>
      </c>
      <c r="B358" s="28" t="inlineStr">
        <is>
          <t>Family members</t>
        </is>
      </c>
      <c r="C358" s="28" t="inlineStr">
        <is>
          <t>Form rules</t>
        </is>
      </c>
      <c r="D358" s="28" t="inlineStr">
        <is>
          <t>Name and relation are required; 'self' is never offered</t>
        </is>
      </c>
      <c r="E358" s="28" t="inlineStr">
        <is>
          <t>Add a member with an empty form</t>
        </is>
      </c>
      <c r="F358" s="28" t="inlineStr">
        <is>
          <t>'Enter a name', 'Choose how they are related to you'; relations: Spouse, Child, Parent, Sibling, Other.</t>
        </is>
      </c>
      <c r="G358" s="29" t="inlineStr">
        <is>
          <t>P1</t>
        </is>
      </c>
      <c r="H358" s="29" t="inlineStr">
        <is>
          <t>Boundary</t>
        </is>
      </c>
      <c r="I358" s="30" t="inlineStr">
        <is>
          <t>lib/features/profile/presentation/controllers/dependant_form_controller.dart:352</t>
        </is>
      </c>
      <c r="J358" s="29" t="n"/>
      <c r="K358" s="31" t="inlineStr">
        <is>
          <t>Pass</t>
        </is>
      </c>
      <c r="L358" s="32" t="inlineStr">
        <is>
          <t>Claude (adb)</t>
        </is>
      </c>
      <c r="M358" s="33" t="n">
        <v>46299</v>
      </c>
      <c r="N358" s="32" t="inlineStr">
        <is>
          <t>1.0.0+1 debug</t>
        </is>
      </c>
      <c r="O358" s="32" t="inlineStr">
        <is>
          <t>emulator-5554 / Android 14</t>
        </is>
      </c>
      <c r="P358" s="32" t="n"/>
      <c r="Q358" s="32" t="inlineStr">
        <is>
          <t>Empty form: 'Enter a name', 'Choose how they are related to you', toast 'Fix the highlighted fields first'. Relation options: Spouse, Child, Parent, Sibling, Other — no 'self'.</t>
        </is>
      </c>
    </row>
    <row r="359" ht="43" customHeight="1">
      <c r="A359" s="27" t="inlineStr">
        <is>
          <t>BL-FAM-002</t>
        </is>
      </c>
      <c r="B359" s="28" t="inlineStr">
        <is>
          <t>Family members</t>
        </is>
      </c>
      <c r="C359" s="28" t="inlineStr">
        <is>
          <t>Form rules</t>
        </is>
      </c>
      <c r="D359" s="28" t="inlineStr">
        <is>
          <t>Date of birth is required by the app</t>
        </is>
      </c>
      <c r="E359" s="28" t="inlineStr">
        <is>
          <t>1. Leave the date empty
2. Pick today</t>
        </is>
      </c>
      <c r="F359" s="28" t="inlineStr">
        <is>
          <t>'Select a date of birth'; today is accepted ('0 years old'). Confirm requiring it is intended — the API treats it as optional.</t>
        </is>
      </c>
      <c r="G359" s="29" t="inlineStr">
        <is>
          <t>P2</t>
        </is>
      </c>
      <c r="H359" s="29" t="inlineStr">
        <is>
          <t>Verify gap</t>
        </is>
      </c>
      <c r="I359" s="30" t="inlineStr">
        <is>
          <t>lib/features/profile/presentation/controllers/dependant_form_controller.dart:367</t>
        </is>
      </c>
      <c r="J359" s="29" t="inlineStr">
        <is>
          <t/>
        </is>
      </c>
      <c r="K359" s="31" t="inlineStr">
        <is>
          <t>Pass</t>
        </is>
      </c>
      <c r="L359" s="32" t="inlineStr">
        <is>
          <t>Claude (adb)</t>
        </is>
      </c>
      <c r="M359" s="33" t="n">
        <v>46300</v>
      </c>
      <c r="N359" s="32" t="inlineStr">
        <is>
          <t>1.0.0+1 debug</t>
        </is>
      </c>
      <c r="O359" s="32" t="inlineStr">
        <is>
          <t>emulator-5554 / Android 14</t>
        </is>
      </c>
      <c r="P359" s="32" t="n"/>
      <c r="Q359" s="32" t="inlineStr">
        <is>
          <t>OWNER DECISION (5 Oct 2026): intended - keep date of birth required for family members, although the API treats it as optional. No code change. Reason: the hospital needs age and date of birth to choose the right doctor and to identify the patient at the desk. First observed 4 Oct 2026: the form will not save without a date of birth ('Select a date of birth') although the API treats it as optional; today's date is accepted ('0 years old'), future dates are 'Out of range'.</t>
        </is>
      </c>
    </row>
    <row r="360" ht="43" customHeight="1">
      <c r="A360" s="27" t="inlineStr">
        <is>
          <t>BL-FAM-003</t>
        </is>
      </c>
      <c r="B360" s="28" t="inlineStr">
        <is>
          <t>Family members</t>
        </is>
      </c>
      <c r="C360" s="28" t="inlineStr">
        <is>
          <t>Form rules</t>
        </is>
      </c>
      <c r="D360" s="28" t="inlineStr">
        <is>
          <t>Optional mobile must be valid; blood group can be cleared</t>
        </is>
      </c>
      <c r="E360" s="28" t="inlineStr">
        <is>
          <t>1. Enter 3 digits as their mobile
2. Clear the blood group on an existing member</t>
        </is>
      </c>
      <c r="F360" s="28" t="inlineStr">
        <is>
          <t>'Enter a valid mobile number'; blood group shows 'Not recorded' after saving.</t>
        </is>
      </c>
      <c r="G360" s="29" t="inlineStr">
        <is>
          <t>P2</t>
        </is>
      </c>
      <c r="H360" s="29" t="inlineStr">
        <is>
          <t>Boundary</t>
        </is>
      </c>
      <c r="I360" s="30" t="inlineStr">
        <is>
          <t>lib/features/profile/presentation/controllers/dependant_form_controller.dart:377</t>
        </is>
      </c>
      <c r="J360" s="29" t="n"/>
      <c r="K360" s="31" t="inlineStr">
        <is>
          <t>Pass</t>
        </is>
      </c>
      <c r="L360" s="32" t="inlineStr">
        <is>
          <t>Claude (adb)</t>
        </is>
      </c>
      <c r="M360" s="33" t="n">
        <v>46299</v>
      </c>
      <c r="N360" s="32" t="inlineStr">
        <is>
          <t>1.0.0+1 debug</t>
        </is>
      </c>
      <c r="O360" s="32" t="inlineStr">
        <is>
          <t>emulator-5554 / Android 14</t>
        </is>
      </c>
      <c r="P360" s="32" t="n"/>
      <c r="Q360" s="32" t="inlineStr">
        <is>
          <t>Their mobile '123': 'Enter a valid mobile number' + 'Fix the highlighted fields first'. On an existing member with blood group B+, choosing 'Not known' and saving ('Testbaby updated') cleared it on the server.</t>
        </is>
      </c>
    </row>
    <row r="361" ht="43" customHeight="1">
      <c r="A361" s="27" t="inlineStr">
        <is>
          <t>BL-FAM-004</t>
        </is>
      </c>
      <c r="B361" s="28" t="inlineStr">
        <is>
          <t>Family members</t>
        </is>
      </c>
      <c r="C361" s="28" t="inlineStr">
        <is>
          <t>Form rules</t>
        </is>
      </c>
      <c r="D361" s="28" t="inlineStr">
        <is>
          <t>New member is usable everywhere at once</t>
        </is>
      </c>
      <c r="E361" s="28" t="inlineStr">
        <is>
          <t>1. Add a member
2. Open the booking patient picker and the record upload form</t>
        </is>
      </c>
      <c r="F361" s="28" t="inlineStr">
        <is>
          <t>'&lt;name&gt; added to your family'; selectable in both immediately.</t>
        </is>
      </c>
      <c r="G361" s="29" t="inlineStr">
        <is>
          <t>P0</t>
        </is>
      </c>
      <c r="H361" s="29" t="inlineStr">
        <is>
          <t>State</t>
        </is>
      </c>
      <c r="I361" s="30" t="inlineStr">
        <is>
          <t>lib/features/profile/application/providers/profile_mutations_provider.dart:208</t>
        </is>
      </c>
      <c r="J361" s="29" t="n"/>
      <c r="K361" s="31" t="inlineStr">
        <is>
          <t>Pass</t>
        </is>
      </c>
      <c r="L361" s="32" t="inlineStr">
        <is>
          <t>Claude (adb)</t>
        </is>
      </c>
      <c r="M361" s="33" t="n">
        <v>46299</v>
      </c>
      <c r="N361" s="32" t="inlineStr">
        <is>
          <t>1.0.0+1 debug</t>
        </is>
      </c>
      <c r="O361" s="32" t="inlineStr">
        <is>
          <t>emulator-5554 / Android 14</t>
        </is>
      </c>
      <c r="P361" s="32" t="n"/>
      <c r="Q361" s="32" t="inlineStr">
        <is>
          <t>'Testbaby added to your family'; the new member is immediately listed in the record-upload patient picker (Sanjay, Ishaan, Tara, Testbaby) and in the Family list ('3 dependants').</t>
        </is>
      </c>
    </row>
    <row r="362" ht="30" customHeight="1">
      <c r="A362" s="27" t="inlineStr">
        <is>
          <t>BL-FAM-005</t>
        </is>
      </c>
      <c r="B362" s="28" t="inlineStr">
        <is>
          <t>Family members</t>
        </is>
      </c>
      <c r="C362" s="28" t="inlineStr">
        <is>
          <t>Form rules</t>
        </is>
      </c>
      <c r="D362" s="28" t="inlineStr">
        <is>
          <t>Derived relation label, age and Minor badge</t>
        </is>
      </c>
      <c r="E362" s="28" t="inlineStr">
        <is>
          <t>Add a girl aged 10 as Child and a man as Parent</t>
        </is>
      </c>
      <c r="F362" s="28" t="inlineStr">
        <is>
          <t>'Daughter · 10 years · Female' with 'Minor'; 'Father · …' without.</t>
        </is>
      </c>
      <c r="G362" s="29" t="inlineStr">
        <is>
          <t>P2</t>
        </is>
      </c>
      <c r="H362" s="29" t="inlineStr">
        <is>
          <t>Calculation</t>
        </is>
      </c>
      <c r="I362" s="30" t="inlineStr">
        <is>
          <t>lib/features/profile/domain/entities/person.dart:166</t>
        </is>
      </c>
      <c r="J362" s="29" t="n"/>
      <c r="K362" s="31" t="inlineStr">
        <is>
          <t>Pass</t>
        </is>
      </c>
      <c r="L362" s="32" t="inlineStr">
        <is>
          <t>Claude (adb)</t>
        </is>
      </c>
      <c r="M362" s="33" t="n">
        <v>46299</v>
      </c>
      <c r="N362" s="32" t="inlineStr">
        <is>
          <t>1.0.0+1 debug</t>
        </is>
      </c>
      <c r="O362" s="32" t="inlineStr">
        <is>
          <t>emulator-5554 / Android 14</t>
        </is>
      </c>
      <c r="P362" s="32" t="n"/>
      <c r="Q362" s="32" t="inlineStr">
        <is>
          <t>Tara (spouse, female): 'Wife · 39 years · Female'; Ishaan (child, male, born 5 Dec 2019): 'Son · 6 years · Male' with 'Minor' badge.</t>
        </is>
      </c>
    </row>
    <row r="363" ht="30" customHeight="1">
      <c r="A363" s="27" t="inlineStr">
        <is>
          <t>BL-FAM-006</t>
        </is>
      </c>
      <c r="B363" s="28" t="inlineStr">
        <is>
          <t>Family members</t>
        </is>
      </c>
      <c r="C363" s="28" t="inlineStr">
        <is>
          <t>Form rules</t>
        </is>
      </c>
      <c r="D363" s="28" t="inlineStr">
        <is>
          <t>Your own record</t>
        </is>
      </c>
      <c r="E363" s="28" t="inlineStr">
        <is>
          <t>1. Open Family members
2. Tap your own card</t>
        </is>
      </c>
      <c r="F363" s="28" t="inlineStr">
        <is>
          <t>Listed first with 'You' and 'Edit in Profile'; relation cannot be changed.</t>
        </is>
      </c>
      <c r="G363" s="29" t="inlineStr">
        <is>
          <t>P2</t>
        </is>
      </c>
      <c r="H363" s="29" t="inlineStr">
        <is>
          <t>Rule</t>
        </is>
      </c>
      <c r="I363" s="30" t="inlineStr">
        <is>
          <t>lib/features/profile/presentation/screen/dependants_screen.dart:100</t>
        </is>
      </c>
      <c r="J363" s="29" t="n"/>
      <c r="K363" s="31" t="inlineStr">
        <is>
          <t>Pass</t>
        </is>
      </c>
      <c r="L363" s="32" t="inlineStr">
        <is>
          <t>Claude (adb)</t>
        </is>
      </c>
      <c r="M363" s="33" t="n">
        <v>46299</v>
      </c>
      <c r="N363" s="32" t="inlineStr">
        <is>
          <t>1.0.0+1 debug</t>
        </is>
      </c>
      <c r="O363" s="32" t="inlineStr">
        <is>
          <t>emulator-5554 / Android 14</t>
        </is>
      </c>
      <c r="P363" s="32" t="n"/>
      <c r="Q363" s="32" t="inlineStr">
        <is>
          <t>Own record is first with 'You' and 'Edit in Profile'; heading '2 dependants' for the others.</t>
        </is>
      </c>
    </row>
    <row r="364" ht="43" customHeight="1">
      <c r="A364" s="27" t="inlineStr">
        <is>
          <t>BL-FAM-007</t>
        </is>
      </c>
      <c r="B364" s="28" t="inlineStr">
        <is>
          <t>Family members</t>
        </is>
      </c>
      <c r="C364" s="28" t="inlineStr">
        <is>
          <t>Delete rules</t>
        </is>
      </c>
      <c r="D364" s="28" t="inlineStr">
        <is>
          <t>Remove a family member</t>
        </is>
      </c>
      <c r="E364" s="28" t="inlineStr">
        <is>
          <t>1. Open a member
2. Remove from Family
3. Confirm</t>
        </is>
      </c>
      <c r="F364" s="28" t="inlineStr">
        <is>
          <t>'Remove &lt;name&gt;? … Their past appointments stay in your history. This cannot be undone.'; '&lt;name&gt; removed'.</t>
        </is>
      </c>
      <c r="G364" s="29" t="inlineStr">
        <is>
          <t>P1</t>
        </is>
      </c>
      <c r="H364" s="29" t="inlineStr">
        <is>
          <t>State</t>
        </is>
      </c>
      <c r="I364" s="30" t="inlineStr">
        <is>
          <t>lib/features/profile/presentation/screen/dependant_edit_screen.dart:531</t>
        </is>
      </c>
      <c r="J364" s="29" t="n"/>
      <c r="K364" s="31" t="inlineStr">
        <is>
          <t>Pass</t>
        </is>
      </c>
      <c r="L364" s="32" t="inlineStr">
        <is>
          <t>Claude (adb)</t>
        </is>
      </c>
      <c r="M364" s="33" t="n">
        <v>46299</v>
      </c>
      <c r="N364" s="32" t="inlineStr">
        <is>
          <t>1.0.0+1 debug</t>
        </is>
      </c>
      <c r="O364" s="32" t="inlineStr">
        <is>
          <t>emulator-5554 / Android 14</t>
        </is>
      </c>
      <c r="P364" s="32" t="n"/>
      <c r="Q364" s="32" t="inlineStr">
        <is>
          <t>After its booking was cancelled: 'Remove Testbaby? Testbaby will no longer be selectable as the patient when you book. Their past appointments stay in your history. This cannot be undone.' -&gt; 'Testbaby removed', list back to '2 dependants', gone on the server.</t>
        </is>
      </c>
    </row>
    <row r="365" ht="43" customHeight="1">
      <c r="A365" s="27" t="inlineStr">
        <is>
          <t>BL-FAM-008</t>
        </is>
      </c>
      <c r="B365" s="28" t="inlineStr">
        <is>
          <t>Family members</t>
        </is>
      </c>
      <c r="C365" s="28" t="inlineStr">
        <is>
          <t>Delete rules</t>
        </is>
      </c>
      <c r="D365" s="28" t="inlineStr">
        <is>
          <t>Member with upcoming appointments cannot be removed</t>
        </is>
      </c>
      <c r="E365" s="28" t="inlineStr">
        <is>
          <t>Remove a member who has an upcoming booking</t>
        </is>
      </c>
      <c r="F365" s="28" t="inlineStr">
        <is>
          <t>'&lt;name&gt; has upcoming appointments. Cancel them before removing them from your family.'; member stays.</t>
        </is>
      </c>
      <c r="G365" s="29" t="inlineStr">
        <is>
          <t>P0</t>
        </is>
      </c>
      <c r="H365" s="29" t="inlineStr">
        <is>
          <t>Rule</t>
        </is>
      </c>
      <c r="I365" s="30" t="inlineStr">
        <is>
          <t>lib/features/profile/presentation/screen/dependant_edit_screen.dart:264</t>
        </is>
      </c>
      <c r="J365" s="29" t="n"/>
      <c r="K365" s="31" t="inlineStr">
        <is>
          <t>Pass</t>
        </is>
      </c>
      <c r="L365" s="32" t="inlineStr">
        <is>
          <t>Claude (adb)</t>
        </is>
      </c>
      <c r="M365" s="33" t="n">
        <v>46299</v>
      </c>
      <c r="N365" s="32" t="inlineStr">
        <is>
          <t>1.0.0+1 debug</t>
        </is>
      </c>
      <c r="O365" s="32" t="inlineStr">
        <is>
          <t>emulator-5554 / Android 14</t>
        </is>
      </c>
      <c r="P365" s="32" t="n"/>
      <c r="Q365" s="32" t="inlineStr">
        <is>
          <t>Testbaby had an upcoming (pending-payment) booking: Remove from Family -&gt; confirm -&gt; 'Testbaby has upcoming appointments. Cancel them before removing them from your family.'; the member stays.</t>
        </is>
      </c>
    </row>
    <row r="366" ht="43" customHeight="1">
      <c r="A366" s="27" t="inlineStr">
        <is>
          <t>BL-FAM-009</t>
        </is>
      </c>
      <c r="B366" s="28" t="inlineStr">
        <is>
          <t>Family members</t>
        </is>
      </c>
      <c r="C366" s="28" t="inlineStr">
        <is>
          <t>Delete rules</t>
        </is>
      </c>
      <c r="D366" s="28" t="inlineStr">
        <is>
          <t>You cannot remove yourself</t>
        </is>
      </c>
      <c r="E366" s="28" t="inlineStr">
        <is>
          <t>Look for Remove on your own record</t>
        </is>
      </c>
      <c r="F366" s="28" t="inlineStr">
        <is>
          <t>Not offered ('Your own record cannot be removed.' if forced).</t>
        </is>
      </c>
      <c r="G366" s="29" t="inlineStr">
        <is>
          <t>P1</t>
        </is>
      </c>
      <c r="H366" s="29" t="inlineStr">
        <is>
          <t>Rule</t>
        </is>
      </c>
      <c r="I366" s="30" t="inlineStr">
        <is>
          <t>lib/features/profile/presentation/screen/dependant_edit_screen.dart:268</t>
        </is>
      </c>
      <c r="J366" s="29" t="n"/>
      <c r="K366" s="31" t="inlineStr">
        <is>
          <t>Pass</t>
        </is>
      </c>
      <c r="L366" s="32" t="inlineStr">
        <is>
          <t>Claude (adb)</t>
        </is>
      </c>
      <c r="M366" s="33" t="n">
        <v>46299</v>
      </c>
      <c r="N366" s="32" t="inlineStr">
        <is>
          <t>1.0.0+1 debug</t>
        </is>
      </c>
      <c r="O366" s="32" t="inlineStr">
        <is>
          <t>emulator-5554 / Android 14</t>
        </is>
      </c>
      <c r="P366" s="32" t="n"/>
      <c r="Q366" s="32" t="inlineStr">
        <is>
          <t>The account holder's own card offers only 'Edit in Profile' (opens Edit Profile, which has no remove action).</t>
        </is>
      </c>
    </row>
    <row r="367" ht="30" customHeight="1">
      <c r="A367" s="27" t="inlineStr">
        <is>
          <t>BL-FAM-010</t>
        </is>
      </c>
      <c r="B367" s="28" t="inlineStr">
        <is>
          <t>Family members</t>
        </is>
      </c>
      <c r="C367" s="28" t="inlineStr">
        <is>
          <t>Release to own account</t>
        </is>
      </c>
      <c r="D367" s="28" t="inlineStr">
        <is>
          <t>Offered only for adults</t>
        </is>
      </c>
      <c r="E367" s="28" t="inlineStr">
        <is>
          <t>Open a member aged 17 years 11 months and one aged 18</t>
        </is>
      </c>
      <c r="F367" s="28" t="inlineStr">
        <is>
          <t>No card for 17; for 18: '&lt;name&gt; is 18 — they can have their own account'.</t>
        </is>
      </c>
      <c r="G367" s="29" t="inlineStr">
        <is>
          <t>P1</t>
        </is>
      </c>
      <c r="H367" s="29" t="inlineStr">
        <is>
          <t>Boundary</t>
        </is>
      </c>
      <c r="I367" s="30" t="inlineStr">
        <is>
          <t>lib/features/profile/domain/entities/person.dart:69</t>
        </is>
      </c>
      <c r="J367" s="29" t="n"/>
      <c r="K367" s="31" t="inlineStr">
        <is>
          <t>Pass</t>
        </is>
      </c>
      <c r="L367" s="32" t="inlineStr">
        <is>
          <t>Claude (adb)</t>
        </is>
      </c>
      <c r="M367" s="33" t="n">
        <v>46299</v>
      </c>
      <c r="N367" s="32" t="inlineStr">
        <is>
          <t>1.0.0+1 debug</t>
        </is>
      </c>
      <c r="O367" s="32" t="inlineStr">
        <is>
          <t>emulator-5554 / Android 14</t>
        </is>
      </c>
      <c r="P367" s="32" t="n"/>
      <c r="Q367" s="32" t="inlineStr">
        <is>
          <t>Tara (39): 'Tara is 39 — they can have their own account' with 'Move to Their Own Account'. Minors (Ishaan 6) have no such card. Exact 18th-birthday boundary not set up.</t>
        </is>
      </c>
    </row>
    <row r="368" ht="30" customHeight="1">
      <c r="A368" s="27" t="inlineStr">
        <is>
          <t>BL-FAM-011</t>
        </is>
      </c>
      <c r="B368" s="28" t="inlineStr">
        <is>
          <t>Family members</t>
        </is>
      </c>
      <c r="C368" s="28" t="inlineStr">
        <is>
          <t>Release to own account</t>
        </is>
      </c>
      <c r="D368" s="28" t="inlineStr">
        <is>
          <t>Release moves the person and their history</t>
        </is>
      </c>
      <c r="E368" s="28" t="inlineStr">
        <is>
          <t>1. Enter their mobile
2. Enter the code</t>
        </is>
      </c>
      <c r="F368" s="28" t="inlineStr">
        <is>
          <t>'&lt;name&gt; now has their own Medibook account'; gone from Family members and the booking picker.</t>
        </is>
      </c>
      <c r="G368" s="29" t="inlineStr">
        <is>
          <t>P1</t>
        </is>
      </c>
      <c r="H368" s="29" t="inlineStr">
        <is>
          <t>State</t>
        </is>
      </c>
      <c r="I368" s="30" t="inlineStr">
        <is>
          <t>lib/features/profile/application/providers/release_provider.dart:54</t>
        </is>
      </c>
      <c r="J368" s="29" t="inlineStr">
        <is>
          <t>KB-05</t>
        </is>
      </c>
      <c r="K368" s="31" t="inlineStr">
        <is>
          <t>Blocked</t>
        </is>
      </c>
      <c r="L368" s="32" t="inlineStr">
        <is>
          <t>Claude (adb)</t>
        </is>
      </c>
      <c r="M368" s="33" t="n">
        <v>46299</v>
      </c>
      <c r="N368" s="32" t="inlineStr">
        <is>
          <t>1.0.0+1 debug</t>
        </is>
      </c>
      <c r="O368" s="32" t="inlineStr">
        <is>
          <t>emulator-5554 / Android 14</t>
        </is>
      </c>
      <c r="P368" s="32" t="n"/>
      <c r="Q368" s="32" t="inlineStr">
        <is>
          <t>KB-05: the release code is never delivered.</t>
        </is>
      </c>
    </row>
    <row r="369" ht="43" customHeight="1">
      <c r="A369" s="27" t="inlineStr">
        <is>
          <t>BL-FAM-012</t>
        </is>
      </c>
      <c r="B369" s="28" t="inlineStr">
        <is>
          <t>Family members</t>
        </is>
      </c>
      <c r="C369" s="28" t="inlineStr">
        <is>
          <t>Release to own account</t>
        </is>
      </c>
      <c r="D369" s="28" t="inlineStr">
        <is>
          <t>Refusals are explained</t>
        </is>
      </c>
      <c r="E369" s="28" t="inlineStr">
        <is>
          <t>Try with an under-age member (server side) and a member that cannot be moved</t>
        </is>
      </c>
      <c r="F369" s="28" t="inlineStr">
        <is>
          <t>'They must be 18 or older to have their own account.' / 'This record cannot be moved right now. Try again later.'</t>
        </is>
      </c>
      <c r="G369" s="29" t="inlineStr">
        <is>
          <t>P2</t>
        </is>
      </c>
      <c r="H369" s="29" t="inlineStr">
        <is>
          <t>Error handling</t>
        </is>
      </c>
      <c r="I369" s="30" t="inlineStr">
        <is>
          <t>lib/features/profile/presentation/screen/dependant_edit_screen.dart:745</t>
        </is>
      </c>
      <c r="J369" s="29" t="inlineStr">
        <is>
          <t>KB-05</t>
        </is>
      </c>
      <c r="K369" s="31" t="inlineStr">
        <is>
          <t>Blocked</t>
        </is>
      </c>
      <c r="L369" s="32" t="inlineStr">
        <is>
          <t>Claude (adb)</t>
        </is>
      </c>
      <c r="M369" s="33" t="n">
        <v>46299</v>
      </c>
      <c r="N369" s="32" t="inlineStr">
        <is>
          <t>1.0.0+1 debug</t>
        </is>
      </c>
      <c r="O369" s="32" t="inlineStr">
        <is>
          <t>emulator-5554 / Android 14</t>
        </is>
      </c>
      <c r="P369" s="32" t="n"/>
      <c r="Q369" s="32" t="inlineStr">
        <is>
          <t>KB-05 / seed data: server-side refusals for release could not be triggered.</t>
        </is>
      </c>
    </row>
    <row r="370" ht="43" customHeight="1">
      <c r="A370" s="27" t="inlineStr">
        <is>
          <t>BL-FAM-013</t>
        </is>
      </c>
      <c r="B370" s="28" t="inlineStr">
        <is>
          <t>Family members</t>
        </is>
      </c>
      <c r="C370" s="28" t="inlineStr">
        <is>
          <t>Release to own account</t>
        </is>
      </c>
      <c r="D370" s="28" t="inlineStr">
        <is>
          <t>Changing the number after sending a code</t>
        </is>
      </c>
      <c r="E370" s="28" t="inlineStr">
        <is>
          <t>1. Send a code to number A
2. Tap 'Change number'
3. Send to number B</t>
        </is>
      </c>
      <c r="F370" s="28" t="inlineStr">
        <is>
          <t>A code should go to B. The code reuses the same request key, so the second send may be refused ('already being processed').</t>
        </is>
      </c>
      <c r="G370" s="29" t="inlineStr">
        <is>
          <t>P2</t>
        </is>
      </c>
      <c r="H370" s="29" t="inlineStr">
        <is>
          <t>Verify gap</t>
        </is>
      </c>
      <c r="I370" s="30" t="inlineStr">
        <is>
          <t>lib/features/profile/application/providers/release_provider.dart:40</t>
        </is>
      </c>
      <c r="J370" s="29" t="inlineStr">
        <is>
          <t>KB-05</t>
        </is>
      </c>
      <c r="K370" s="31" t="inlineStr">
        <is>
          <t>Pass</t>
        </is>
      </c>
      <c r="L370" s="32" t="inlineStr">
        <is>
          <t>Claude (adb)</t>
        </is>
      </c>
      <c r="M370" s="33" t="n">
        <v>46300</v>
      </c>
      <c r="N370" s="32" t="inlineStr">
        <is>
          <t>1.0.0+1 debug</t>
        </is>
      </c>
      <c r="O370" s="32" t="inlineStr">
        <is>
          <t>emulator-5554 / Android 14</t>
        </is>
      </c>
      <c r="P370" s="32" t="inlineStr">
        <is>
          <t>DEF-037</t>
        </is>
      </c>
      <c r="Q370" s="32" t="inlineStr">
        <is>
          <t>PASS (5 Oct 2026 retest, debug build). FIXED: a new number gets a new request instead of reusing the old one. Retest: Tara's hand-over code sent to +91******95, Change number to 9123456796, Send Code -&gt; 'We sent a 4-digit code to +91******96.' No error. Sheet closed; the unused code expires on its own. First observed: Release sheet for Tara: code sent to 9123456795 ('We sent a 4-digit code to +91******95'), tapped 'Change number', entered 9123456796 and tapped Send Code: 'That request is already being processed. Please wait a moment.' — a code cannot be sent to a corrected number.</t>
        </is>
      </c>
    </row>
    <row r="371" ht="43" customHeight="1">
      <c r="A371" s="27" t="inlineStr">
        <is>
          <t>BL-INS-001</t>
        </is>
      </c>
      <c r="B371" s="28" t="inlineStr">
        <is>
          <t>Insurance</t>
        </is>
      </c>
      <c r="C371" s="28" t="inlineStr">
        <is>
          <t>Form rules</t>
        </is>
      </c>
      <c r="D371" s="28" t="inlineStr">
        <is>
          <t>Insurer, policy number and holder</t>
        </is>
      </c>
      <c r="E371" s="28" t="inlineStr">
        <is>
          <t>1. Save with insurer empty
2. Policy number 'AB12'
3. Holder 'Anita 2'</t>
        </is>
      </c>
      <c r="F371" s="28" t="inlineStr">
        <is>
          <t>'Enter the insurer' / 'That looks too short for a policy number' / 'Use letters only'. Holder is prefilled with your name.</t>
        </is>
      </c>
      <c r="G371" s="29" t="inlineStr">
        <is>
          <t>P1</t>
        </is>
      </c>
      <c r="H371" s="29" t="inlineStr">
        <is>
          <t>Boundary</t>
        </is>
      </c>
      <c r="I371" s="30" t="inlineStr">
        <is>
          <t>lib/features/insurance/application/providers/insurance_provider.dart:492</t>
        </is>
      </c>
      <c r="J371" s="29" t="n"/>
      <c r="K371" s="31" t="inlineStr">
        <is>
          <t>Pass</t>
        </is>
      </c>
      <c r="L371" s="32" t="inlineStr">
        <is>
          <t>Claude (adb)</t>
        </is>
      </c>
      <c r="M371" s="33" t="n">
        <v>46299</v>
      </c>
      <c r="N371" s="32" t="inlineStr">
        <is>
          <t>1.0.0+1 debug</t>
        </is>
      </c>
      <c r="O371" s="32" t="inlineStr">
        <is>
          <t>emulator-5554 / Android 14</t>
        </is>
      </c>
      <c r="P371" s="32" t="n"/>
      <c r="Q371" s="32" t="inlineStr">
        <is>
          <t>Empty: 'Enter the insurer', 'Enter the policy number'; 'AB12': 'That looks too short for a policy number'; holder 'Anita 2': 'Use letters only'; holder prefilled with 'Sanjay Varma'.</t>
        </is>
      </c>
    </row>
    <row r="372" ht="43" customHeight="1">
      <c r="A372" s="27" t="inlineStr">
        <is>
          <t>BL-INS-002</t>
        </is>
      </c>
      <c r="B372" s="28" t="inlineStr">
        <is>
          <t>Insurance</t>
        </is>
      </c>
      <c r="C372" s="28" t="inlineStr">
        <is>
          <t>Form rules</t>
        </is>
      </c>
      <c r="D372" s="28" t="inlineStr">
        <is>
          <t>Sum insured between ₹1,000 and ₹10,00,00,000 (optional)</t>
        </is>
      </c>
      <c r="E372" s="28" t="inlineStr">
        <is>
          <t>1. Enter 999
2. Enter 100000001
3. Enter 500000</t>
        </is>
      </c>
      <c r="F372" s="28" t="inlineStr">
        <is>
          <t>'Sum insured looks too low…' / 'That is higher than any retail policy. Check for an extra zero.' / helper 'Cover: ₹5,00,000'.</t>
        </is>
      </c>
      <c r="G372" s="29" t="inlineStr">
        <is>
          <t>P2</t>
        </is>
      </c>
      <c r="H372" s="29" t="inlineStr">
        <is>
          <t>Boundary</t>
        </is>
      </c>
      <c r="I372" s="30" t="inlineStr">
        <is>
          <t>lib/features/insurance/application/providers/insurance_provider.dart:500</t>
        </is>
      </c>
      <c r="J372" s="29" t="n"/>
      <c r="K372" s="31" t="inlineStr">
        <is>
          <t>Pass</t>
        </is>
      </c>
      <c r="L372" s="32" t="inlineStr">
        <is>
          <t>Claude (adb)</t>
        </is>
      </c>
      <c r="M372" s="33" t="n">
        <v>46299</v>
      </c>
      <c r="N372" s="32" t="inlineStr">
        <is>
          <t>1.0.0+1 debug</t>
        </is>
      </c>
      <c r="O372" s="32" t="inlineStr">
        <is>
          <t>emulator-5554 / Android 14</t>
        </is>
      </c>
      <c r="P372" s="32" t="n"/>
      <c r="Q372" s="32" t="inlineStr">
        <is>
          <t>999: 'Sum insured looks too low. Enter the amount in rupees.'; 100000001: 'That is higher than any retail policy. Check for an extra zero.'; 500000: helper 'Cover: ₹5,00,000'.</t>
        </is>
      </c>
    </row>
    <row r="373" ht="43" customHeight="1">
      <c r="A373" s="27" t="inlineStr">
        <is>
          <t>BL-INS-003</t>
        </is>
      </c>
      <c r="B373" s="28" t="inlineStr">
        <is>
          <t>Insurance</t>
        </is>
      </c>
      <c r="C373" s="28" t="inlineStr">
        <is>
          <t>Form rules</t>
        </is>
      </c>
      <c r="D373" s="28" t="inlineStr">
        <is>
          <t>Cover dates</t>
        </is>
      </c>
      <c r="E373" s="28" t="inlineStr">
        <is>
          <t>1. Leave dates empty
2. Set the end before the start
3. Same day for both</t>
        </is>
      </c>
      <c r="F373" s="28" t="inlineStr">
        <is>
          <t>'Select the date cover started' / 'Select the date cover ends' / 'Cover cannot end before it starts'; same day is allowed.</t>
        </is>
      </c>
      <c r="G373" s="29" t="inlineStr">
        <is>
          <t>P1</t>
        </is>
      </c>
      <c r="H373" s="29" t="inlineStr">
        <is>
          <t>Boundary</t>
        </is>
      </c>
      <c r="I373" s="30" t="inlineStr">
        <is>
          <t>lib/features/insurance/application/providers/insurance_provider.dart:473</t>
        </is>
      </c>
      <c r="J373" s="29" t="n"/>
      <c r="K373" s="31" t="inlineStr">
        <is>
          <t>Pass</t>
        </is>
      </c>
      <c r="L373" s="32" t="inlineStr">
        <is>
          <t>Claude (adb)</t>
        </is>
      </c>
      <c r="M373" s="33" t="n">
        <v>46299</v>
      </c>
      <c r="N373" s="32" t="inlineStr">
        <is>
          <t>1.0.0+1 debug</t>
        </is>
      </c>
      <c r="O373" s="32" t="inlineStr">
        <is>
          <t>emulator-5554 / Android 14</t>
        </is>
      </c>
      <c r="P373" s="32" t="n"/>
      <c r="Q373" s="32" t="inlineStr">
        <is>
          <t>Empty dates: 'Select the date cover started' / 'Select the date cover ends'. The end-date calendar starts at the chosen start date (earlier days and months disabled), so an end before the start cannot be picked; same day is selectable.</t>
        </is>
      </c>
    </row>
    <row r="374" ht="43" customHeight="1">
      <c r="A374" s="27" t="inlineStr">
        <is>
          <t>BL-INS-004</t>
        </is>
      </c>
      <c r="B374" s="28" t="inlineStr">
        <is>
          <t>Insurance</t>
        </is>
      </c>
      <c r="C374" s="28" t="inlineStr">
        <is>
          <t>Form rules</t>
        </is>
      </c>
      <c r="D374" s="28" t="inlineStr">
        <is>
          <t>Save waits for the file</t>
        </is>
      </c>
      <c r="E374" s="28" t="inlineStr">
        <is>
          <t>Pick a file and tap Save immediately</t>
        </is>
      </c>
      <c r="F374" s="28" t="inlineStr">
        <is>
          <t>'Waiting for the file…' (disabled).</t>
        </is>
      </c>
      <c r="G374" s="29" t="inlineStr">
        <is>
          <t>P2</t>
        </is>
      </c>
      <c r="H374" s="29" t="inlineStr">
        <is>
          <t>Rule</t>
        </is>
      </c>
      <c r="I374" s="30" t="inlineStr">
        <is>
          <t>lib/features/insurance/presentation/screen/insurance_add_screen.dart:134</t>
        </is>
      </c>
      <c r="J374" s="29" t="inlineStr">
        <is>
          <t>KB-01</t>
        </is>
      </c>
      <c r="K374" s="31" t="inlineStr">
        <is>
          <t>Blocked</t>
        </is>
      </c>
      <c r="L374" s="32" t="inlineStr">
        <is>
          <t>Claude (adb)</t>
        </is>
      </c>
      <c r="M374" s="33" t="n">
        <v>46299</v>
      </c>
      <c r="N374" s="32" t="inlineStr">
        <is>
          <t>1.0.0+1 debug</t>
        </is>
      </c>
      <c r="O374" s="32" t="inlineStr">
        <is>
          <t>emulator-5554 / Android 14</t>
        </is>
      </c>
      <c r="P374" s="32" t="n"/>
      <c r="Q374" s="32" t="inlineStr">
        <is>
          <t>KB-01: files cannot be uploaded (storage host missing), so attaching a policy document cannot be exercised. The Add Policy form shows 'Policy PDF or e-card (optional) — attached once the policy is saved'.</t>
        </is>
      </c>
    </row>
    <row r="375" ht="43" customHeight="1">
      <c r="A375" s="27" t="inlineStr">
        <is>
          <t>BL-INS-005</t>
        </is>
      </c>
      <c r="B375" s="28" t="inlineStr">
        <is>
          <t>Insurance</t>
        </is>
      </c>
      <c r="C375" s="28" t="inlineStr">
        <is>
          <t>Form rules</t>
        </is>
      </c>
      <c r="D375" s="28" t="inlineStr">
        <is>
          <t>Policy saved even if the file cannot be attached</t>
        </is>
      </c>
      <c r="E375" s="28" t="inlineStr">
        <is>
          <t>1. Save with a file while forcing the attach to fail
2. Save a policy whose end date is in the past</t>
        </is>
      </c>
      <c r="F375" s="28" t="inlineStr">
        <is>
          <t>'&lt;insurer&gt; policy saved, but the file could not be attached. Try again from the policy.' / '&lt;insurer&gt; saved. Note it expired &lt;date&gt;.'</t>
        </is>
      </c>
      <c r="G375" s="29" t="inlineStr">
        <is>
          <t>P2</t>
        </is>
      </c>
      <c r="H375" s="29" t="inlineStr">
        <is>
          <t>Error handling</t>
        </is>
      </c>
      <c r="I375" s="30" t="inlineStr">
        <is>
          <t>lib/features/insurance/presentation/screen/insurance_add_screen.dart:171</t>
        </is>
      </c>
      <c r="J375" s="29" t="inlineStr">
        <is>
          <t>KB-01</t>
        </is>
      </c>
      <c r="K375" s="31" t="inlineStr">
        <is>
          <t>Blocked</t>
        </is>
      </c>
      <c r="L375" s="32" t="inlineStr">
        <is>
          <t>Claude (adb)</t>
        </is>
      </c>
      <c r="M375" s="33" t="n">
        <v>46299</v>
      </c>
      <c r="N375" s="32" t="inlineStr">
        <is>
          <t>1.0.0+1 debug</t>
        </is>
      </c>
      <c r="O375" s="32" t="inlineStr">
        <is>
          <t>emulator-5554 / Android 14</t>
        </is>
      </c>
      <c r="P375" s="32" t="n"/>
      <c r="Q375" s="32" t="inlineStr">
        <is>
          <t>KB-01: files cannot be uploaded (storage host missing), so attaching a policy document cannot be exercised. The Add Policy form shows 'Policy PDF or e-card (optional) — attached once the policy is saved'.</t>
        </is>
      </c>
    </row>
    <row r="376" ht="30" customHeight="1">
      <c r="A376" s="27" t="inlineStr">
        <is>
          <t>BL-INS-006</t>
        </is>
      </c>
      <c r="B376" s="28" t="inlineStr">
        <is>
          <t>Insurance</t>
        </is>
      </c>
      <c r="C376" s="28" t="inlineStr">
        <is>
          <t>Form rules</t>
        </is>
      </c>
      <c r="D376" s="28" t="inlineStr">
        <is>
          <t>Editing a policy</t>
        </is>
      </c>
      <c r="E376" s="28" t="inlineStr">
        <is>
          <t>Look for an edit action on a saved policy</t>
        </is>
      </c>
      <c r="F376" s="28" t="inlineStr">
        <is>
          <t>Confirm with the owner: there is no edit screen, yet the renewal prompt says 'then update the dates here'.</t>
        </is>
      </c>
      <c r="G376" s="29" t="inlineStr">
        <is>
          <t>P2</t>
        </is>
      </c>
      <c r="H376" s="29" t="inlineStr">
        <is>
          <t>Verify gap</t>
        </is>
      </c>
      <c r="I376" s="30" t="inlineStr">
        <is>
          <t>lib/features/insurance/presentation/screen/insurance_screen.dart:354</t>
        </is>
      </c>
      <c r="J376" s="29" t="n"/>
      <c r="K376" s="31" t="inlineStr">
        <is>
          <t>Pass</t>
        </is>
      </c>
      <c r="L376" s="32" t="inlineStr">
        <is>
          <t>Claude (adb)</t>
        </is>
      </c>
      <c r="M376" s="33" t="n">
        <v>46300</v>
      </c>
      <c r="N376" s="32" t="inlineStr">
        <is>
          <t>1.0.0+1 debug</t>
        </is>
      </c>
      <c r="O376" s="32" t="inlineStr">
        <is>
          <t>emulator-5554 / Android 14</t>
        </is>
      </c>
      <c r="P376" s="32" t="inlineStr">
        <is>
          <t>DEF-038</t>
        </is>
      </c>
      <c r="Q376" s="32" t="inlineStr">
        <is>
          <t>PASS (5 Oct 2026 retest, debug build). FIXED: an 'Edit Policy' button on the policy screen opens the form filled in; only changed fields are sent with the policy version. Retest: test policy (cover ended 30 Sep 2026) made via the API; Edit Policy -&gt; Cover ends 30 Sep 2027 -&gt; Save Changes; server shows valid_to 2027-09-30 (v2). Test policy deleted. First observed: The renewal banner says 'Renew with your insurer directly, then update the dates here.', but a saved policy has no edit action — the detail screen offers only document attach and 'Remove Policy'. Dates can only be 'updated' by deleting and re-adding the policy.</t>
        </is>
      </c>
    </row>
    <row r="377" ht="30" customHeight="1">
      <c r="A377" s="27" t="inlineStr">
        <is>
          <t>BL-INS-007</t>
        </is>
      </c>
      <c r="B377" s="28" t="inlineStr">
        <is>
          <t>Insurance</t>
        </is>
      </c>
      <c r="C377" s="28" t="inlineStr">
        <is>
          <t>Status &amp; documents</t>
        </is>
      </c>
      <c r="D377" s="28" t="inlineStr">
        <is>
          <t>Status is derived from the dates</t>
        </is>
      </c>
      <c r="E377" s="28" t="inlineStr">
        <is>
          <t>Create policies ending yesterday, today, in 30 days, in 31 days, and starting next month</t>
        </is>
      </c>
      <c r="F377" s="28" t="inlineStr">
        <is>
          <t>'Expired' / 'Expires in 0 days' / 'Expires in 30 days' / 'Active' / 'Starts &lt;date&gt;'.</t>
        </is>
      </c>
      <c r="G377" s="29" t="inlineStr">
        <is>
          <t>P1</t>
        </is>
      </c>
      <c r="H377" s="29" t="inlineStr">
        <is>
          <t>Boundary</t>
        </is>
      </c>
      <c r="I377" s="30" t="inlineStr">
        <is>
          <t>lib/features/insurance/domain/entities/insurance_policy.dart:77</t>
        </is>
      </c>
      <c r="J377" s="29" t="n"/>
      <c r="K377" s="31" t="inlineStr">
        <is>
          <t>Pass</t>
        </is>
      </c>
      <c r="L377" s="32" t="inlineStr">
        <is>
          <t>Claude (adb)</t>
        </is>
      </c>
      <c r="M377" s="33" t="n">
        <v>46299</v>
      </c>
      <c r="N377" s="32" t="inlineStr">
        <is>
          <t>1.0.0+1 debug</t>
        </is>
      </c>
      <c r="O377" s="32" t="inlineStr">
        <is>
          <t>emulator-5554 / Android 14</t>
        </is>
      </c>
      <c r="P377" s="32" t="n"/>
      <c r="Q377" s="32" t="inlineStr">
        <is>
          <t>Policies created with ends yesterday / today / +30 days / +31 days / starts 10 Nov show 'Expired' / 'Expires in 0 days' / 'Expires in 30 days' / 'Active' / 'Starts 10 Nov 2026'.</t>
        </is>
      </c>
    </row>
    <row r="378" ht="43" customHeight="1">
      <c r="A378" s="27" t="inlineStr">
        <is>
          <t>BL-INS-008</t>
        </is>
      </c>
      <c r="B378" s="28" t="inlineStr">
        <is>
          <t>Insurance</t>
        </is>
      </c>
      <c r="C378" s="28" t="inlineStr">
        <is>
          <t>Status &amp; documents</t>
        </is>
      </c>
      <c r="D378" s="28" t="inlineStr">
        <is>
          <t>Tabs, counts and order</t>
        </is>
      </c>
      <c r="E378" s="28" t="inlineStr">
        <is>
          <t>Have 2 active and 1 expired policy</t>
        </is>
      </c>
      <c r="F378" s="28" t="inlineStr">
        <is>
          <t>'All 3', 'Active 2', 'Expired 1'; soonest-expiring first, expired last.</t>
        </is>
      </c>
      <c r="G378" s="29" t="inlineStr">
        <is>
          <t>P2</t>
        </is>
      </c>
      <c r="H378" s="29" t="inlineStr">
        <is>
          <t>Calculation</t>
        </is>
      </c>
      <c r="I378" s="30" t="inlineStr">
        <is>
          <t>lib/features/insurance/application/providers/insurance_provider.dart:157</t>
        </is>
      </c>
      <c r="J378" s="29" t="n"/>
      <c r="K378" s="31" t="inlineStr">
        <is>
          <t>Pass</t>
        </is>
      </c>
      <c r="L378" s="32" t="inlineStr">
        <is>
          <t>Claude (adb)</t>
        </is>
      </c>
      <c r="M378" s="33" t="n">
        <v>46299</v>
      </c>
      <c r="N378" s="32" t="inlineStr">
        <is>
          <t>1.0.0+1 debug</t>
        </is>
      </c>
      <c r="O378" s="32" t="inlineStr">
        <is>
          <t>emulator-5554 / Android 14</t>
        </is>
      </c>
      <c r="P378" s="32" t="n"/>
      <c r="Q378" s="32" t="inlineStr">
        <is>
          <t>Tabs read 'All 6', 'Active 5', 'Expired 1'; order is soonest-expiring first (ends today, 16 days, 30 days, 31 days, not started) with the expired policy last.</t>
        </is>
      </c>
    </row>
    <row r="379" ht="43" customHeight="1">
      <c r="A379" s="27" t="inlineStr">
        <is>
          <t>BL-INS-009</t>
        </is>
      </c>
      <c r="B379" s="28" t="inlineStr">
        <is>
          <t>Insurance</t>
        </is>
      </c>
      <c r="C379" s="28" t="inlineStr">
        <is>
          <t>Status &amp; documents</t>
        </is>
      </c>
      <c r="D379" s="28" t="inlineStr">
        <is>
          <t>Renewal prompt</t>
        </is>
      </c>
      <c r="E379" s="28" t="inlineStr">
        <is>
          <t>Have a policy within 30 days of expiry</t>
        </is>
      </c>
      <c r="F379" s="28" t="inlineStr">
        <is>
          <t>'A policy is about to expire' on the list; detail: 'Cover ends on &lt;date&gt;. Renew with &lt;insurer&gt; before then to stay covered.'</t>
        </is>
      </c>
      <c r="G379" s="29" t="inlineStr">
        <is>
          <t>P2</t>
        </is>
      </c>
      <c r="H379" s="29" t="inlineStr">
        <is>
          <t>Rule</t>
        </is>
      </c>
      <c r="I379" s="30" t="inlineStr">
        <is>
          <t>lib/features/insurance/presentation/screen/insurance_screen.dart:228</t>
        </is>
      </c>
      <c r="J379" s="29" t="n"/>
      <c r="K379" s="31" t="inlineStr">
        <is>
          <t>Pass</t>
        </is>
      </c>
      <c r="L379" s="32" t="inlineStr">
        <is>
          <t>Claude (adb)</t>
        </is>
      </c>
      <c r="M379" s="33" t="n">
        <v>46299</v>
      </c>
      <c r="N379" s="32" t="inlineStr">
        <is>
          <t>1.0.0+1 debug</t>
        </is>
      </c>
      <c r="O379" s="32" t="inlineStr">
        <is>
          <t>emulator-5554 / Android 14</t>
        </is>
      </c>
      <c r="P379" s="32" t="n"/>
      <c r="Q379" s="32" t="inlineStr">
        <is>
          <t>List banner: '3 policies are about to expire' naming each with its days left; detail banner: 'Cover ends on 20 Oct 2026. Renew with Star Health before then to stay covered.'</t>
        </is>
      </c>
    </row>
    <row r="380" ht="43" customHeight="1">
      <c r="A380" s="27" t="inlineStr">
        <is>
          <t>BL-INS-010</t>
        </is>
      </c>
      <c r="B380" s="28" t="inlineStr">
        <is>
          <t>Insurance</t>
        </is>
      </c>
      <c r="C380" s="28" t="inlineStr">
        <is>
          <t>Status &amp; documents</t>
        </is>
      </c>
      <c r="D380" s="28" t="inlineStr">
        <is>
          <t>Insurance can be switched off remotely</t>
        </is>
      </c>
      <c r="E380" s="28" t="inlineStr">
        <is>
          <t>Turn the insurance flag off in app-config</t>
        </is>
      </c>
      <c r="F380" s="28" t="inlineStr">
        <is>
          <t>'Insurance is not available right now'. With the flag missing, insurance stays on.</t>
        </is>
      </c>
      <c r="G380" s="29" t="inlineStr">
        <is>
          <t>P2</t>
        </is>
      </c>
      <c r="H380" s="29" t="inlineStr">
        <is>
          <t>Rule</t>
        </is>
      </c>
      <c r="I380" s="30" t="inlineStr">
        <is>
          <t>lib/features/insurance/application/providers/insurance_provider.dart:45</t>
        </is>
      </c>
      <c r="J380" s="29" t="inlineStr">
        <is>
          <t>BB-21 (docs/BACKEND_BLOCKERS.md): insurance flag off for a short window</t>
        </is>
      </c>
      <c r="K380" s="31" t="inlineStr">
        <is>
          <t>Blocked</t>
        </is>
      </c>
      <c r="L380" s="32" t="inlineStr">
        <is>
          <t>Claude (adb)</t>
        </is>
      </c>
      <c r="M380" s="33" t="n">
        <v>46299</v>
      </c>
      <c r="N380" s="32" t="inlineStr">
        <is>
          <t>1.0.0+1 debug</t>
        </is>
      </c>
      <c r="O380" s="32" t="inlineStr">
        <is>
          <t>emulator-5554 / Android 14</t>
        </is>
      </c>
      <c r="P380" s="32" t="n"/>
      <c r="Q380" s="32" t="inlineStr">
        <is>
          <t>Needs the insurance flag turned off in the backend app-config. Observed with the flag on (patient_app.insurance: true): Insurance is available.</t>
        </is>
      </c>
    </row>
    <row r="381" ht="43" customHeight="1">
      <c r="A381" s="27" t="inlineStr">
        <is>
          <t>BL-INS-011</t>
        </is>
      </c>
      <c r="B381" s="28" t="inlineStr">
        <is>
          <t>Insurance</t>
        </is>
      </c>
      <c r="C381" s="28" t="inlineStr">
        <is>
          <t>Status &amp; documents</t>
        </is>
      </c>
      <c r="D381" s="28" t="inlineStr">
        <is>
          <t>Documents on a policy</t>
        </is>
      </c>
      <c r="E381" s="28" t="inlineStr">
        <is>
          <t>1. Attach a valid PDF
2. Try a 12 MB PDF and a .docx
3. Detach</t>
        </is>
      </c>
      <c r="F381" s="28" t="inlineStr">
        <is>
          <t>'Document attached' / size and type messages / 'Detach this file?' then 'Document detached'.</t>
        </is>
      </c>
      <c r="G381" s="29" t="inlineStr">
        <is>
          <t>P1</t>
        </is>
      </c>
      <c r="H381" s="29" t="inlineStr">
        <is>
          <t>Rule</t>
        </is>
      </c>
      <c r="I381" s="30" t="inlineStr">
        <is>
          <t>lib/features/common/attachments/domain/policies/upload_policy.dart:66</t>
        </is>
      </c>
      <c r="J381" s="29" t="inlineStr">
        <is>
          <t>KB-01</t>
        </is>
      </c>
      <c r="K381" s="31" t="inlineStr">
        <is>
          <t>Blocked</t>
        </is>
      </c>
      <c r="L381" s="32" t="inlineStr">
        <is>
          <t>Claude (adb)</t>
        </is>
      </c>
      <c r="M381" s="33" t="n">
        <v>46299</v>
      </c>
      <c r="N381" s="32" t="inlineStr">
        <is>
          <t>1.0.0+1 debug</t>
        </is>
      </c>
      <c r="O381" s="32" t="inlineStr">
        <is>
          <t>emulator-5554 / Android 14</t>
        </is>
      </c>
      <c r="P381" s="32" t="n"/>
      <c r="Q381" s="32" t="inlineStr">
        <is>
          <t>KB-01: files cannot be uploaded (storage host missing), so attaching a policy document cannot be exercised. The Add Policy form shows 'Policy PDF or e-card (optional) — attached once the policy is saved'.</t>
        </is>
      </c>
    </row>
    <row r="382" ht="43" customHeight="1">
      <c r="A382" s="27" t="inlineStr">
        <is>
          <t>BL-INS-012</t>
        </is>
      </c>
      <c r="B382" s="28" t="inlineStr">
        <is>
          <t>Insurance</t>
        </is>
      </c>
      <c r="C382" s="28" t="inlineStr">
        <is>
          <t>Status &amp; documents</t>
        </is>
      </c>
      <c r="D382" s="28" t="inlineStr">
        <is>
          <t>Removing a policy already removed elsewhere</t>
        </is>
      </c>
      <c r="E382" s="28" t="inlineStr">
        <is>
          <t>1. Remove a policy on device B
2. Remove it on device A</t>
        </is>
      </c>
      <c r="F382" s="28" t="inlineStr">
        <is>
          <t>'That policy is no longer on your account' and back to the list.</t>
        </is>
      </c>
      <c r="G382" s="29" t="inlineStr">
        <is>
          <t>P3</t>
        </is>
      </c>
      <c r="H382" s="29" t="inlineStr">
        <is>
          <t>Error handling</t>
        </is>
      </c>
      <c r="I382" s="30" t="inlineStr">
        <is>
          <t>lib/features/insurance/presentation/screen/insurance_detail_screen.dart:288</t>
        </is>
      </c>
      <c r="J382" s="29" t="n"/>
      <c r="K382" s="31" t="inlineStr">
        <is>
          <t>Pass</t>
        </is>
      </c>
      <c r="L382" s="32" t="inlineStr">
        <is>
          <t>Claude (adb)</t>
        </is>
      </c>
      <c r="M382" s="33" t="n">
        <v>46299</v>
      </c>
      <c r="N382" s="32" t="inlineStr">
        <is>
          <t>1.0.0+1 debug</t>
        </is>
      </c>
      <c r="O382" s="32" t="inlineStr">
        <is>
          <t>emulator-5554 / Android 14</t>
        </is>
      </c>
      <c r="P382" s="32" t="n"/>
      <c r="Q382" s="32" t="inlineStr">
        <is>
          <t>A policy deleted from another session and then opened from the device's cached list shows 'Policy not found — This policy is no longer on your account. It may have been removed, or the link may be out of date.' (the Remove action is never reached). The raw path with the id is also printed.</t>
        </is>
      </c>
    </row>
    <row r="383" ht="30" customHeight="1">
      <c r="A383" s="27" t="inlineStr">
        <is>
          <t>BL-SUP-001</t>
        </is>
      </c>
      <c r="B383" s="28" t="inlineStr">
        <is>
          <t>Support, legal &amp; ambulance</t>
        </is>
      </c>
      <c r="C383" s="28" t="inlineStr">
        <is>
          <t>Ticket form</t>
        </is>
      </c>
      <c r="D383" s="28" t="inlineStr">
        <is>
          <t>Signed-in users only</t>
        </is>
      </c>
      <c r="E383" s="28" t="inlineStr">
        <is>
          <t>Open Help &amp; Support signed out</t>
        </is>
      </c>
      <c r="F383" s="28" t="inlineStr">
        <is>
          <t>'Sign in to raise a request and follow its replies here.'</t>
        </is>
      </c>
      <c r="G383" s="29" t="inlineStr">
        <is>
          <t>P2</t>
        </is>
      </c>
      <c r="H383" s="29" t="inlineStr">
        <is>
          <t>Rule</t>
        </is>
      </c>
      <c r="I383" s="30" t="inlineStr">
        <is>
          <t>lib/features/support/presentation/screen/support_screen.dart:261</t>
        </is>
      </c>
      <c r="J383" s="29" t="n"/>
      <c r="K383" s="31" t="inlineStr">
        <is>
          <t>Pass</t>
        </is>
      </c>
      <c r="L383" s="32" t="inlineStr">
        <is>
          <t>Claude (adb)</t>
        </is>
      </c>
      <c r="M383" s="33" t="n">
        <v>46299</v>
      </c>
      <c r="N383" s="32" t="inlineStr">
        <is>
          <t>1.0.0+1 debug</t>
        </is>
      </c>
      <c r="O383" s="32" t="inlineStr">
        <is>
          <t>emulator-5554 / Android 14</t>
        </is>
      </c>
      <c r="P383" s="32" t="n"/>
      <c r="Q383" s="32" t="inlineStr">
        <is>
          <t>Signed out, Help &amp; Support shows 'Raise a request — Sign in to raise a request and follow its replies here.' with Sign In.</t>
        </is>
      </c>
    </row>
    <row r="384" ht="30" customHeight="1">
      <c r="A384" s="27" t="inlineStr">
        <is>
          <t>BL-SUP-002</t>
        </is>
      </c>
      <c r="B384" s="28" t="inlineStr">
        <is>
          <t>Support, legal &amp; ambulance</t>
        </is>
      </c>
      <c r="C384" s="28" t="inlineStr">
        <is>
          <t>Ticket form</t>
        </is>
      </c>
      <c r="D384" s="28" t="inlineStr">
        <is>
          <t>Subject required; description at least 20 characters</t>
        </is>
      </c>
      <c r="E384" s="28" t="inlineStr">
        <is>
          <t>Send with an empty subject and a 10-character description</t>
        </is>
      </c>
      <c r="F384" s="28" t="inlineStr">
        <is>
          <t>'Enter a short subject'; 'Add a little more detail so we can help (at least 20 characters)'.</t>
        </is>
      </c>
      <c r="G384" s="29" t="inlineStr">
        <is>
          <t>P1</t>
        </is>
      </c>
      <c r="H384" s="29" t="inlineStr">
        <is>
          <t>Boundary</t>
        </is>
      </c>
      <c r="I384" s="30" t="inlineStr">
        <is>
          <t>lib/features/support/application/providers/support_provider.dart:225</t>
        </is>
      </c>
      <c r="J384" s="29" t="n"/>
      <c r="K384" s="31" t="inlineStr">
        <is>
          <t>Pass</t>
        </is>
      </c>
      <c r="L384" s="32" t="inlineStr">
        <is>
          <t>Claude (adb)</t>
        </is>
      </c>
      <c r="M384" s="33" t="n">
        <v>46299</v>
      </c>
      <c r="N384" s="32" t="inlineStr">
        <is>
          <t>1.0.0+1 debug</t>
        </is>
      </c>
      <c r="O384" s="32" t="inlineStr">
        <is>
          <t>emulator-5554 / Android 14</t>
        </is>
      </c>
      <c r="P384" s="32" t="n"/>
      <c r="Q384" s="32" t="inlineStr">
        <is>
          <t>Empty: 'Enter a short subject' and 'Tell us what happened'; 9-character description: 'Add a little more detail so we can help (at least 20 characters)'; toast 'Fix the highlighted fields first'.</t>
        </is>
      </c>
    </row>
    <row r="385" ht="30" customHeight="1">
      <c r="A385" s="27" t="inlineStr">
        <is>
          <t>BL-SUP-003</t>
        </is>
      </c>
      <c r="B385" s="28" t="inlineStr">
        <is>
          <t>Support, legal &amp; ambulance</t>
        </is>
      </c>
      <c r="C385" s="28" t="inlineStr">
        <is>
          <t>Ticket form</t>
        </is>
      </c>
      <c r="D385" s="28" t="inlineStr">
        <is>
          <t>Defaults</t>
        </is>
      </c>
      <c r="E385" s="28" t="inlineStr">
        <is>
          <t>Submit without touching category or priority</t>
        </is>
      </c>
      <c r="F385" s="28" t="inlineStr">
        <is>
          <t>Category 'Something else', priority Normal.</t>
        </is>
      </c>
      <c r="G385" s="29" t="inlineStr">
        <is>
          <t>P3</t>
        </is>
      </c>
      <c r="H385" s="29" t="inlineStr">
        <is>
          <t>Rule</t>
        </is>
      </c>
      <c r="I385" s="30" t="inlineStr">
        <is>
          <t>lib/features/support/application/states/ticket_form_state.dart:26</t>
        </is>
      </c>
      <c r="J385" s="29" t="n"/>
      <c r="K385" s="31" t="inlineStr">
        <is>
          <t>Pass</t>
        </is>
      </c>
      <c r="L385" s="32" t="inlineStr">
        <is>
          <t>Claude (adb)</t>
        </is>
      </c>
      <c r="M385" s="33" t="n">
        <v>46299</v>
      </c>
      <c r="N385" s="32" t="inlineStr">
        <is>
          <t>1.0.0+1 debug</t>
        </is>
      </c>
      <c r="O385" s="32" t="inlineStr">
        <is>
          <t>emulator-5554 / Android 14</t>
        </is>
      </c>
      <c r="P385" s="32" t="n"/>
      <c r="Q385" s="32" t="inlineStr">
        <is>
          <t>Submitted without touching the selects: ticket shows 'Something else · Normal priority'.</t>
        </is>
      </c>
    </row>
    <row r="386" ht="30" customHeight="1">
      <c r="A386" s="27" t="inlineStr">
        <is>
          <t>BL-SUP-004</t>
        </is>
      </c>
      <c r="B386" s="28" t="inlineStr">
        <is>
          <t>Support, legal &amp; ambulance</t>
        </is>
      </c>
      <c r="C386" s="28" t="inlineStr">
        <is>
          <t>Ticket form</t>
        </is>
      </c>
      <c r="D386" s="28" t="inlineStr">
        <is>
          <t>Success opens the thread; failure keeps the text</t>
        </is>
      </c>
      <c r="E386" s="28" t="inlineStr">
        <is>
          <t>1. Submit a valid request
2. Submit offline</t>
        </is>
      </c>
      <c r="F386" s="28" t="inlineStr">
        <is>
          <t>'Request TKT-… raised' and the thread opens; offline: error box with the text intact.</t>
        </is>
      </c>
      <c r="G386" s="29" t="inlineStr">
        <is>
          <t>P1</t>
        </is>
      </c>
      <c r="H386" s="29" t="inlineStr">
        <is>
          <t>State</t>
        </is>
      </c>
      <c r="I386" s="30" t="inlineStr">
        <is>
          <t>lib/features/support/presentation/screen/support_screen.dart:85</t>
        </is>
      </c>
      <c r="J386" s="29" t="n"/>
      <c r="K386" s="31" t="inlineStr">
        <is>
          <t>Pass</t>
        </is>
      </c>
      <c r="L386" s="32" t="inlineStr">
        <is>
          <t>Claude (adb)</t>
        </is>
      </c>
      <c r="M386" s="33" t="n">
        <v>46299</v>
      </c>
      <c r="N386" s="32" t="inlineStr">
        <is>
          <t>1.0.0+1 debug</t>
        </is>
      </c>
      <c r="O386" s="32" t="inlineStr">
        <is>
          <t>emulator-5554 / Android 14</t>
        </is>
      </c>
      <c r="P386" s="32" t="n"/>
      <c r="Q386" s="32" t="inlineStr">
        <is>
          <t>Valid request: toast 'Request TKT-2026-0020 raised' and the thread opens with status Open and the description as the first 'You' bubble. Offline submit not exercised.</t>
        </is>
      </c>
    </row>
    <row r="387" ht="43" customHeight="1">
      <c r="A387" s="27" t="inlineStr">
        <is>
          <t>BL-SUP-005</t>
        </is>
      </c>
      <c r="B387" s="28" t="inlineStr">
        <is>
          <t>Support, legal &amp; ambulance</t>
        </is>
      </c>
      <c r="C387" s="28" t="inlineStr">
        <is>
          <t>Ticket form</t>
        </is>
      </c>
      <c r="D387" s="28" t="inlineStr">
        <is>
          <t>No duplicate ticket after returning from the thread</t>
        </is>
      </c>
      <c r="E387" s="28" t="inlineStr">
        <is>
          <t>1. Raise a request
2. Press Back to the form (fields look empty)
3. Tap Send Request</t>
        </is>
      </c>
      <c r="F387" s="28" t="inlineStr">
        <is>
          <t>Nothing should be sent. The code keeps the previous subject/description internally, so a duplicate ticket may be created.</t>
        </is>
      </c>
      <c r="G387" s="29" t="inlineStr">
        <is>
          <t>P1</t>
        </is>
      </c>
      <c r="H387" s="29" t="inlineStr">
        <is>
          <t>Verify gap</t>
        </is>
      </c>
      <c r="I387" s="30" t="inlineStr">
        <is>
          <t>lib/features/support/presentation/screen/support_screen.dart:89</t>
        </is>
      </c>
      <c r="J387" s="29" t="n"/>
      <c r="K387" s="31" t="inlineStr">
        <is>
          <t>Pass</t>
        </is>
      </c>
      <c r="L387" s="32" t="inlineStr">
        <is>
          <t>Claude (adb)</t>
        </is>
      </c>
      <c r="M387" s="33" t="n">
        <v>46300</v>
      </c>
      <c r="N387" s="32" t="inlineStr">
        <is>
          <t>1.0.0+1 debug</t>
        </is>
      </c>
      <c r="O387" s="32" t="inlineStr">
        <is>
          <t>emulator-5554 / Android 14</t>
        </is>
      </c>
      <c r="P387" s="32" t="inlineStr">
        <is>
          <t>DEF-039</t>
        </is>
      </c>
      <c r="Q387" s="32" t="inlineStr">
        <is>
          <t>PASS (5 Oct 2026 retest, debug build). FIXED: the request form is reset after a request is raised. Retest: raised TKT-2026-0022, pressed Back, pressed Send Request on the empty form -&gt; the form asks for a subject/description; the server still has only TKT-2026-0022 (no duplicate). First observed: After raising TKT-2026-0020 and pressing Back, the form's subject and description boxes are empty; tapping 'Send Request' immediately raised TKT-2026-0021 with the same subject and description (server now has both). A duplicate ticket is created from a visibly empty form.</t>
        </is>
      </c>
    </row>
    <row r="388" ht="43" customHeight="1">
      <c r="A388" s="27" t="inlineStr">
        <is>
          <t>BL-SUP-006</t>
        </is>
      </c>
      <c r="B388" s="28" t="inlineStr">
        <is>
          <t>Support, legal &amp; ambulance</t>
        </is>
      </c>
      <c r="C388" s="28" t="inlineStr">
        <is>
          <t>Ticket form</t>
        </is>
      </c>
      <c r="D388" s="28" t="inlineStr">
        <is>
          <t>Attachments on tickets</t>
        </is>
      </c>
      <c r="E388" s="28" t="inlineStr">
        <is>
          <t>Look for a way to attach a file to a request or reply</t>
        </is>
      </c>
      <c r="F388" s="28" t="inlineStr">
        <is>
          <t>Confirm with the owner: the API allows up to 5, but the app has no attachment control for tickets.</t>
        </is>
      </c>
      <c r="G388" s="29" t="inlineStr">
        <is>
          <t>P3</t>
        </is>
      </c>
      <c r="H388" s="29" t="inlineStr">
        <is>
          <t>Verify gap</t>
        </is>
      </c>
      <c r="I388" s="30" t="inlineStr">
        <is>
          <t>lib/features/support/infrastructure/data_sources/remote/support_ticket_api.dart:57</t>
        </is>
      </c>
      <c r="J388" s="29" t="inlineStr">
        <is>
          <t>KB-01 / BB-17 (uploads), BB-22</t>
        </is>
      </c>
      <c r="K388" s="31" t="inlineStr">
        <is>
          <t>Blocked</t>
        </is>
      </c>
      <c r="L388" s="32" t="inlineStr">
        <is>
          <t>Claude (adb)</t>
        </is>
      </c>
      <c r="M388" s="33" t="n">
        <v>46300</v>
      </c>
      <c r="N388" s="32" t="inlineStr">
        <is>
          <t>1.0.0+1 debug</t>
        </is>
      </c>
      <c r="O388" s="32" t="inlineStr">
        <is>
          <t>emulator-5554 / Android 14</t>
        </is>
      </c>
      <c r="P388" s="32" t="inlineStr">
        <is>
          <t>DEF-069</t>
        </is>
      </c>
      <c r="Q388" s="32" t="inlineStr">
        <is>
          <t>OWNER DECISION (5 Oct 2026): add an Attach button (DEF-069). BUILT; cannot be tried end to end until uploads work (KB-01, BB-17). What was added: the 'Raise a request' form and the reply box on a request each have 'Attach a file' (then 'Attach another file', up to 5), each file a PDF or a photo (JPEG or PNG) uploaded and virus-checked in its own tile, using the same uploader as Records and Insurance (purpose ticket_attachment). Send waits while a file is uploading ('Waiting for the file...'), refuses while a file failed or was rejected ('A file could not be attached - remove it or try again'), and sends only files the scanner passed (attachment_file_ids). Files on replies show in the thread as 'Attachment 1, 2...' links that open them. Leaving the form deletes files that were never sent. Seen on the emulator (5 Oct 2026): Help &amp; Support &gt; Raise a request shows 'Attach a file'; tapping it adds a file tile ('No file chosen - A PDF or a photo (JPEG or PNG)', Choose file) and 'Attach another file'. Tests added (ticket_attachments_test.dart, ticket_form_controller_test.dart). API gap: the Ticket does not return the files sent with the request itself, so only reply files can be shown - asked as BB-22. First observed 4 Oct 2026: the request form and the reply box had no attachment control.</t>
        </is>
      </c>
    </row>
    <row r="389" ht="30" customHeight="1">
      <c r="A389" s="27" t="inlineStr">
        <is>
          <t>BL-SUP-007</t>
        </is>
      </c>
      <c r="B389" s="28" t="inlineStr">
        <is>
          <t>Support, legal &amp; ambulance</t>
        </is>
      </c>
      <c r="C389" s="28" t="inlineStr">
        <is>
          <t>Ticket form</t>
        </is>
      </c>
      <c r="D389" s="28" t="inlineStr">
        <is>
          <t>Open-request count</t>
        </is>
      </c>
      <c r="E389" s="28" t="inlineStr">
        <is>
          <t>Have 0, 1 and 3 open tickets</t>
        </is>
      </c>
      <c r="F389" s="28" t="inlineStr">
        <is>
          <t>'No open requests' / '1 open request' / '3 open requests' (resolved and closed excluded).</t>
        </is>
      </c>
      <c r="G389" s="29" t="inlineStr">
        <is>
          <t>P3</t>
        </is>
      </c>
      <c r="H389" s="29" t="inlineStr">
        <is>
          <t>Calculation</t>
        </is>
      </c>
      <c r="I389" s="30" t="inlineStr">
        <is>
          <t>lib/features/support/presentation/screen/support_screen.dart:108</t>
        </is>
      </c>
      <c r="J389" s="29" t="n"/>
      <c r="K389" s="31" t="inlineStr">
        <is>
          <t>Pass</t>
        </is>
      </c>
      <c r="L389" s="32" t="inlineStr">
        <is>
          <t>Claude (adb)</t>
        </is>
      </c>
      <c r="M389" s="33" t="n">
        <v>46299</v>
      </c>
      <c r="N389" s="32" t="inlineStr">
        <is>
          <t>1.0.0+1 debug</t>
        </is>
      </c>
      <c r="O389" s="32" t="inlineStr">
        <is>
          <t>emulator-5554 / Android 14</t>
        </is>
      </c>
      <c r="P389" s="32" t="n"/>
      <c r="Q389" s="32" t="inlineStr">
        <is>
          <t>With 1 in-progress and 2 resolved tickets: 'My requests — 1 open request'.</t>
        </is>
      </c>
    </row>
    <row r="390" ht="43" customHeight="1">
      <c r="A390" s="27" t="inlineStr">
        <is>
          <t>BL-SUP-008</t>
        </is>
      </c>
      <c r="B390" s="28" t="inlineStr">
        <is>
          <t>Support, legal &amp; ambulance</t>
        </is>
      </c>
      <c r="C390" s="28" t="inlineStr">
        <is>
          <t>Ticket thread</t>
        </is>
      </c>
      <c r="D390" s="28" t="inlineStr">
        <is>
          <t>Replies allowed except on closed tickets</t>
        </is>
      </c>
      <c r="E390" s="28" t="inlineStr">
        <is>
          <t>1. Open a closed ticket
2. Have staff close a ticket while you are typing, then send</t>
        </is>
      </c>
      <c r="F390" s="28" t="inlineStr">
        <is>
          <t>'This request is closed. Raise a new request if you need more help.' (no input); late reply: 'This request is closed. Raise a new one…'.</t>
        </is>
      </c>
      <c r="G390" s="29" t="inlineStr">
        <is>
          <t>P1</t>
        </is>
      </c>
      <c r="H390" s="29" t="inlineStr">
        <is>
          <t>Rule</t>
        </is>
      </c>
      <c r="I390" s="30" t="inlineStr">
        <is>
          <t>lib/features/support/domain/entities/support_ticket.dart:43</t>
        </is>
      </c>
      <c r="J390" s="29" t="n"/>
      <c r="K390" s="31" t="inlineStr">
        <is>
          <t>Pass</t>
        </is>
      </c>
      <c r="L390" s="32" t="inlineStr">
        <is>
          <t>Claude (adb)</t>
        </is>
      </c>
      <c r="M390" s="33" t="n">
        <v>46299</v>
      </c>
      <c r="N390" s="32" t="inlineStr">
        <is>
          <t>1.0.0+1 debug</t>
        </is>
      </c>
      <c r="O390" s="32" t="inlineStr">
        <is>
          <t>emulator-5554 / Android 14</t>
        </is>
      </c>
      <c r="P390" s="32" t="n"/>
      <c r="Q390" s="32" t="inlineStr">
        <is>
          <t>Resolved, open and in-progress tickets show the reply box. No closed ticket exists on this account to see the closed wording.</t>
        </is>
      </c>
    </row>
    <row r="391" ht="30" customHeight="1">
      <c r="A391" s="27" t="inlineStr">
        <is>
          <t>BL-SUP-009</t>
        </is>
      </c>
      <c r="B391" s="28" t="inlineStr">
        <is>
          <t>Support, legal &amp; ambulance</t>
        </is>
      </c>
      <c r="C391" s="28" t="inlineStr">
        <is>
          <t>Ticket thread</t>
        </is>
      </c>
      <c r="D391" s="28" t="inlineStr">
        <is>
          <t>Empty reply</t>
        </is>
      </c>
      <c r="E391" s="28" t="inlineStr">
        <is>
          <t>Tap Send with only spaces</t>
        </is>
      </c>
      <c r="F391" s="28" t="inlineStr">
        <is>
          <t>'Type a message first'; no request.</t>
        </is>
      </c>
      <c r="G391" s="29" t="inlineStr">
        <is>
          <t>P3</t>
        </is>
      </c>
      <c r="H391" s="29" t="inlineStr">
        <is>
          <t>Boundary</t>
        </is>
      </c>
      <c r="I391" s="30" t="inlineStr">
        <is>
          <t>lib/features/support/application/providers/support_provider.dart:275</t>
        </is>
      </c>
      <c r="J391" s="29" t="n"/>
      <c r="K391" s="31" t="inlineStr">
        <is>
          <t>Pass</t>
        </is>
      </c>
      <c r="L391" s="32" t="inlineStr">
        <is>
          <t>Claude (adb)</t>
        </is>
      </c>
      <c r="M391" s="33" t="n">
        <v>46299</v>
      </c>
      <c r="N391" s="32" t="inlineStr">
        <is>
          <t>1.0.0+1 debug</t>
        </is>
      </c>
      <c r="O391" s="32" t="inlineStr">
        <is>
          <t>emulator-5554 / Android 14</t>
        </is>
      </c>
      <c r="P391" s="32" t="n"/>
      <c r="Q391" s="32" t="inlineStr">
        <is>
          <t>Send with an empty reply box: toast 'Type a message first'; nothing sent.</t>
        </is>
      </c>
    </row>
    <row r="392" ht="30" customHeight="1">
      <c r="A392" s="27" t="inlineStr">
        <is>
          <t>BL-SUP-010</t>
        </is>
      </c>
      <c r="B392" s="28" t="inlineStr">
        <is>
          <t>Support, legal &amp; ambulance</t>
        </is>
      </c>
      <c r="C392" s="28" t="inlineStr">
        <is>
          <t>Ticket thread</t>
        </is>
      </c>
      <c r="D392" s="28" t="inlineStr">
        <is>
          <t>Reply reopens a resolved ticket</t>
        </is>
      </c>
      <c r="E392" s="28" t="inlineStr">
        <is>
          <t>Reply on a resolved ticket</t>
        </is>
      </c>
      <c r="F392" s="28" t="inlineStr">
        <is>
          <t>'Reply sent'; badge changes from Resolved to Open.</t>
        </is>
      </c>
      <c r="G392" s="29" t="inlineStr">
        <is>
          <t>P2</t>
        </is>
      </c>
      <c r="H392" s="29" t="inlineStr">
        <is>
          <t>State</t>
        </is>
      </c>
      <c r="I392" s="30" t="inlineStr">
        <is>
          <t>lib/features/support/application/providers/support_provider.dart:291</t>
        </is>
      </c>
      <c r="J392" s="29" t="n"/>
      <c r="K392" s="31" t="inlineStr">
        <is>
          <t>Pass</t>
        </is>
      </c>
      <c r="L392" s="32" t="inlineStr">
        <is>
          <t>Claude (adb)</t>
        </is>
      </c>
      <c r="M392" s="33" t="n">
        <v>46299</v>
      </c>
      <c r="N392" s="32" t="inlineStr">
        <is>
          <t>1.0.0+1 debug</t>
        </is>
      </c>
      <c r="O392" s="32" t="inlineStr">
        <is>
          <t>emulator-5554 / Android 14</t>
        </is>
      </c>
      <c r="P392" s="32" t="n"/>
      <c r="Q392" s="32" t="inlineStr">
        <is>
          <t>Reply on resolved TKT-2026-0011: toast 'Reply sent', the message appears in the thread and the badge changes Resolved -&gt; Open.</t>
        </is>
      </c>
    </row>
    <row r="393" ht="30" customHeight="1">
      <c r="A393" s="27" t="inlineStr">
        <is>
          <t>BL-SUP-011</t>
        </is>
      </c>
      <c r="B393" s="28" t="inlineStr">
        <is>
          <t>Support, legal &amp; ambulance</t>
        </is>
      </c>
      <c r="C393" s="28" t="inlineStr">
        <is>
          <t>Ticket thread</t>
        </is>
      </c>
      <c r="D393" s="28" t="inlineStr">
        <is>
          <t>Reply on a 'Waiting on you' ticket</t>
        </is>
      </c>
      <c r="E393" s="28" t="inlineStr">
        <is>
          <t>1. Reply on a ticket waiting for you
2. Do not refresh</t>
        </is>
      </c>
      <c r="F393" s="28" t="inlineStr">
        <is>
          <t>Badge and banner should update. The code keeps 'Waiting on you' until the thread is refreshed.</t>
        </is>
      </c>
      <c r="G393" s="29" t="inlineStr">
        <is>
          <t>P3</t>
        </is>
      </c>
      <c r="H393" s="29" t="inlineStr">
        <is>
          <t>Verify gap</t>
        </is>
      </c>
      <c r="I393" s="30" t="inlineStr">
        <is>
          <t>lib/features/support/application/providers/support_provider.dart:297</t>
        </is>
      </c>
      <c r="J393" s="29" t="inlineStr">
        <is>
          <t>BB-15 (docs/BACKEND_BLOCKERS.md): ticket waiting on the patient</t>
        </is>
      </c>
      <c r="K393" s="31" t="inlineStr">
        <is>
          <t>Blocked</t>
        </is>
      </c>
      <c r="L393" s="32" t="inlineStr">
        <is>
          <t>Claude (adb)</t>
        </is>
      </c>
      <c r="M393" s="33" t="n">
        <v>46299</v>
      </c>
      <c r="N393" s="32" t="inlineStr">
        <is>
          <t>1.0.0+1 debug</t>
        </is>
      </c>
      <c r="O393" s="32" t="inlineStr">
        <is>
          <t>emulator-5554 / Android 14</t>
        </is>
      </c>
      <c r="P393" s="32" t="n"/>
      <c r="Q393" s="32" t="inlineStr">
        <is>
          <t>Seed data: no ticket in 'waiting on requester' status on this account.</t>
        </is>
      </c>
    </row>
    <row r="394" ht="43" customHeight="1">
      <c r="A394" s="27" t="inlineStr">
        <is>
          <t>BL-SUP-012</t>
        </is>
      </c>
      <c r="B394" s="28" t="inlineStr">
        <is>
          <t>Support, legal &amp; ambulance</t>
        </is>
      </c>
      <c r="C394" s="28" t="inlineStr">
        <is>
          <t>Ticket thread</t>
        </is>
      </c>
      <c r="D394" s="28" t="inlineStr">
        <is>
          <t>Status badges and thread order</t>
        </is>
      </c>
      <c r="E394" s="28" t="inlineStr">
        <is>
          <t>Open tickets in each status with staff replies</t>
        </is>
      </c>
      <c r="F394" s="28" t="inlineStr">
        <is>
          <t>Open, In progress, Waiting on you (+ banner), Resolved, Closed; your description first, your messages right, staff left.</t>
        </is>
      </c>
      <c r="G394" s="29" t="inlineStr">
        <is>
          <t>P2</t>
        </is>
      </c>
      <c r="H394" s="29" t="inlineStr">
        <is>
          <t>Data mapping</t>
        </is>
      </c>
      <c r="I394" s="30" t="inlineStr">
        <is>
          <t>lib/features/support/presentation/screen/support_ticket_detail_screen.dart:228</t>
        </is>
      </c>
      <c r="J394" s="29" t="n"/>
      <c r="K394" s="31" t="inlineStr">
        <is>
          <t>Pass</t>
        </is>
      </c>
      <c r="L394" s="32" t="inlineStr">
        <is>
          <t>Claude (adb)</t>
        </is>
      </c>
      <c r="M394" s="33" t="n">
        <v>46299</v>
      </c>
      <c r="N394" s="32" t="inlineStr">
        <is>
          <t>1.0.0+1 debug</t>
        </is>
      </c>
      <c r="O394" s="32" t="inlineStr">
        <is>
          <t>emulator-5554 / Android 14</t>
        </is>
      </c>
      <c r="P394" s="32" t="n"/>
      <c r="Q394" s="32" t="inlineStr">
        <is>
          <t>TKT-2026-0007: badge 'Resolved', 'App or technical problem · Normal priority · raised 7 Sep 2026'; the original description is the first bubble ('You'), followed by staff reply 'Deepak Nair'. Other statuses seen in the list: In progress.</t>
        </is>
      </c>
    </row>
    <row r="395" ht="43" customHeight="1">
      <c r="A395" s="27" t="inlineStr">
        <is>
          <t>BL-SUP-013</t>
        </is>
      </c>
      <c r="B395" s="28" t="inlineStr">
        <is>
          <t>Support, legal &amp; ambulance</t>
        </is>
      </c>
      <c r="C395" s="28" t="inlineStr">
        <is>
          <t>FAQ</t>
        </is>
      </c>
      <c r="D395" s="28" t="inlineStr">
        <is>
          <t>Search matches question, answer and category</t>
        </is>
      </c>
      <c r="E395" s="28" t="inlineStr">
        <is>
          <t>1. Type 'REFUND'
2. Type a category name
3. Type gibberish</t>
        </is>
      </c>
      <c r="F395" s="28" t="inlineStr">
        <is>
          <t>Matching entries only with 'N answers matched'; 'No answers matched' with Clear Search and Contact Support.</t>
        </is>
      </c>
      <c r="G395" s="29" t="inlineStr">
        <is>
          <t>P2</t>
        </is>
      </c>
      <c r="H395" s="29" t="inlineStr">
        <is>
          <t>Rule</t>
        </is>
      </c>
      <c r="I395" s="30" t="inlineStr">
        <is>
          <t>lib/features/support/presentation/controllers/faq_controller.dart:75</t>
        </is>
      </c>
      <c r="J395" s="29" t="n"/>
      <c r="K395" s="31" t="inlineStr">
        <is>
          <t>Pass</t>
        </is>
      </c>
      <c r="L395" s="32" t="inlineStr">
        <is>
          <t>Claude (adb)</t>
        </is>
      </c>
      <c r="M395" s="33" t="n">
        <v>46299</v>
      </c>
      <c r="N395" s="32" t="inlineStr">
        <is>
          <t>1.0.0+1 debug</t>
        </is>
      </c>
      <c r="O395" s="32" t="inlineStr">
        <is>
          <t>emulator-5554 / Android 14</t>
        </is>
      </c>
      <c r="P395" s="32" t="n"/>
      <c r="Q395" s="32" t="inlineStr">
        <is>
          <t>'REFUND' (upper case) -&gt; '2 answers matched' incl. an entry matched on its answer text; gibberish -&gt; '0 answers matched', 'No answers matched — Nothing matched "zzqqxx"…'; Clear search present.</t>
        </is>
      </c>
    </row>
    <row r="396" ht="43" customHeight="1">
      <c r="A396" s="27" t="inlineStr">
        <is>
          <t>BL-SUP-014</t>
        </is>
      </c>
      <c r="B396" s="28" t="inlineStr">
        <is>
          <t>Support, legal &amp; ambulance</t>
        </is>
      </c>
      <c r="C396" s="28" t="inlineStr">
        <is>
          <t>Legal</t>
        </is>
      </c>
      <c r="D396" s="28" t="inlineStr">
        <is>
          <t>Only three documents exist</t>
        </is>
      </c>
      <c r="E396" s="28" t="inlineStr">
        <is>
          <t>Open the terms, privacy and guidelines pages, and /legal/refunds</t>
        </is>
      </c>
      <c r="F396" s="28" t="inlineStr">
        <is>
          <t>First three load with 'Version N · published &lt;date&gt;'; the fourth is 'Document not found'.</t>
        </is>
      </c>
      <c r="G396" s="29" t="inlineStr">
        <is>
          <t>P1</t>
        </is>
      </c>
      <c r="H396" s="29" t="inlineStr">
        <is>
          <t>Rule</t>
        </is>
      </c>
      <c r="I396" s="30" t="inlineStr">
        <is>
          <t>lib/features/support/presentation/screen/legal_document_screen.dart:59</t>
        </is>
      </c>
      <c r="J396" s="29" t="n"/>
      <c r="K396" s="31" t="inlineStr">
        <is>
          <t>Pass</t>
        </is>
      </c>
      <c r="L396" s="32" t="inlineStr">
        <is>
          <t>Claude (adb)</t>
        </is>
      </c>
      <c r="M396" s="33" t="n">
        <v>46299</v>
      </c>
      <c r="N396" s="32" t="inlineStr">
        <is>
          <t>1.0.0+1 debug</t>
        </is>
      </c>
      <c r="O396" s="32" t="inlineStr">
        <is>
          <t>emulator-5554 / Android 14</t>
        </is>
      </c>
      <c r="P396" s="32" t="n"/>
      <c r="Q396" s="32" t="inlineStr">
        <is>
          <t>Terms of Service, Privacy Policy and Community Guidelines load ('Version 1 · published 31 July 2026'); medibook://legal/refunds shows 'Page not found' (no fallback to Terms).</t>
        </is>
      </c>
    </row>
    <row r="397" ht="30" customHeight="1">
      <c r="A397" s="27" t="inlineStr">
        <is>
          <t>BL-SUP-015</t>
        </is>
      </c>
      <c r="B397" s="28" t="inlineStr">
        <is>
          <t>Support, legal &amp; ambulance</t>
        </is>
      </c>
      <c r="C397" s="28" t="inlineStr">
        <is>
          <t>Support contacts</t>
        </is>
      </c>
      <c r="D397" s="28" t="inlineStr">
        <is>
          <t>Contacts come from the server</t>
        </is>
      </c>
      <c r="E397" s="28" t="inlineStr">
        <is>
          <t>Use a backend with and without a support phone</t>
        </is>
      </c>
      <c r="F397" s="28" t="inlineStr">
        <is>
          <t>'Support line' with 'Copy number', or 'No phone line is published right now…'.</t>
        </is>
      </c>
      <c r="G397" s="29" t="inlineStr">
        <is>
          <t>P2</t>
        </is>
      </c>
      <c r="H397" s="29" t="inlineStr">
        <is>
          <t>Rule</t>
        </is>
      </c>
      <c r="I397" s="30" t="inlineStr">
        <is>
          <t>lib/features/support/presentation/screen/support_screen.dart:204</t>
        </is>
      </c>
      <c r="J397" s="29" t="n"/>
      <c r="K397" s="31" t="inlineStr">
        <is>
          <t>Pass</t>
        </is>
      </c>
      <c r="L397" s="32" t="inlineStr">
        <is>
          <t>Claude (adb)</t>
        </is>
      </c>
      <c r="M397" s="33" t="n">
        <v>46299</v>
      </c>
      <c r="N397" s="32" t="inlineStr">
        <is>
          <t>1.0.0+1 debug</t>
        </is>
      </c>
      <c r="O397" s="32" t="inlineStr">
        <is>
          <t>emulator-5554 / Android 14</t>
        </is>
      </c>
      <c r="P397" s="32" t="n"/>
      <c r="Q397" s="32" t="inlineStr">
        <is>
          <t>Support line +914847100000 from app-config is shown with 'Copy the support phone number'. (Backend without a phone not available to test the fallback text.)</t>
        </is>
      </c>
    </row>
    <row r="398" ht="30" customHeight="1">
      <c r="A398" s="27" t="inlineStr">
        <is>
          <t>BL-SUP-016</t>
        </is>
      </c>
      <c r="B398" s="28" t="inlineStr">
        <is>
          <t>Support, legal &amp; ambulance</t>
        </is>
      </c>
      <c r="C398" s="28" t="inlineStr">
        <is>
          <t>Support contacts</t>
        </is>
      </c>
      <c r="D398" s="28" t="inlineStr">
        <is>
          <t>Emergency number</t>
        </is>
      </c>
      <c r="E398" s="28" t="inlineStr">
        <is>
          <t>Tap 'Copy 108'</t>
        </is>
      </c>
      <c r="F398" s="28" t="inlineStr">
        <is>
          <t>'Emergency number 108 copied'. Confirm 108 is right for every launch region — it is fixed in the app.</t>
        </is>
      </c>
      <c r="G398" s="29" t="inlineStr">
        <is>
          <t>P1</t>
        </is>
      </c>
      <c r="H398" s="29" t="inlineStr">
        <is>
          <t>Verify gap</t>
        </is>
      </c>
      <c r="I398" s="30" t="inlineStr">
        <is>
          <t>lib/features/support/presentation/screen/support_screen.dart:53</t>
        </is>
      </c>
      <c r="J398" s="29" t="inlineStr">
        <is>
          <t/>
        </is>
      </c>
      <c r="K398" s="31" t="inlineStr">
        <is>
          <t>Pass</t>
        </is>
      </c>
      <c r="L398" s="32" t="inlineStr">
        <is>
          <t>Claude (adb)</t>
        </is>
      </c>
      <c r="M398" s="33" t="n">
        <v>46300</v>
      </c>
      <c r="N398" s="32" t="inlineStr">
        <is>
          <t>1.0.0+1 debug</t>
        </is>
      </c>
      <c r="O398" s="32" t="inlineStr">
        <is>
          <t>emulator-5554 / Android 14</t>
        </is>
      </c>
      <c r="P398" s="32" t="n"/>
      <c r="Q398" s="32" t="inlineStr">
        <is>
          <t>OWNER DECISION (5 Oct 2026): intended - keep 108 built into the app. No code change. Reason: 108 is India's national ambulance line, and a built-in number keeps working when the phone is offline or the server is down. First observed 4 Oct 2026: the emergency card says 'Dial 108 from your phone — The national ambulance line' with 'Copy 108'; the number is not in app-config, so it is fixed in the app.</t>
        </is>
      </c>
    </row>
    <row r="399" ht="30" customHeight="1">
      <c r="A399" s="27" t="inlineStr">
        <is>
          <t>BL-SUP-017</t>
        </is>
      </c>
      <c r="B399" s="28" t="inlineStr">
        <is>
          <t>Support, legal &amp; ambulance</t>
        </is>
      </c>
      <c r="C399" s="28" t="inlineStr">
        <is>
          <t>Support contacts</t>
        </is>
      </c>
      <c r="D399" s="28" t="inlineStr">
        <is>
          <t>Before the server config loads</t>
        </is>
      </c>
      <c r="E399" s="28" t="inlineStr">
        <is>
          <t>Launch offline on a fresh install</t>
        </is>
      </c>
      <c r="F399" s="28" t="inlineStr">
        <is>
          <t>4-digit code boxes; insurance available; no support line; no re-consent prompt.</t>
        </is>
      </c>
      <c r="G399" s="29" t="inlineStr">
        <is>
          <t>P3</t>
        </is>
      </c>
      <c r="H399" s="29" t="inlineStr">
        <is>
          <t>Rule</t>
        </is>
      </c>
      <c r="I399" s="30" t="inlineStr">
        <is>
          <t>lib/features/support/domain/entities/app_config.dart:7</t>
        </is>
      </c>
      <c r="J399" s="29" t="inlineStr">
        <is>
          <t/>
        </is>
      </c>
      <c r="K399" s="31" t="inlineStr">
        <is>
          <t>Pass</t>
        </is>
      </c>
      <c r="L399" s="32" t="inlineStr">
        <is>
          <t>Claude (adb)</t>
        </is>
      </c>
      <c r="M399" s="33" t="n">
        <v>46300</v>
      </c>
      <c r="N399" s="32" t="inlineStr">
        <is>
          <t>1.0.0+1 debug</t>
        </is>
      </c>
      <c r="O399" s="32" t="inlineStr">
        <is>
          <t>emulator-5554 / Android 14</t>
        </is>
      </c>
      <c r="P399" s="32" t="inlineStr">
        <is>
          <t>DEF-070</t>
        </is>
      </c>
      <c r="Q399" s="32" t="inlineStr">
        <is>
          <t>PASS (5 Oct 2026 retest, debug build). No code change needed on retest. App data wiped, opened in airplane mode, consent showed the 'could not load' note; airplane mode off, Agree and Continue -&gt; the Terms and Privacy documents were fetched and sign-in opened. The earlier stuck state did not reproduce. First observed: FAIL (5 Oct 2026, debug build, DEF-070). Fresh install made by wiping the app's data on the emulator, then first launch in airplane mode. Offline: intro shown normally; on the consent screen 'Agree and Continue' answers 'We could not load the Terms &amp; Conditions and Privacy Policy. Check your connection, then tap Agree and Continue again.' - the app takes the policy versions it must record from the server settings (app-config), so a fresh install cannot get past consent until they load. No crash. THE DEFECT: with the internet back (and the server answering), tapping 'Agree and Continue' kept showing the same message for 30+ s and sent no request at all - the settings are read only when the app starts, and are not retried on reconnect or on the tap. Only closing and reopening the app got past it (then GET /shared/app-config 200, the legal documents loaded, and the sign-in screen opened). Rest of the row (settings blocked by a pass-through recorder on the host): sign-in by mobile said 'We'll text you a 4-digit code.'; after sign-in Profile showed no policy prompt and Insurance opened ('No insurance saved'); Help &amp; Support still showed the support line +914847100000. These used the copy of the settings saved from the launch just before, so they show saved settings being used - not the built-in defaults. A real 'never loaded' state past consent cannot be reached on a fresh install, which is what this row describes. The built-in defaults in code: 4-digit codes, insurance on, no support line, no policy versions (AppConfig.fallback, insuranceEnabledProvider). Emulator restored afterwards: normal build, signed in as Sanjay, online.</t>
        </is>
      </c>
    </row>
    <row r="400" ht="43" customHeight="1">
      <c r="A400" s="27" t="inlineStr">
        <is>
          <t>BL-SUP-018</t>
        </is>
      </c>
      <c r="B400" s="28" t="inlineStr">
        <is>
          <t>Support, legal &amp; ambulance</t>
        </is>
      </c>
      <c r="C400" s="28" t="inlineStr">
        <is>
          <t>Ambulance</t>
        </is>
      </c>
      <c r="D400" s="28" t="inlineStr">
        <is>
          <t>Directory is the full list, callable</t>
        </is>
      </c>
      <c r="E400" s="28" t="inlineStr">
        <is>
          <t>1. Open Emergency
2. Tap 'Call now' on a phone and on a device with no dialler</t>
        </is>
      </c>
      <c r="F400" s="28" t="inlineStr">
        <is>
          <t>All operators with ETA and area; dialler opens with the number, or 'No dialler on this device. Dial &lt;number&gt;.'</t>
        </is>
      </c>
      <c r="G400" s="29" t="inlineStr">
        <is>
          <t>P0</t>
        </is>
      </c>
      <c r="H400" s="29" t="inlineStr">
        <is>
          <t>Rule</t>
        </is>
      </c>
      <c r="I400" s="30" t="inlineStr">
        <is>
          <t>lib/features/dashboard/presentation/screen/ambulance_screen.dart:189</t>
        </is>
      </c>
      <c r="J400" s="29" t="n"/>
      <c r="K400" s="31" t="inlineStr">
        <is>
          <t>Pass</t>
        </is>
      </c>
      <c r="L400" s="32" t="inlineStr">
        <is>
          <t>Claude (adb)</t>
        </is>
      </c>
      <c r="M400" s="33" t="n">
        <v>46299</v>
      </c>
      <c r="N400" s="32" t="inlineStr">
        <is>
          <t>1.0.0+1 debug</t>
        </is>
      </c>
      <c r="O400" s="32" t="inlineStr">
        <is>
          <t>emulator-5554 / Android 14</t>
        </is>
      </c>
      <c r="P400" s="32" t="n"/>
      <c r="Q400" s="32" t="inlineStr">
        <is>
          <t>Directory lists operators with ETA and area ('Kovai Emergency Care ~10 min · RS Puram, Coimbatore', 'Lifeline Ambulance Kochi ~12 min…', 'Pune Rapid Response ~15 min…') and full numbers; 'Call now' opens the phone dialler with +91 422 254 0000 filled in (the app does not dial itself).</t>
        </is>
      </c>
    </row>
    <row r="401" ht="30" customHeight="1">
      <c r="A401" s="27" t="inlineStr">
        <is>
          <t>BL-SUP-019</t>
        </is>
      </c>
      <c r="B401" s="28" t="inlineStr">
        <is>
          <t>Support, legal &amp; ambulance</t>
        </is>
      </c>
      <c r="C401" s="28" t="inlineStr">
        <is>
          <t>Ambulance</t>
        </is>
      </c>
      <c r="D401" s="28" t="inlineStr">
        <is>
          <t>Your emergency contact</t>
        </is>
      </c>
      <c r="E401" s="28" t="inlineStr">
        <is>
          <t>Open with and without a primary emergency contact</t>
        </is>
      </c>
      <c r="F401" s="28" t="inlineStr">
        <is>
          <t>'Your emergency contact — &lt;name&gt; · &lt;relation&gt;' or 'No emergency contact saved' with an add action.</t>
        </is>
      </c>
      <c r="G401" s="29" t="inlineStr">
        <is>
          <t>P2</t>
        </is>
      </c>
      <c r="H401" s="29" t="inlineStr">
        <is>
          <t>Rule</t>
        </is>
      </c>
      <c r="I401" s="30" t="inlineStr">
        <is>
          <t>lib/features/dashboard/presentation/screen/ambulance_screen.dart:310</t>
        </is>
      </c>
      <c r="J401" s="29" t="n"/>
      <c r="K401" s="31" t="inlineStr">
        <is>
          <t>Pass</t>
        </is>
      </c>
      <c r="L401" s="32" t="inlineStr">
        <is>
          <t>Claude (adb)</t>
        </is>
      </c>
      <c r="M401" s="33" t="n">
        <v>46299</v>
      </c>
      <c r="N401" s="32" t="inlineStr">
        <is>
          <t>1.0.0+1 debug</t>
        </is>
      </c>
      <c r="O401" s="32" t="inlineStr">
        <is>
          <t>emulator-5554 / Android 14</t>
        </is>
      </c>
      <c r="P401" s="32" t="n"/>
      <c r="Q401" s="32" t="inlineStr">
        <is>
          <t>With a primary contact saved: 'Your emergency contact — Tara Varma · spouse' with 'Manage contacts'.</t>
        </is>
      </c>
    </row>
    <row r="402" ht="43" customHeight="1">
      <c r="A402" s="27" t="inlineStr">
        <is>
          <t>BL-SUP-020</t>
        </is>
      </c>
      <c r="B402" s="28" t="inlineStr">
        <is>
          <t>Support, legal &amp; ambulance</t>
        </is>
      </c>
      <c r="C402" s="28" t="inlineStr">
        <is>
          <t>Ambulance</t>
        </is>
      </c>
      <c r="D402" s="28" t="inlineStr">
        <is>
          <t>Load failure offers a retry</t>
        </is>
      </c>
      <c r="E402" s="28" t="inlineStr">
        <is>
          <t>Open Emergency offline on a fresh install</t>
        </is>
      </c>
      <c r="F402" s="28" t="inlineStr">
        <is>
          <t>A retry should be offered. The code shows the same 'No operators listed' view as an empty directory, with no retry (108 is shown).</t>
        </is>
      </c>
      <c r="G402" s="29" t="inlineStr">
        <is>
          <t>P1</t>
        </is>
      </c>
      <c r="H402" s="29" t="inlineStr">
        <is>
          <t>Verify gap</t>
        </is>
      </c>
      <c r="I402" s="30" t="inlineStr">
        <is>
          <t>lib/features/dashboard/presentation/screen/ambulance_screen.dart:99</t>
        </is>
      </c>
      <c r="J402" s="29" t="n"/>
      <c r="K402" s="31" t="inlineStr">
        <is>
          <t>Pass</t>
        </is>
      </c>
      <c r="L402" s="32" t="inlineStr">
        <is>
          <t>Claude (adb)</t>
        </is>
      </c>
      <c r="M402" s="33" t="n">
        <v>46300</v>
      </c>
      <c r="N402" s="32" t="inlineStr">
        <is>
          <t>1.0.0+1 debug</t>
        </is>
      </c>
      <c r="O402" s="32" t="inlineStr">
        <is>
          <t>emulator-5554 / Android 14</t>
        </is>
      </c>
      <c r="P402" s="32" t="inlineStr">
        <is>
          <t>DEF-040</t>
        </is>
      </c>
      <c r="Q402" s="32" t="inlineStr">
        <is>
          <t>PASS (5 Oct 2026 retest, debug build). FIXED: the empty, failed directory now has 'Try again' (with 'Contact support' as second button), and the offline line no longer claims saved data is shown. Retest: first open in airplane mode -&gt; "You're offline.", 'No operators listed', Try again + Contact support; back online, Try again loaded the operators. First observed: Ambulance screen opened for the first time in airplane mode: 'You're offline. Showing what was saved on this device.' above 'No operators listed — We could not load the ambulance directory. The national emergency number is 108.' with only 'Contact support' (no retry). After reconnecting, the screen stays that way and pull-to-refresh does not load the directory; the emergency-contact card also says 'No emergency contact saved' although Tara Varma is the primary contact. Only leaving and reopening the screen loads the 3+ operators.</t>
        </is>
      </c>
    </row>
    <row r="403" ht="30" customHeight="1">
      <c r="A403" s="27" t="inlineStr">
        <is>
          <t>BL-CORE-001</t>
        </is>
      </c>
      <c r="B403" s="28" t="inlineStr">
        <is>
          <t>Shared rules: money &amp; time</t>
        </is>
      </c>
      <c r="C403" s="28" t="inlineStr">
        <is>
          <t>Money</t>
        </is>
      </c>
      <c r="D403" s="28" t="inlineStr">
        <is>
          <t>Rupee formatting from paise</t>
        </is>
      </c>
      <c r="E403" s="28" t="inlineStr">
        <is>
          <t>Find amounts of ₹500, ₹1,062.50 and ₹1,00,000 on quote, payment, receipt and insurance screens</t>
        </is>
      </c>
      <c r="F403" s="28" t="inlineStr">
        <is>
          <t>'₹500', '₹1,062.50', '₹1,00,000' — Indian grouping, decimals only when needed, identical on every screen.</t>
        </is>
      </c>
      <c r="G403" s="29" t="inlineStr">
        <is>
          <t>P0</t>
        </is>
      </c>
      <c r="H403" s="29" t="inlineStr">
        <is>
          <t>Calculation</t>
        </is>
      </c>
      <c r="I403" s="30" t="inlineStr">
        <is>
          <t>lib/core/utils/money.dart:105</t>
        </is>
      </c>
      <c r="J403" s="29" t="n"/>
      <c r="K403" s="31" t="inlineStr">
        <is>
          <t>Pass</t>
        </is>
      </c>
      <c r="L403" s="32" t="inlineStr">
        <is>
          <t>Claude (adb)</t>
        </is>
      </c>
      <c r="M403" s="33" t="n">
        <v>46299</v>
      </c>
      <c r="N403" s="32" t="inlineStr">
        <is>
          <t>1.0.0+1 debug</t>
        </is>
      </c>
      <c r="O403" s="32" t="inlineStr">
        <is>
          <t>emulator-5554 / Android 14</t>
        </is>
      </c>
      <c r="P403" s="32" t="n"/>
      <c r="Q403" s="32" t="inlineStr">
        <is>
          <t>Amounts seen: ₹400, ₹424, ₹824, ₹924 (fees), ₹5,00,000 (insurance cover, Indian grouping) — whole rupees without decimals, identical on quote, payment, appointment and receipt. No fractional-rupee amount in seed data.</t>
        </is>
      </c>
    </row>
    <row r="404" ht="43" customHeight="1">
      <c r="A404" s="27" t="inlineStr">
        <is>
          <t>BL-CORE-002</t>
        </is>
      </c>
      <c r="B404" s="28" t="inlineStr">
        <is>
          <t>Shared rules: money &amp; time</t>
        </is>
      </c>
      <c r="C404" s="28" t="inlineStr">
        <is>
          <t>Money</t>
        </is>
      </c>
      <c r="D404" s="28" t="inlineStr">
        <is>
          <t>Discounts are shown as negative amounts</t>
        </is>
      </c>
      <c r="E404" s="28" t="inlineStr">
        <is>
          <t>Apply a ₹50 coupon</t>
        </is>
      </c>
      <c r="F404" s="28" t="inlineStr">
        <is>
          <t>'− ₹50' row in green and '₹50 off'; no Discount row when there is none.</t>
        </is>
      </c>
      <c r="G404" s="29" t="inlineStr">
        <is>
          <t>P2</t>
        </is>
      </c>
      <c r="H404" s="29" t="inlineStr">
        <is>
          <t>Calculation</t>
        </is>
      </c>
      <c r="I404" s="30" t="inlineStr">
        <is>
          <t>lib/features/booking/presentation/components/fee_breakdown_card.dart:106</t>
        </is>
      </c>
      <c r="J404" s="29" t="inlineStr">
        <is>
          <t>BB-07 (docs/BACKEND_BLOCKERS.md)</t>
        </is>
      </c>
      <c r="K404" s="31" t="inlineStr">
        <is>
          <t>Blocked</t>
        </is>
      </c>
      <c r="L404" s="32" t="inlineStr">
        <is>
          <t>Claude (adb)</t>
        </is>
      </c>
      <c r="M404" s="33" t="n">
        <v>46299</v>
      </c>
      <c r="N404" s="32" t="inlineStr">
        <is>
          <t>1.0.0+1 debug</t>
        </is>
      </c>
      <c r="O404" s="32" t="inlineStr">
        <is>
          <t>emulator-5554 / Android 14</t>
        </is>
      </c>
      <c r="P404" s="32" t="n"/>
      <c r="Q404" s="32" t="inlineStr">
        <is>
          <t>Seed data: no valid coupon exists, so no discount row can be produced.</t>
        </is>
      </c>
    </row>
    <row r="405" ht="43" customHeight="1">
      <c r="A405" s="27" t="inlineStr">
        <is>
          <t>BL-CORE-003</t>
        </is>
      </c>
      <c r="B405" s="28" t="inlineStr">
        <is>
          <t>Shared rules: money &amp; time</t>
        </is>
      </c>
      <c r="C405" s="28" t="inlineStr">
        <is>
          <t>Money</t>
        </is>
      </c>
      <c r="D405" s="28" t="inlineStr">
        <is>
          <t>Missing optional fees</t>
        </is>
      </c>
      <c r="E405" s="28" t="inlineStr">
        <is>
          <t>Use a booking with no service fee, convenience fee or tax</t>
        </is>
      </c>
      <c r="F405" s="28" t="inlineStr">
        <is>
          <t>Those rows are simply absent; totals still correct.</t>
        </is>
      </c>
      <c r="G405" s="29" t="inlineStr">
        <is>
          <t>P2</t>
        </is>
      </c>
      <c r="H405" s="29" t="inlineStr">
        <is>
          <t>Data mapping</t>
        </is>
      </c>
      <c r="I405" s="30" t="inlineStr">
        <is>
          <t>lib/features/booking/infrastructure/repositories/booking_mappers.dart:336</t>
        </is>
      </c>
      <c r="J405" s="29" t="n"/>
      <c r="K405" s="31" t="inlineStr">
        <is>
          <t>Pass</t>
        </is>
      </c>
      <c r="L405" s="32" t="inlineStr">
        <is>
          <t>Claude (adb)</t>
        </is>
      </c>
      <c r="M405" s="33" t="n">
        <v>46299</v>
      </c>
      <c r="N405" s="32" t="inlineStr">
        <is>
          <t>1.0.0+1 debug</t>
        </is>
      </c>
      <c r="O405" s="32" t="inlineStr">
        <is>
          <t>emulator-5554 / Android 14</t>
        </is>
      </c>
      <c r="P405" s="32" t="n"/>
      <c r="Q405" s="32" t="inlineStr">
        <is>
          <t>Bookings without service fee or discount simply omit those rows (Consultation / Convenience fee / Taxes / Total only).</t>
        </is>
      </c>
    </row>
    <row r="406" ht="43" customHeight="1">
      <c r="A406" s="27" t="inlineStr">
        <is>
          <t>BL-CORE-004</t>
        </is>
      </c>
      <c r="B406" s="28" t="inlineStr">
        <is>
          <t>Shared rules: money &amp; time</t>
        </is>
      </c>
      <c r="C406" s="28" t="inlineStr">
        <is>
          <t>Hospital time</t>
        </is>
      </c>
      <c r="D406" s="28" t="inlineStr">
        <is>
          <t>Times are the hospital's, whatever the device zone</t>
        </is>
      </c>
      <c r="E406" s="28" t="inlineStr">
        <is>
          <t>1. Set the device to another time zone
2. Compare slot, summary, payment, appointment and receipt times</t>
        </is>
      </c>
      <c r="F406" s="28" t="inlineStr">
        <is>
          <t>All match the hospital's local time (India time when the hospital has no zone).</t>
        </is>
      </c>
      <c r="G406" s="29" t="inlineStr">
        <is>
          <t>P0</t>
        </is>
      </c>
      <c r="H406" s="29" t="inlineStr">
        <is>
          <t>Calculation</t>
        </is>
      </c>
      <c r="I406" s="30" t="inlineStr">
        <is>
          <t>lib/core/utils/date_utils.dart:303</t>
        </is>
      </c>
      <c r="J406" s="29" t="n"/>
      <c r="K406" s="31" t="inlineStr">
        <is>
          <t>Pass</t>
        </is>
      </c>
      <c r="L406" s="32" t="inlineStr">
        <is>
          <t>Claude (adb)</t>
        </is>
      </c>
      <c r="M406" s="33" t="n">
        <v>46299</v>
      </c>
      <c r="N406" s="32" t="inlineStr">
        <is>
          <t>1.0.0+1 debug</t>
        </is>
      </c>
      <c r="O406" s="32" t="inlineStr">
        <is>
          <t>emulator-5554 / Android 14</t>
        </is>
      </c>
      <c r="P406" s="32" t="n"/>
      <c r="Q406" s="32" t="inlineStr">
        <is>
          <t>Device set to Pacific/Honolulu (3 Oct 22:37 there): appointment cards still read '17 Sep, 10:00 AM' and 'Tomorrow, 6:40 PM' (relative to the hospital's 4 Oct), and slots still show 9:00 AM for an India-time hospital.</t>
        </is>
      </c>
    </row>
    <row r="407" ht="43" customHeight="1">
      <c r="A407" s="27" t="inlineStr">
        <is>
          <t>BL-CORE-005</t>
        </is>
      </c>
      <c r="B407" s="28" t="inlineStr">
        <is>
          <t>Shared rules: money &amp; time</t>
        </is>
      </c>
      <c r="C407" s="28" t="inlineStr">
        <is>
          <t>Hospital time</t>
        </is>
      </c>
      <c r="D407" s="28" t="inlineStr">
        <is>
          <t>Hospitals outside the supported zones</t>
        </is>
      </c>
      <c r="E407" s="28" t="inlineStr">
        <is>
          <t>Use a hospital in a daylight-saving zone (e.g. Europe/London)</t>
        </is>
      </c>
      <c r="F407" s="28" t="inlineStr">
        <is>
          <t>Confirm acceptable: such zones fall back to the device's time (supported: India, UAE, Singapore, Nepal, Sri Lanka, Bangladesh, UTC).</t>
        </is>
      </c>
      <c r="G407" s="29" t="inlineStr">
        <is>
          <t>P3</t>
        </is>
      </c>
      <c r="H407" s="29" t="inlineStr">
        <is>
          <t>Verify gap</t>
        </is>
      </c>
      <c r="I407" s="30" t="inlineStr">
        <is>
          <t>lib/features/booking/domain/hospital_clock.dart:25</t>
        </is>
      </c>
      <c r="J407" s="29" t="inlineStr">
        <is>
          <t>BB-09 (docs/BACKEND_BLOCKERS.md): hospital outside India time</t>
        </is>
      </c>
      <c r="K407" s="31" t="inlineStr">
        <is>
          <t>Blocked</t>
        </is>
      </c>
      <c r="L407" s="32" t="inlineStr">
        <is>
          <t>Claude (adb)</t>
        </is>
      </c>
      <c r="M407" s="33" t="n">
        <v>46299</v>
      </c>
      <c r="N407" s="32" t="inlineStr">
        <is>
          <t>1.0.0+1 debug</t>
        </is>
      </c>
      <c r="O407" s="32" t="inlineStr">
        <is>
          <t>emulator-5554 / Android 14</t>
        </is>
      </c>
      <c r="P407" s="32" t="n"/>
      <c r="Q407" s="32" t="inlineStr">
        <is>
          <t>Seed data: both hospitals are in India time; no hospital in a daylight-saving zone.</t>
        </is>
      </c>
    </row>
    <row r="408" ht="30" customHeight="1">
      <c r="A408" s="27" t="inlineStr">
        <is>
          <t>BL-CORE-006</t>
        </is>
      </c>
      <c r="B408" s="28" t="inlineStr">
        <is>
          <t>Shared rules: money &amp; time</t>
        </is>
      </c>
      <c r="C408" s="28" t="inlineStr">
        <is>
          <t>Hospital time</t>
        </is>
      </c>
      <c r="D408" s="28" t="inlineStr">
        <is>
          <t>Day labels</t>
        </is>
      </c>
      <c r="E408" s="28" t="inlineStr">
        <is>
          <t>Book for today, tomorrow and a later day</t>
        </is>
      </c>
      <c r="F408" s="28" t="inlineStr">
        <is>
          <t>'Today · 22 Sep 2026', 'Tomorrow · …', 'Wed, 24 Sep · …'; times like '9:00 AM'.</t>
        </is>
      </c>
      <c r="G408" s="29" t="inlineStr">
        <is>
          <t>P2</t>
        </is>
      </c>
      <c r="H408" s="29" t="inlineStr">
        <is>
          <t>Calculation</t>
        </is>
      </c>
      <c r="I408" s="30" t="inlineStr">
        <is>
          <t>lib/features/booking/presentation/components/slot_labels.dart:30</t>
        </is>
      </c>
      <c r="J408" s="29" t="n"/>
      <c r="K408" s="31" t="inlineStr">
        <is>
          <t>Pass</t>
        </is>
      </c>
      <c r="L408" s="32" t="inlineStr">
        <is>
          <t>Claude (adb)</t>
        </is>
      </c>
      <c r="M408" s="33" t="n">
        <v>46299</v>
      </c>
      <c r="N408" s="32" t="inlineStr">
        <is>
          <t>1.0.0+1 debug</t>
        </is>
      </c>
      <c r="O408" s="32" t="inlineStr">
        <is>
          <t>emulator-5554 / Android 14</t>
        </is>
      </c>
      <c r="P408" s="32" t="n"/>
      <c r="Q408" s="32" t="inlineStr">
        <is>
          <t>Step 3/4: 'Tue, 13 Oct · 13 Oct 2026 · 9:00 AM'; Home: 'Tomorrow · 9:00 AM'; cards: 'Tomorrow, 9:00 AM'; times without leading zero.</t>
        </is>
      </c>
    </row>
    <row r="409" ht="43" customHeight="1">
      <c r="A409" s="27" t="inlineStr">
        <is>
          <t>BL-CORE-007</t>
        </is>
      </c>
      <c r="B409" s="28" t="inlineStr">
        <is>
          <t>Shared rules: money &amp; time</t>
        </is>
      </c>
      <c r="C409" s="28" t="inlineStr">
        <is>
          <t>Hospital time</t>
        </is>
      </c>
      <c r="D409" s="28" t="inlineStr">
        <is>
          <t>Deadlines trust the device clock</t>
        </is>
      </c>
      <c r="E409" s="28" t="inlineStr">
        <is>
          <t>1. Set the device clock 10 minutes wrong
2. Watch the payment countdown and the 'Pay within' timer</t>
        </is>
      </c>
      <c r="F409" s="28" t="inlineStr">
        <is>
          <t>Server still enforces the real deadline; check the user is not shown time that does not exist (or an early expiry).</t>
        </is>
      </c>
      <c r="G409" s="29" t="inlineStr">
        <is>
          <t>P1</t>
        </is>
      </c>
      <c r="H409" s="29" t="inlineStr">
        <is>
          <t>Verify gap</t>
        </is>
      </c>
      <c r="I409" s="30" t="inlineStr">
        <is>
          <t>lib/features/booking/domain/hospital_clock.dart:25</t>
        </is>
      </c>
      <c r="J409" s="29" t="n"/>
      <c r="K409" s="31" t="inlineStr">
        <is>
          <t>Pass</t>
        </is>
      </c>
      <c r="L409" s="32" t="inlineStr">
        <is>
          <t>Claude (adb)</t>
        </is>
      </c>
      <c r="M409" s="33" t="n">
        <v>46300</v>
      </c>
      <c r="N409" s="32" t="inlineStr">
        <is>
          <t>1.0.0+1 debug</t>
        </is>
      </c>
      <c r="O409" s="32" t="inlineStr">
        <is>
          <t>emulator-5554 / Android 14</t>
        </is>
      </c>
      <c r="P409" s="32" t="inlineStr">
        <is>
          <t>DEF-041</t>
        </is>
      </c>
      <c r="Q409" s="32" t="inlineStr">
        <is>
          <t>PASS (5 Oct 2026 retest, debug build). FIXED: the app learns the server time from each response's Date header and judges the payment deadline on it. Retest: unpaid booking with deadline 16:54:56 UTC; phone clock set 10 minutes fast; payment screen at real 16:51:16 showed '03:39 remaining' (not closed). Clock restored; the test booking lapsed on its own. First observed: With a pending booking whose server deadline was about 4 minutes away, the device clock was set 10 minutes fast: the payment screen immediately showed 'The payment window closed — Unpaid bookings are released after 5 minutes. Nothing has been charged.' while the server still held the booking as pending_payment. The countdown and expiry are computed from the device clock, so a phone with a wrong clock cannot pay (and a slow clock would show time that does not exist).</t>
        </is>
      </c>
    </row>
  </sheetData>
  <autoFilter ref="A1:Q409"/>
  <conditionalFormatting sqref="K2:K1000">
    <cfRule type="cellIs" priority="1" operator="equal" dxfId="3">
      <formula>"Pass"</formula>
    </cfRule>
    <cfRule type="cellIs" priority="2" operator="equal" dxfId="4">
      <formula>"Fail"</formula>
    </cfRule>
    <cfRule type="cellIs" priority="3" operator="equal" dxfId="5">
      <formula>"Blocked"</formula>
    </cfRule>
    <cfRule type="cellIs" priority="4" operator="equal" dxfId="6">
      <formula>"N/A"</formula>
    </cfRule>
  </conditionalFormatting>
  <conditionalFormatting sqref="G2:G1000">
    <cfRule type="cellIs" priority="5" operator="equal" dxfId="7">
      <formula>"P0"</formula>
    </cfRule>
  </conditionalFormatting>
  <conditionalFormatting sqref="P2:P1000">
    <cfRule type="expression" priority="6" dxfId="8">
      <formula>AND($K2="Fail",$P2="")</formula>
    </cfRule>
  </conditionalFormatting>
  <dataValidations count="2">
    <dataValidation sqref="K2:K1000" showDropDown="0" showInputMessage="0" showErrorMessage="0" allowBlank="0" type="list">
      <formula1>"Not Run,Pass,Fail,Blocked,N/A"</formula1>
    </dataValidation>
    <dataValidation sqref="G2:G1000" showDropDown="0" showInputMessage="0" showErrorMessage="0" allowBlank="1" type="list">
      <formula1>"P0,P1,P2,P3"</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Q439"/>
  <sheetViews>
    <sheetView tabSelected="0"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4" customWidth="1" min="2" max="2"/>
    <col width="16" customWidth="1" min="3" max="3"/>
    <col width="34" customWidth="1" min="4" max="4"/>
    <col width="52" customWidth="1" min="5" max="5"/>
    <col width="52" customWidth="1" min="6" max="6"/>
    <col width="9" customWidth="1" min="7" max="7"/>
    <col width="13" customWidth="1" min="8" max="8"/>
    <col width="10" customWidth="1" min="9" max="9"/>
    <col width="13" customWidth="1" min="10" max="10"/>
    <col width="11" customWidth="1" min="11" max="11"/>
    <col width="12" customWidth="1" min="12" max="12"/>
    <col width="12" customWidth="1" min="13" max="13"/>
    <col width="10" customWidth="1" min="14" max="14"/>
    <col width="16" customWidth="1" min="15" max="15"/>
    <col width="11" customWidth="1" min="16" max="16"/>
    <col width="34" customWidth="1" min="17" max="17"/>
  </cols>
  <sheetData>
    <row r="1" ht="30" customHeight="1">
      <c r="A1" s="15" t="inlineStr">
        <is>
          <t>ID</t>
        </is>
      </c>
      <c r="B1" s="15" t="inlineStr">
        <is>
          <t>Module</t>
        </is>
      </c>
      <c r="C1" s="15" t="inlineStr">
        <is>
          <t>Screen / Area</t>
        </is>
      </c>
      <c r="D1" s="15" t="inlineStr">
        <is>
          <t>Test case</t>
        </is>
      </c>
      <c r="E1" s="15" t="inlineStr">
        <is>
          <t>Steps</t>
        </is>
      </c>
      <c r="F1" s="15" t="inlineStr">
        <is>
          <t>Expected result</t>
        </is>
      </c>
      <c r="G1" s="15" t="inlineStr">
        <is>
          <t>Priority</t>
        </is>
      </c>
      <c r="H1" s="15" t="inlineStr">
        <is>
          <t>Type</t>
        </is>
      </c>
      <c r="I1" s="15" t="inlineStr">
        <is>
          <t>Platform</t>
        </is>
      </c>
      <c r="J1" s="15" t="inlineStr">
        <is>
          <t>Needs / Blocker</t>
        </is>
      </c>
      <c r="K1" s="15" t="inlineStr">
        <is>
          <t>Status</t>
        </is>
      </c>
      <c r="L1" s="15" t="inlineStr">
        <is>
          <t>Tester</t>
        </is>
      </c>
      <c r="M1" s="15" t="inlineStr">
        <is>
          <t>Date tested</t>
        </is>
      </c>
      <c r="N1" s="15" t="inlineStr">
        <is>
          <t>Build</t>
        </is>
      </c>
      <c r="O1" s="15" t="inlineStr">
        <is>
          <t>Device / OS</t>
        </is>
      </c>
      <c r="P1" s="15" t="inlineStr">
        <is>
          <t>Defect ID</t>
        </is>
      </c>
      <c r="Q1" s="15" t="inlineStr">
        <is>
          <t>Notes / Actual result</t>
        </is>
      </c>
    </row>
    <row r="2" ht="30" customHeight="1">
      <c r="A2" s="27" t="inlineStr">
        <is>
          <t>ENV-001</t>
        </is>
      </c>
      <c r="B2" s="28" t="inlineStr">
        <is>
          <t>00 Test environment &amp; prerequisites</t>
        </is>
      </c>
      <c r="C2" s="28" t="inlineStr">
        <is>
          <t>Backend</t>
        </is>
      </c>
      <c r="D2" s="28" t="inlineStr">
        <is>
          <t>API reachable over HTTPS with a CA-signed certificate</t>
        </is>
      </c>
      <c r="E2" s="28" t="inlineStr">
        <is>
          <t>1. Run curl against &lt;host&gt;/api/v1/shared/health without -k
2. Open the same URL in a device browser</t>
        </is>
      </c>
      <c r="F2" s="28" t="inlineStr">
        <is>
          <t>200 response, no certificate warning. A self-signed certificate is not acceptable for a production run.</t>
        </is>
      </c>
      <c r="G2" s="29" t="inlineStr">
        <is>
          <t>P0</t>
        </is>
      </c>
      <c r="H2" s="29" t="inlineStr">
        <is>
          <t>Release</t>
        </is>
      </c>
      <c r="I2" s="29" t="inlineStr">
        <is>
          <t>Both</t>
        </is>
      </c>
      <c r="J2" s="29" t="inlineStr">
        <is>
          <t>KB-03</t>
        </is>
      </c>
      <c r="K2" s="31" t="inlineStr">
        <is>
          <t>Blocked</t>
        </is>
      </c>
      <c r="L2" s="32" t="inlineStr">
        <is>
          <t>Claude (adb)</t>
        </is>
      </c>
      <c r="M2" s="33" t="n">
        <v>46300</v>
      </c>
      <c r="N2" s="32" t="inlineStr">
        <is>
          <t>1.0.0+1 debug</t>
        </is>
      </c>
      <c r="O2" s="32" t="inlineStr">
        <is>
          <t>emulator-5554 / Android 14</t>
        </is>
      </c>
      <c r="P2" s="32" t="n"/>
      <c r="Q2" s="32" t="inlineStr">
        <is>
          <t>5 Oct 2026: curl without -k to https://62.171.151.149:8443/api/v1/shared/health fails (HTTP 000): the certificate is self-signed (subject and issuer 'CN=localhost', valid to 1 Jan 2029). Backend blocker BB-23 (KB-03): a CA-signed certificate on a real host name.</t>
        </is>
      </c>
    </row>
    <row r="3" ht="69" customHeight="1">
      <c r="A3" s="27" t="inlineStr">
        <is>
          <t>ENV-002</t>
        </is>
      </c>
      <c r="B3" s="28" t="inlineStr">
        <is>
          <t>00 Test environment &amp; prerequisites</t>
        </is>
      </c>
      <c r="C3" s="28" t="inlineStr">
        <is>
          <t>Build</t>
        </is>
      </c>
      <c r="D3" s="28" t="inlineStr">
        <is>
          <t>Build under test is a release build with production defines</t>
        </is>
      </c>
      <c r="E3" s="28" t="inlineStr">
        <is>
          <t>1. Build with --release and MEDIBOOK_ENV=prod, MEDIBOOK_API_BASE_URL=&lt;prod host&gt;, MEDIBOOK_DEMO=false, MEDIBOOK_ALLOW_BAD_CERT=false
2. Install on a device
3. Record the build number in the Read Me sheet</t>
        </is>
      </c>
      <c r="F3" s="28" t="inlineStr">
        <is>
          <t>App starts and talks to the production/pre-prod host. No debug banner. The integration-server IP is not used.</t>
        </is>
      </c>
      <c r="G3" s="29" t="inlineStr">
        <is>
          <t>P0</t>
        </is>
      </c>
      <c r="H3" s="29" t="inlineStr">
        <is>
          <t>Release</t>
        </is>
      </c>
      <c r="I3" s="29" t="inlineStr">
        <is>
          <t>Both</t>
        </is>
      </c>
      <c r="J3" s="29" t="inlineStr">
        <is>
          <t>KB-07</t>
        </is>
      </c>
      <c r="K3" s="31" t="inlineStr">
        <is>
          <t>Blocked</t>
        </is>
      </c>
      <c r="L3" s="32" t="inlineStr">
        <is>
          <t>Claude (adb)</t>
        </is>
      </c>
      <c r="M3" s="33" t="n">
        <v>46300</v>
      </c>
      <c r="N3" s="32" t="inlineStr">
        <is>
          <t>1.0.0+1 debug</t>
        </is>
      </c>
      <c r="O3" s="32" t="inlineStr">
        <is>
          <t>emulator-5554 / Android 14</t>
        </is>
      </c>
      <c r="P3" s="32" t="n"/>
      <c r="Q3" s="32" t="inlineStr">
        <is>
          <t>5 Oct 2026: No production or pre-production host has been provided, so a --release build with MEDIBOOK_ENV=prod and MEDIBOOK_API_BASE_URL=&lt;prod host&gt; cannot be pointed anywhere. App side is ready: in a prod build the config check refuses demo mode and certificate bypass (see INS-007). Backend blocker BB-24 (KB-07).</t>
        </is>
      </c>
    </row>
    <row r="4" ht="43" customHeight="1">
      <c r="A4" s="27" t="inlineStr">
        <is>
          <t>ENV-003</t>
        </is>
      </c>
      <c r="B4" s="28" t="inlineStr">
        <is>
          <t>00 Test environment &amp; prerequisites</t>
        </is>
      </c>
      <c r="C4" s="28" t="inlineStr">
        <is>
          <t>Payments</t>
        </is>
      </c>
      <c r="D4" s="28" t="inlineStr">
        <is>
          <t>Razorpay keys are configured on the backend</t>
        </is>
      </c>
      <c r="E4" s="28" t="inlineStr">
        <is>
          <t>1. Create a booking
2. Inspect the payment_order in the response (proxy)</t>
        </is>
      </c>
      <c r="F4" s="28" t="inlineStr">
        <is>
          <t>payment_order.key_id is a real rzp_test_/rzp_live_ key and gateway_order_id is a real Razorpay order (not order_fake...).</t>
        </is>
      </c>
      <c r="G4" s="29" t="inlineStr">
        <is>
          <t>P0</t>
        </is>
      </c>
      <c r="H4" s="29" t="inlineStr">
        <is>
          <t>Release</t>
        </is>
      </c>
      <c r="I4" s="29" t="inlineStr">
        <is>
          <t>Both</t>
        </is>
      </c>
      <c r="J4" s="29" t="inlineStr">
        <is>
          <t>KB-02</t>
        </is>
      </c>
      <c r="K4" s="31" t="inlineStr">
        <is>
          <t>Blocked</t>
        </is>
      </c>
      <c r="L4" s="32" t="inlineStr">
        <is>
          <t>Claude (adb)</t>
        </is>
      </c>
      <c r="M4" s="33" t="n">
        <v>46300</v>
      </c>
      <c r="N4" s="32" t="inlineStr">
        <is>
          <t>1.0.0+1 debug</t>
        </is>
      </c>
      <c r="O4" s="32" t="inlineStr">
        <is>
          <t>emulator-5554 / Android 14</t>
        </is>
      </c>
      <c r="P4" s="32" t="n"/>
      <c r="Q4" s="32" t="inlineStr">
        <is>
          <t>5 Oct 2026: A booking's payment_order has key_id '' and gateway_order_id 'order_fake9b2dc0c9fa7447'. Razorpay is still the in-process fake. Backend blocker BB-16 (KB-02).</t>
        </is>
      </c>
    </row>
    <row r="5" ht="30" customHeight="1">
      <c r="A5" s="27" t="inlineStr">
        <is>
          <t>ENV-004</t>
        </is>
      </c>
      <c r="B5" s="28" t="inlineStr">
        <is>
          <t>00 Test environment &amp; prerequisites</t>
        </is>
      </c>
      <c r="C5" s="28" t="inlineStr">
        <is>
          <t>Storage</t>
        </is>
      </c>
      <c r="D5" s="28" t="inlineStr">
        <is>
          <t>File storage host resolves and accepts uploads</t>
        </is>
      </c>
      <c r="E5" s="28" t="inlineStr">
        <is>
          <t>1. POST /shared/files/uploads
2. PUT a file to the returned upload_url</t>
        </is>
      </c>
      <c r="F5" s="28" t="inlineStr">
        <is>
          <t>upload_url points at a resolvable host; PUT returns 2xx; the file reaches status 'clean'.</t>
        </is>
      </c>
      <c r="G5" s="29" t="inlineStr">
        <is>
          <t>P0</t>
        </is>
      </c>
      <c r="H5" s="29" t="inlineStr">
        <is>
          <t>Release</t>
        </is>
      </c>
      <c r="I5" s="29" t="inlineStr">
        <is>
          <t>Both</t>
        </is>
      </c>
      <c r="J5" s="29" t="inlineStr">
        <is>
          <t>KB-01</t>
        </is>
      </c>
      <c r="K5" s="31" t="inlineStr">
        <is>
          <t>Blocked</t>
        </is>
      </c>
      <c r="L5" s="32" t="inlineStr">
        <is>
          <t>Claude (adb)</t>
        </is>
      </c>
      <c r="M5" s="33" t="n">
        <v>46300</v>
      </c>
      <c r="N5" s="32" t="inlineStr">
        <is>
          <t>1.0.0+1 debug</t>
        </is>
      </c>
      <c r="O5" s="32" t="inlineStr">
        <is>
          <t>emulator-5554 / Android 14</t>
        </is>
      </c>
      <c r="P5" s="32" t="n"/>
      <c r="Q5" s="32" t="inlineStr">
        <is>
          <t>5 Oct 2026: POST /shared/files/uploads returns 201, but upload_url points at storage.fake.local, which does not resolve (PUT fails: 'nodename nor servname provided'). Backend blocker BB-17 (KB-01).</t>
        </is>
      </c>
    </row>
    <row r="6" ht="30" customHeight="1">
      <c r="A6" s="27" t="inlineStr">
        <is>
          <t>ENV-005</t>
        </is>
      </c>
      <c r="B6" s="28" t="inlineStr">
        <is>
          <t>00 Test environment &amp; prerequisites</t>
        </is>
      </c>
      <c r="C6" s="28" t="inlineStr">
        <is>
          <t>SMS</t>
        </is>
      </c>
      <c r="D6" s="28" t="inlineStr">
        <is>
          <t>OTP SMS is delivered to real test numbers</t>
        </is>
      </c>
      <c r="E6" s="28" t="inlineStr">
        <is>
          <t>1. Start an OTP login for a test number
2. Wait for the SMS</t>
        </is>
      </c>
      <c r="F6" s="28" t="inlineStr">
        <is>
          <t>SMS arrives within 30 s with a 4-digit code. (India: DLT sender ID and template are registered.)</t>
        </is>
      </c>
      <c r="G6" s="29" t="inlineStr">
        <is>
          <t>P0</t>
        </is>
      </c>
      <c r="H6" s="29" t="inlineStr">
        <is>
          <t>Release</t>
        </is>
      </c>
      <c r="I6" s="29" t="inlineStr">
        <is>
          <t>Both</t>
        </is>
      </c>
      <c r="J6" s="29" t="inlineStr">
        <is>
          <t>KB-05</t>
        </is>
      </c>
      <c r="K6" s="31" t="inlineStr">
        <is>
          <t>Blocked</t>
        </is>
      </c>
      <c r="L6" s="32" t="inlineStr">
        <is>
          <t>Claude (adb)</t>
        </is>
      </c>
      <c r="M6" s="33" t="n">
        <v>46300</v>
      </c>
      <c r="N6" s="32" t="inlineStr">
        <is>
          <t>1.0.0+1 debug</t>
        </is>
      </c>
      <c r="O6" s="32" t="inlineStr">
        <is>
          <t>emulator-5554 / Android 14</t>
        </is>
      </c>
      <c r="P6" s="32" t="n"/>
      <c r="Q6" s="32" t="inlineStr">
        <is>
          <t>5 Oct 2026: No SMS is sent on the integration server and the code is not exposed. Backend blocker BB-01 (KB-05).</t>
        </is>
      </c>
    </row>
    <row r="7" ht="30" customHeight="1">
      <c r="A7" s="27" t="inlineStr">
        <is>
          <t>ENV-006</t>
        </is>
      </c>
      <c r="B7" s="28" t="inlineStr">
        <is>
          <t>00 Test environment &amp; prerequisites</t>
        </is>
      </c>
      <c r="C7" s="28" t="inlineStr">
        <is>
          <t>Push</t>
        </is>
      </c>
      <c r="D7" s="28" t="inlineStr">
        <is>
          <t>Push provider configured for Android and iOS</t>
        </is>
      </c>
      <c r="E7" s="28" t="inlineStr">
        <is>
          <t>Confirm FCM project, APNs key and app registration exist for the release bundle IDs</t>
        </is>
      </c>
      <c r="F7" s="28" t="inlineStr">
        <is>
          <t>A test push sent from the console reaches both platforms.</t>
        </is>
      </c>
      <c r="G7" s="29" t="inlineStr">
        <is>
          <t>P0</t>
        </is>
      </c>
      <c r="H7" s="29" t="inlineStr">
        <is>
          <t>Release</t>
        </is>
      </c>
      <c r="I7" s="29" t="inlineStr">
        <is>
          <t>Both</t>
        </is>
      </c>
      <c r="J7" s="29" t="inlineStr">
        <is>
          <t>KB-04</t>
        </is>
      </c>
      <c r="K7" s="31" t="inlineStr">
        <is>
          <t>Blocked</t>
        </is>
      </c>
      <c r="L7" s="32" t="inlineStr">
        <is>
          <t>Claude (adb)</t>
        </is>
      </c>
      <c r="M7" s="33" t="n">
        <v>46300</v>
      </c>
      <c r="N7" s="32" t="inlineStr">
        <is>
          <t>1.0.0+1 debug</t>
        </is>
      </c>
      <c r="O7" s="32" t="inlineStr">
        <is>
          <t>emulator-5554 / Android 14</t>
        </is>
      </c>
      <c r="P7" s="32" t="n"/>
      <c r="Q7" s="32" t="inlineStr">
        <is>
          <t>5 Oct 2026: The app has no push SDK (no Firebase/FCM in pubspec.yaml; KB-04), and there is no FCM project or APNs key for the release bundle ids. Needs the owner's decision to add Firebase Messaging plus the project's config files (same as BL-NOTIF-017).</t>
        </is>
      </c>
    </row>
    <row r="8" ht="56" customHeight="1">
      <c r="A8" s="27" t="inlineStr">
        <is>
          <t>ENV-007</t>
        </is>
      </c>
      <c r="B8" s="28" t="inlineStr">
        <is>
          <t>00 Test environment &amp; prerequisites</t>
        </is>
      </c>
      <c r="C8" s="28" t="inlineStr">
        <is>
          <t>Test data</t>
        </is>
      </c>
      <c r="D8" s="28" t="inlineStr">
        <is>
          <t>Test accounts are prepared</t>
        </is>
      </c>
      <c r="E8" s="28" t="inlineStr">
        <is>
          <t>Prepare: (a) unregistered mobile number, (b) account with password, (c) OTP-only account, (d) account with 2+ family members, (e) blocked account, (f) account with a completed paid visit, (g) account with a pending deletion request</t>
        </is>
      </c>
      <c r="F8" s="28" t="inlineStr">
        <is>
          <t>All seven accounts exist and their credentials are recorded outside this workbook.</t>
        </is>
      </c>
      <c r="G8" s="29" t="inlineStr">
        <is>
          <t>P0</t>
        </is>
      </c>
      <c r="H8" s="29" t="inlineStr">
        <is>
          <t>Release</t>
        </is>
      </c>
      <c r="I8" s="29" t="inlineStr">
        <is>
          <t>Both</t>
        </is>
      </c>
      <c r="J8" s="29" t="n"/>
      <c r="K8" s="31" t="inlineStr">
        <is>
          <t>Blocked</t>
        </is>
      </c>
      <c r="L8" s="32" t="inlineStr">
        <is>
          <t>Claude (adb)</t>
        </is>
      </c>
      <c r="M8" s="33" t="n">
        <v>46300</v>
      </c>
      <c r="N8" s="32" t="inlineStr">
        <is>
          <t>1.0.0+1 debug</t>
        </is>
      </c>
      <c r="O8" s="32" t="inlineStr">
        <is>
          <t>emulator-5554 / Android 14</t>
        </is>
      </c>
      <c r="P8" s="32" t="n"/>
      <c r="Q8" s="32" t="inlineStr">
        <is>
          <t>5 Oct 2026: Available: (b) password account (Sanjay Varma), (d) 2+ family members (Sanjay: Tara, Ishaan), (f) completed visits (Sanjay: 5 completed). Missing: (a) a usable unregistered number (sign-up needs an OTP, BB-01), (c) OTP-only account (BB-01), (e) blocked account (BB-02), (g) account with a pending deletion request (BB-03, a throwaway account is needed).</t>
        </is>
      </c>
    </row>
    <row r="9" ht="69" customHeight="1">
      <c r="A9" s="27" t="inlineStr">
        <is>
          <t>ENV-008</t>
        </is>
      </c>
      <c r="B9" s="28" t="inlineStr">
        <is>
          <t>00 Test environment &amp; prerequisites</t>
        </is>
      </c>
      <c r="C9" s="28" t="inlineStr">
        <is>
          <t>Test data</t>
        </is>
      </c>
      <c r="D9" s="28" t="inlineStr">
        <is>
          <t>Hospital seed data covers every booking state</t>
        </is>
      </c>
      <c r="E9" s="28" t="inlineStr">
        <is>
          <t>Prepare: hospital with online booking on, hospital with manual approval, hospital with booking off, doctor with free slots today and next 7 days, doctor on leave, a full session, department with no doctors, coupons (valid, expired, minimum-order, usage-capped)</t>
        </is>
      </c>
      <c r="F9" s="28" t="inlineStr">
        <is>
          <t>Every state can be reached from the app without database edits during the run.</t>
        </is>
      </c>
      <c r="G9" s="29" t="inlineStr">
        <is>
          <t>P0</t>
        </is>
      </c>
      <c r="H9" s="29" t="inlineStr">
        <is>
          <t>Release</t>
        </is>
      </c>
      <c r="I9" s="29" t="inlineStr">
        <is>
          <t>Both</t>
        </is>
      </c>
      <c r="J9" s="29" t="n"/>
      <c r="K9" s="31" t="inlineStr">
        <is>
          <t>Blocked</t>
        </is>
      </c>
      <c r="L9" s="32" t="inlineStr">
        <is>
          <t>Claude (adb)</t>
        </is>
      </c>
      <c r="M9" s="33" t="n">
        <v>46300</v>
      </c>
      <c r="N9" s="32" t="inlineStr">
        <is>
          <t>1.0.0+1 debug</t>
        </is>
      </c>
      <c r="O9" s="32" t="inlineStr">
        <is>
          <t>emulator-5554 / Android 14</t>
        </is>
      </c>
      <c r="P9" s="32" t="n"/>
      <c r="Q9" s="32" t="inlineStr">
        <is>
          <t>5 Oct 2026: Seed data lacks several states: hospital with booking off / no free slots (BB-06), doctor on leave or not bookable online (BB-08), known coupons (BB-07), follow-up/date pricing (BB-11). Online booking and free slots for the next days do exist (Dr. Meera Varghese).</t>
        </is>
      </c>
    </row>
    <row r="10" ht="30" customHeight="1">
      <c r="A10" s="27" t="inlineStr">
        <is>
          <t>ENV-009</t>
        </is>
      </c>
      <c r="B10" s="28" t="inlineStr">
        <is>
          <t>00 Test environment &amp; prerequisites</t>
        </is>
      </c>
      <c r="C10" s="28" t="inlineStr">
        <is>
          <t>Test data</t>
        </is>
      </c>
      <c r="D10" s="28" t="inlineStr">
        <is>
          <t>Hospital desk user available to run a live session</t>
        </is>
      </c>
      <c r="E10" s="28" t="inlineStr">
        <is>
          <t>Arrange a staff login that can open a session, call tokens, pause, complete and mark no-show</t>
        </is>
      </c>
      <c r="F10" s="28" t="inlineStr">
        <is>
          <t>A tester can drive the queue while a second tester watches the patient app.</t>
        </is>
      </c>
      <c r="G10" s="29" t="inlineStr">
        <is>
          <t>P1</t>
        </is>
      </c>
      <c r="H10" s="29" t="inlineStr">
        <is>
          <t>Release</t>
        </is>
      </c>
      <c r="I10" s="29" t="inlineStr">
        <is>
          <t>Both</t>
        </is>
      </c>
      <c r="J10" s="29" t="inlineStr">
        <is>
          <t>KB-08</t>
        </is>
      </c>
      <c r="K10" s="31" t="inlineStr">
        <is>
          <t>Blocked</t>
        </is>
      </c>
      <c r="L10" s="32" t="inlineStr">
        <is>
          <t>Claude (adb)</t>
        </is>
      </c>
      <c r="M10" s="33" t="n">
        <v>46300</v>
      </c>
      <c r="N10" s="32" t="inlineStr">
        <is>
          <t>1.0.0+1 debug</t>
        </is>
      </c>
      <c r="O10" s="32" t="inlineStr">
        <is>
          <t>emulator-5554 / Android 14</t>
        </is>
      </c>
      <c r="P10" s="32" t="n"/>
      <c r="Q10" s="32" t="inlineStr">
        <is>
          <t>5 Oct 2026: No hospital desk user yet (KB-08). Left until the hospital web app is ready, per the owner's instruction.</t>
        </is>
      </c>
    </row>
    <row r="11" ht="56" customHeight="1">
      <c r="A11" s="27" t="inlineStr">
        <is>
          <t>ENV-010</t>
        </is>
      </c>
      <c r="B11" s="28" t="inlineStr">
        <is>
          <t>00 Test environment &amp; prerequisites</t>
        </is>
      </c>
      <c r="C11" s="28" t="inlineStr">
        <is>
          <t>Tools</t>
        </is>
      </c>
      <c r="D11" s="28" t="inlineStr">
        <is>
          <t>Test devices and tooling ready</t>
        </is>
      </c>
      <c r="E11" s="28" t="inlineStr">
        <is>
          <t>1. Collect the devices in the Device Matrix sheet
2. Install a proxy (Charles/Proxyman/mitmproxy) and a network throttler
3. Enable adb / Xcode console access</t>
        </is>
      </c>
      <c r="F11" s="28" t="inlineStr">
        <is>
          <t>All devices charged and enrolled; proxy can observe traffic on a debug/profile build for the NET and SEC cases.</t>
        </is>
      </c>
      <c r="G11" s="29" t="inlineStr">
        <is>
          <t>P1</t>
        </is>
      </c>
      <c r="H11" s="29" t="inlineStr">
        <is>
          <t>Release</t>
        </is>
      </c>
      <c r="I11" s="29" t="inlineStr">
        <is>
          <t>Both</t>
        </is>
      </c>
      <c r="J11" s="29" t="n"/>
      <c r="K11" s="31" t="inlineStr">
        <is>
          <t>Blocked</t>
        </is>
      </c>
      <c r="L11" s="32" t="inlineStr">
        <is>
          <t>Claude (adb)</t>
        </is>
      </c>
      <c r="M11" s="33" t="n">
        <v>46300</v>
      </c>
      <c r="N11" s="32" t="inlineStr">
        <is>
          <t>1.0.0+1 debug</t>
        </is>
      </c>
      <c r="O11" s="32" t="inlineStr">
        <is>
          <t>emulator-5554 / Android 14</t>
        </is>
      </c>
      <c r="P11" s="32" t="n"/>
      <c r="Q11" s="32" t="inlineStr">
        <is>
          <t>5 Oct 2026: Tooling is ready on the test machine: adb on emulator-5554 (rooted), a pass-through recording proxy for the NET/SEC cases, airplane mode and iptables for network faults. Missing: the physical devices in the Device Matrix sheet; only the Android 14 emulator is available for this run.</t>
        </is>
      </c>
    </row>
    <row r="12" ht="69" customHeight="1">
      <c r="A12" s="27" t="inlineStr">
        <is>
          <t>E2E-001</t>
        </is>
      </c>
      <c r="B12" s="28" t="inlineStr">
        <is>
          <t>01 End-to-end journeys (run first)</t>
        </is>
      </c>
      <c r="C12" s="28" t="inlineStr">
        <is>
          <t>Journey 1</t>
        </is>
      </c>
      <c r="D12" s="28" t="inlineStr">
        <is>
          <t>New patient: install to Home</t>
        </is>
      </c>
      <c r="E12" s="28" t="inlineStr">
        <is>
          <t>1. Fresh install
2. Swipe through onboarding
3. Accept terms on the consent screen
4. Sign up with a new mobile number
5. Enter the OTP</t>
        </is>
      </c>
      <c r="F12" s="28" t="inlineStr">
        <is>
          <t>User lands on Home, greeted by first name. Profile shows the entered details. Relaunch goes straight to Home.</t>
        </is>
      </c>
      <c r="G12" s="29" t="inlineStr">
        <is>
          <t>P0</t>
        </is>
      </c>
      <c r="H12" s="29" t="inlineStr">
        <is>
          <t>Functional</t>
        </is>
      </c>
      <c r="I12" s="29" t="inlineStr">
        <is>
          <t>Both</t>
        </is>
      </c>
      <c r="J12" s="29" t="inlineStr">
        <is>
          <t>KB-05</t>
        </is>
      </c>
      <c r="K12" s="31" t="inlineStr">
        <is>
          <t>Blocked</t>
        </is>
      </c>
      <c r="L12" s="32" t="inlineStr">
        <is>
          <t>Claude (adb)</t>
        </is>
      </c>
      <c r="M12" s="33" t="n">
        <v>46300</v>
      </c>
      <c r="N12" s="32" t="inlineStr">
        <is>
          <t>1.0.0+1 debug</t>
        </is>
      </c>
      <c r="O12" s="32" t="inlineStr">
        <is>
          <t>emulator-5554 / Android 14</t>
        </is>
      </c>
      <c r="P12" s="32" t="n"/>
      <c r="Q12" s="32" t="inlineStr">
        <is>
          <t>5 Oct 2026: Sign-up needs the OTP sent to the new number; no SMS is sent and the code is not exposed on the integration server. BB-01 (KB-05). Onboarding and consent steps work (see ONB rows).</t>
        </is>
      </c>
    </row>
    <row r="13" ht="69" customHeight="1">
      <c r="A13" s="27" t="inlineStr">
        <is>
          <t>E2E-002</t>
        </is>
      </c>
      <c r="B13" s="28" t="inlineStr">
        <is>
          <t>01 End-to-end journeys (run first)</t>
        </is>
      </c>
      <c r="C13" s="28" t="inlineStr">
        <is>
          <t>Journey 2</t>
        </is>
      </c>
      <c r="D13" s="28" t="inlineStr">
        <is>
          <t>Book and pay for myself</t>
        </is>
      </c>
      <c r="E13" s="28" t="inlineStr">
        <is>
          <t>1. Home &gt; pick a department
2. Choose hospital, doctor, date and slot
3. Select yourself as patient
4. Review the fee
5. Confirm and pay with a Razorpay test method</t>
        </is>
      </c>
      <c r="F13" s="28" t="inlineStr">
        <is>
          <t>Success screen shows the server booking reference and token. Appointment appears under Upcoming as confirmed and paid. A confirmation notification arrives.</t>
        </is>
      </c>
      <c r="G13" s="29" t="inlineStr">
        <is>
          <t>P0</t>
        </is>
      </c>
      <c r="H13" s="29" t="inlineStr">
        <is>
          <t>Functional</t>
        </is>
      </c>
      <c r="I13" s="29" t="inlineStr">
        <is>
          <t>Both</t>
        </is>
      </c>
      <c r="J13" s="29" t="inlineStr">
        <is>
          <t>KB-02</t>
        </is>
      </c>
      <c r="K13" s="31" t="inlineStr">
        <is>
          <t>Blocked</t>
        </is>
      </c>
      <c r="L13" s="32" t="inlineStr">
        <is>
          <t>Claude (adb)</t>
        </is>
      </c>
      <c r="M13" s="33" t="n">
        <v>46300</v>
      </c>
      <c r="N13" s="32" t="inlineStr">
        <is>
          <t>1.0.0+1 debug</t>
        </is>
      </c>
      <c r="O13" s="32" t="inlineStr">
        <is>
          <t>emulator-5554 / Android 14</t>
        </is>
      </c>
      <c r="P13" s="32" t="n"/>
      <c r="Q13" s="32" t="inlineStr">
        <is>
          <t>5 Oct 2026: Booking up to the payment step works (Dr. Meera Varghese, 7 Oct, Sanjay, total ₹424), but payment cannot be made: Razorpay is the in-process fake (key_id empty). BB-16 (KB-02).</t>
        </is>
      </c>
    </row>
    <row r="14" ht="56" customHeight="1">
      <c r="A14" s="27" t="inlineStr">
        <is>
          <t>E2E-003</t>
        </is>
      </c>
      <c r="B14" s="28" t="inlineStr">
        <is>
          <t>01 End-to-end journeys (run first)</t>
        </is>
      </c>
      <c r="C14" s="28" t="inlineStr">
        <is>
          <t>Journey 3</t>
        </is>
      </c>
      <c r="D14" s="28" t="inlineStr">
        <is>
          <t>Book for a family member with a coupon</t>
        </is>
      </c>
      <c r="E14" s="28" t="inlineStr">
        <is>
          <t>1. Add a family member
2. Start a booking and choose that member
3. Apply a valid coupon
4. Pay</t>
        </is>
      </c>
      <c r="F14" s="28" t="inlineStr">
        <is>
          <t>Discount line appears and the amount charged equals the discounted total. Appointment shows the family member as patient.</t>
        </is>
      </c>
      <c r="G14" s="29" t="inlineStr">
        <is>
          <t>P0</t>
        </is>
      </c>
      <c r="H14" s="29" t="inlineStr">
        <is>
          <t>Functional</t>
        </is>
      </c>
      <c r="I14" s="29" t="inlineStr">
        <is>
          <t>Both</t>
        </is>
      </c>
      <c r="J14" s="29" t="inlineStr">
        <is>
          <t>KB-02</t>
        </is>
      </c>
      <c r="K14" s="31" t="inlineStr">
        <is>
          <t>Blocked</t>
        </is>
      </c>
      <c r="L14" s="32" t="inlineStr">
        <is>
          <t>Claude (adb)</t>
        </is>
      </c>
      <c r="M14" s="33" t="n">
        <v>46300</v>
      </c>
      <c r="N14" s="32" t="inlineStr">
        <is>
          <t>1.0.0+1 debug</t>
        </is>
      </c>
      <c r="O14" s="32" t="inlineStr">
        <is>
          <t>emulator-5554 / Android 14</t>
        </is>
      </c>
      <c r="P14" s="32" t="n"/>
      <c r="Q14" s="32" t="inlineStr">
        <is>
          <t>5 Oct 2026: Needs a real payment (BB-16, KB-02) and a known coupon code (BB-07).</t>
        </is>
      </c>
    </row>
    <row r="15" ht="69" customHeight="1">
      <c r="A15" s="27" t="inlineStr">
        <is>
          <t>E2E-004</t>
        </is>
      </c>
      <c r="B15" s="28" t="inlineStr">
        <is>
          <t>01 End-to-end journeys (run first)</t>
        </is>
      </c>
      <c r="C15" s="28" t="inlineStr">
        <is>
          <t>Journey 4</t>
        </is>
      </c>
      <c r="D15" s="28" t="inlineStr">
        <is>
          <t>Visit day: queue to receipt to review</t>
        </is>
      </c>
      <c r="E15" s="28" t="inlineStr">
        <is>
          <t>1. With a booking for today, open Live queue
2. Desk user opens the session and calls tokens up to yours
3. Desk completes the consultation
4. Open the receipt
5. Rate the visit</t>
        </is>
      </c>
      <c r="F15" s="28" t="inlineStr">
        <is>
          <t>Queue updates live; 'your turn' alert appears when the token is called; appointment moves to Completed; receipt shows correct lines and GST; rating is saved and the Rate button disappears.</t>
        </is>
      </c>
      <c r="G15" s="29" t="inlineStr">
        <is>
          <t>P0</t>
        </is>
      </c>
      <c r="H15" s="29" t="inlineStr">
        <is>
          <t>Functional</t>
        </is>
      </c>
      <c r="I15" s="29" t="inlineStr">
        <is>
          <t>Both</t>
        </is>
      </c>
      <c r="J15" s="29" t="inlineStr">
        <is>
          <t>KB-02, KB-08</t>
        </is>
      </c>
      <c r="K15" s="31" t="inlineStr">
        <is>
          <t>Blocked</t>
        </is>
      </c>
      <c r="L15" s="32" t="inlineStr">
        <is>
          <t>Claude (adb)</t>
        </is>
      </c>
      <c r="M15" s="33" t="n">
        <v>46300</v>
      </c>
      <c r="N15" s="32" t="inlineStr">
        <is>
          <t>1.0.0+1 debug</t>
        </is>
      </c>
      <c r="O15" s="32" t="inlineStr">
        <is>
          <t>emulator-5554 / Android 14</t>
        </is>
      </c>
      <c r="P15" s="32" t="n"/>
      <c r="Q15" s="32" t="inlineStr">
        <is>
          <t>5 Oct 2026: Needs a paid booking for today (BB-16, KB-02) and a desk user to run the queue (KB-08, left until the hospital web app is ready).</t>
        </is>
      </c>
    </row>
    <row r="16" ht="56" customHeight="1">
      <c r="A16" s="27" t="inlineStr">
        <is>
          <t>E2E-005</t>
        </is>
      </c>
      <c r="B16" s="28" t="inlineStr">
        <is>
          <t>01 End-to-end journeys (run first)</t>
        </is>
      </c>
      <c r="C16" s="28" t="inlineStr">
        <is>
          <t>Journey 5</t>
        </is>
      </c>
      <c r="D16" s="28" t="inlineStr">
        <is>
          <t>Cancel a paid appointment and receive a refund</t>
        </is>
      </c>
      <c r="E16" s="28" t="inlineStr">
        <is>
          <t>1. Open an upcoming paid appointment
2. Tap Cancel
3. Read the refund preview
4. Confirm</t>
        </is>
      </c>
      <c r="F16" s="28" t="inlineStr">
        <is>
          <t>Refund amount in the preview matches the hospital policy; appointment moves to Cancelled; refund record shows with a status; the slot is bookable again.</t>
        </is>
      </c>
      <c r="G16" s="29" t="inlineStr">
        <is>
          <t>P0</t>
        </is>
      </c>
      <c r="H16" s="29" t="inlineStr">
        <is>
          <t>Functional</t>
        </is>
      </c>
      <c r="I16" s="29" t="inlineStr">
        <is>
          <t>Both</t>
        </is>
      </c>
      <c r="J16" s="29" t="inlineStr">
        <is>
          <t>KB-02</t>
        </is>
      </c>
      <c r="K16" s="31" t="inlineStr">
        <is>
          <t>Blocked</t>
        </is>
      </c>
      <c r="L16" s="32" t="inlineStr">
        <is>
          <t>Claude (adb)</t>
        </is>
      </c>
      <c r="M16" s="33" t="n">
        <v>46300</v>
      </c>
      <c r="N16" s="32" t="inlineStr">
        <is>
          <t>1.0.0+1 debug</t>
        </is>
      </c>
      <c r="O16" s="32" t="inlineStr">
        <is>
          <t>emulator-5554 / Android 14</t>
        </is>
      </c>
      <c r="P16" s="32" t="n"/>
      <c r="Q16" s="32" t="inlineStr">
        <is>
          <t>5 Oct 2026: No paid appointment can be made to cancel and refund (BB-16, KB-02).</t>
        </is>
      </c>
    </row>
    <row r="17" ht="95" customHeight="1">
      <c r="A17" s="27" t="inlineStr">
        <is>
          <t>E2E-006</t>
        </is>
      </c>
      <c r="B17" s="28" t="inlineStr">
        <is>
          <t>01 End-to-end journeys (run first)</t>
        </is>
      </c>
      <c r="C17" s="28" t="inlineStr">
        <is>
          <t>Journey 6</t>
        </is>
      </c>
      <c r="D17" s="28" t="inlineStr">
        <is>
          <t>Health record lifecycle</t>
        </is>
      </c>
      <c r="E17" s="28" t="inlineStr">
        <is>
          <t>1. Records &gt; Add record
2. Attach a PDF, fill title, type, date and person
3. Save
4. Open it
5. Download
6. Edit the title
7. Delete</t>
        </is>
      </c>
      <c r="F17" s="28" t="inlineStr">
        <is>
          <t>Upload completes after the virus scan, document opens and downloads, edit is saved, delete removes it from the list.</t>
        </is>
      </c>
      <c r="G17" s="29" t="inlineStr">
        <is>
          <t>P0</t>
        </is>
      </c>
      <c r="H17" s="29" t="inlineStr">
        <is>
          <t>Functional</t>
        </is>
      </c>
      <c r="I17" s="29" t="inlineStr">
        <is>
          <t>Both</t>
        </is>
      </c>
      <c r="J17" s="29" t="inlineStr">
        <is>
          <t>KB-01</t>
        </is>
      </c>
      <c r="K17" s="31" t="inlineStr">
        <is>
          <t>Blocked</t>
        </is>
      </c>
      <c r="L17" s="32" t="inlineStr">
        <is>
          <t>Claude (adb)</t>
        </is>
      </c>
      <c r="M17" s="33" t="n">
        <v>46300</v>
      </c>
      <c r="N17" s="32" t="inlineStr">
        <is>
          <t>1.0.0+1 debug</t>
        </is>
      </c>
      <c r="O17" s="32" t="inlineStr">
        <is>
          <t>emulator-5554 / Android 14</t>
        </is>
      </c>
      <c r="P17" s="32" t="n"/>
      <c r="Q17" s="32" t="inlineStr">
        <is>
          <t>5 Oct 2026: Upload links point at storage.fake.local, which does not resolve. BB-17 (KB-01).</t>
        </is>
      </c>
    </row>
    <row r="18" ht="56" customHeight="1">
      <c r="A18" s="27" t="inlineStr">
        <is>
          <t>E2E-007</t>
        </is>
      </c>
      <c r="B18" s="28" t="inlineStr">
        <is>
          <t>01 End-to-end journeys (run first)</t>
        </is>
      </c>
      <c r="C18" s="28" t="inlineStr">
        <is>
          <t>Journey 7</t>
        </is>
      </c>
      <c r="D18" s="28" t="inlineStr">
        <is>
          <t>Returning user after app kill</t>
        </is>
      </c>
      <c r="E18" s="28" t="inlineStr">
        <is>
          <t>1. Sign in
2. Use the app
3. Force-stop the app
4. Relaunch</t>
        </is>
      </c>
      <c r="F18" s="28" t="inlineStr">
        <is>
          <t>Splash then Home with no flash of the sign-in screen. Cached content appears immediately and refreshes in the background.</t>
        </is>
      </c>
      <c r="G18" s="29" t="inlineStr">
        <is>
          <t>P0</t>
        </is>
      </c>
      <c r="H18" s="29" t="inlineStr">
        <is>
          <t>Functional</t>
        </is>
      </c>
      <c r="I18" s="29" t="inlineStr">
        <is>
          <t>Both</t>
        </is>
      </c>
      <c r="J18" s="29" t="n"/>
      <c r="K18" s="31" t="inlineStr">
        <is>
          <t>Pass</t>
        </is>
      </c>
      <c r="L18" s="32" t="inlineStr">
        <is>
          <t>Claude (adb)</t>
        </is>
      </c>
      <c r="M18" s="33" t="n">
        <v>46300</v>
      </c>
      <c r="N18" s="32" t="inlineStr">
        <is>
          <t>1.0.0+1 debug</t>
        </is>
      </c>
      <c r="O18" s="32" t="inlineStr">
        <is>
          <t>emulator-5554 / Android 14</t>
        </is>
      </c>
      <c r="P18" s="32" t="n"/>
      <c r="Q18" s="32" t="inlineStr">
        <is>
          <t>5 Oct 2026: Signed in as Sanjay, force-stopped, relaunched: sampled the screen every ~1 s; Home ('Welcome back, Sanjay!') from the first sample, never the sign-in screen. Cached Home content shown at once.</t>
        </is>
      </c>
    </row>
    <row r="19" ht="69" customHeight="1">
      <c r="A19" s="27" t="inlineStr">
        <is>
          <t>E2E-008</t>
        </is>
      </c>
      <c r="B19" s="28" t="inlineStr">
        <is>
          <t>01 End-to-end journeys (run first)</t>
        </is>
      </c>
      <c r="C19" s="28" t="inlineStr">
        <is>
          <t>Journey 8</t>
        </is>
      </c>
      <c r="D19" s="28" t="inlineStr">
        <is>
          <t>Forgot password</t>
        </is>
      </c>
      <c r="E19" s="28" t="inlineStr">
        <is>
          <t>1. Login &gt; Forgot password
2. Enter the mobile number
3. Enter the OTP
4. Set a new password
5. Sign in</t>
        </is>
      </c>
      <c r="F19" s="28" t="inlineStr">
        <is>
          <t>Reset succeeds, user is sent to sign-in, the new password works and the old one does not. Other signed-in devices are signed out.</t>
        </is>
      </c>
      <c r="G19" s="29" t="inlineStr">
        <is>
          <t>P0</t>
        </is>
      </c>
      <c r="H19" s="29" t="inlineStr">
        <is>
          <t>Functional</t>
        </is>
      </c>
      <c r="I19" s="29" t="inlineStr">
        <is>
          <t>Both</t>
        </is>
      </c>
      <c r="J19" s="29" t="inlineStr">
        <is>
          <t>KB-05</t>
        </is>
      </c>
      <c r="K19" s="31" t="inlineStr">
        <is>
          <t>Blocked</t>
        </is>
      </c>
      <c r="L19" s="32" t="inlineStr">
        <is>
          <t>Claude (adb)</t>
        </is>
      </c>
      <c r="M19" s="33" t="n">
        <v>46300</v>
      </c>
      <c r="N19" s="32" t="inlineStr">
        <is>
          <t>1.0.0+1 debug</t>
        </is>
      </c>
      <c r="O19" s="32" t="inlineStr">
        <is>
          <t>emulator-5554 / Android 14</t>
        </is>
      </c>
      <c r="P19" s="32" t="n"/>
      <c r="Q19" s="32" t="inlineStr">
        <is>
          <t>5 Oct 2026: The reset needs the OTP sent by SMS; not obtainable on the integration server. BB-01 (KB-05).</t>
        </is>
      </c>
    </row>
    <row r="20" ht="69" customHeight="1">
      <c r="A20" s="27" t="inlineStr">
        <is>
          <t>E2E-009</t>
        </is>
      </c>
      <c r="B20" s="28" t="inlineStr">
        <is>
          <t>01 End-to-end journeys (run first)</t>
        </is>
      </c>
      <c r="C20" s="28" t="inlineStr">
        <is>
          <t>Journey 9</t>
        </is>
      </c>
      <c r="D20" s="28" t="inlineStr">
        <is>
          <t>Offline and back</t>
        </is>
      </c>
      <c r="E20" s="28" t="inlineStr">
        <is>
          <t>1. Load Home, Appointments and Records online
2. Turn on airplane mode
3. Browse the same screens
4. Try to book
5. Turn airplane mode off</t>
        </is>
      </c>
      <c r="F20" s="28" t="inlineStr">
        <is>
          <t>Saved data is shown with an offline indication; booking is refused with a clear message (no crash, no duplicate); everything refreshes when the connection returns.</t>
        </is>
      </c>
      <c r="G20" s="29" t="inlineStr">
        <is>
          <t>P0</t>
        </is>
      </c>
      <c r="H20" s="29" t="inlineStr">
        <is>
          <t>Offline</t>
        </is>
      </c>
      <c r="I20" s="29" t="inlineStr">
        <is>
          <t>Both</t>
        </is>
      </c>
      <c r="J20" s="29" t="n"/>
      <c r="K20" s="31" t="inlineStr">
        <is>
          <t>Pass</t>
        </is>
      </c>
      <c r="L20" s="32" t="inlineStr">
        <is>
          <t>Claude (adb)</t>
        </is>
      </c>
      <c r="M20" s="33" t="n">
        <v>46300</v>
      </c>
      <c r="N20" s="32" t="inlineStr">
        <is>
          <t>1.0.0+1 debug</t>
        </is>
      </c>
      <c r="O20" s="32" t="inlineStr">
        <is>
          <t>emulator-5554 / Android 14</t>
        </is>
      </c>
      <c r="P20" s="32" t="inlineStr">
        <is>
          <t>DEF-075</t>
        </is>
      </c>
      <c r="Q20" s="32" t="inlineStr">
        <is>
          <t>5 Oct 2026: FIXED two issues (DEF-075, DEF-076). Home, Appointments, Records loaded online; airplane mode on: Home shows saved data, Records shows the Offline mark, Canceled tab shows "You're offline. Showing data from 6 minutes ago." with its cards. Found: the Upcoming tab (empty online) showed an error screen offline -&gt; now 'Nothing here yet' under the offline line (DEF-075). Found: Pay offline spun 3 s then said 'This is taking longer than usual' -&gt; now at once 'You appear to be offline. Check your connection and try again.' (DEF-076). Appointment count on the server stayed 34 (no booking, no duplicate). Back online the screens refresh.</t>
        </is>
      </c>
    </row>
    <row r="21" ht="56" customHeight="1">
      <c r="A21" s="27" t="inlineStr">
        <is>
          <t>E2E-010</t>
        </is>
      </c>
      <c r="B21" s="28" t="inlineStr">
        <is>
          <t>01 End-to-end journeys (run first)</t>
        </is>
      </c>
      <c r="C21" s="28" t="inlineStr">
        <is>
          <t>Journey 10</t>
        </is>
      </c>
      <c r="D21" s="28" t="inlineStr">
        <is>
          <t>Support ticket</t>
        </is>
      </c>
      <c r="E21" s="28" t="inlineStr">
        <is>
          <t>1. Profile &gt; Help &amp; Support
2. Raise a request with category, subject and description
3. Open the ticket
4. Send a reply</t>
        </is>
      </c>
      <c r="F21" s="28" t="inlineStr">
        <is>
          <t>Ticket is created with a ticket number, appears in the list, and the reply shows in the thread.</t>
        </is>
      </c>
      <c r="G21" s="29" t="inlineStr">
        <is>
          <t>P1</t>
        </is>
      </c>
      <c r="H21" s="29" t="inlineStr">
        <is>
          <t>Functional</t>
        </is>
      </c>
      <c r="I21" s="29" t="inlineStr">
        <is>
          <t>Both</t>
        </is>
      </c>
      <c r="J21" s="29" t="n"/>
      <c r="K21" s="31" t="inlineStr">
        <is>
          <t>Pass</t>
        </is>
      </c>
      <c r="L21" s="32" t="inlineStr">
        <is>
          <t>Claude (adb)</t>
        </is>
      </c>
      <c r="M21" s="33" t="n">
        <v>46300</v>
      </c>
      <c r="N21" s="32" t="inlineStr">
        <is>
          <t>1.0.0+1 debug</t>
        </is>
      </c>
      <c r="O21" s="32" t="inlineStr">
        <is>
          <t>emulator-5554 / Android 14</t>
        </is>
      </c>
      <c r="P21" s="32" t="n"/>
      <c r="Q21" s="32" t="inlineStr">
        <is>
          <t>5 Oct 2026: Help &amp; Support &gt; Raise a request: category 'App or technical problem', subject and description &gt; Send Request -&gt; TKT-2026-0023 opened (Open, Normal priority); reply 'Test reply from the app.' shows in the thread; My requests lists TKT-2026-0023 at the top.</t>
        </is>
      </c>
    </row>
    <row r="22" ht="56" customHeight="1">
      <c r="A22" s="27" t="inlineStr">
        <is>
          <t>E2E-011</t>
        </is>
      </c>
      <c r="B22" s="28" t="inlineStr">
        <is>
          <t>01 End-to-end journeys (run first)</t>
        </is>
      </c>
      <c r="C22" s="28" t="inlineStr">
        <is>
          <t>Journey 11</t>
        </is>
      </c>
      <c r="D22" s="28" t="inlineStr">
        <is>
          <t>Account deletion and reactivation</t>
        </is>
      </c>
      <c r="E22" s="28" t="inlineStr">
        <is>
          <t>1. Profile &gt; Delete account
2. Give a reason and confirm
3. Observe the pending state
4. Reactivate</t>
        </is>
      </c>
      <c r="F22" s="28" t="inlineStr">
        <is>
          <t>Request number and the cooling-off end date are shown; account shows as pending deletion; Reactivate restores it to active.</t>
        </is>
      </c>
      <c r="G22" s="29" t="inlineStr">
        <is>
          <t>P0</t>
        </is>
      </c>
      <c r="H22" s="29" t="inlineStr">
        <is>
          <t>Functional</t>
        </is>
      </c>
      <c r="I22" s="29" t="inlineStr">
        <is>
          <t>Both</t>
        </is>
      </c>
      <c r="J22" s="29" t="n"/>
      <c r="K22" s="31" t="inlineStr">
        <is>
          <t>Blocked</t>
        </is>
      </c>
      <c r="L22" s="32" t="inlineStr">
        <is>
          <t>Claude (adb)</t>
        </is>
      </c>
      <c r="M22" s="33" t="n">
        <v>46300</v>
      </c>
      <c r="N22" s="32" t="inlineStr">
        <is>
          <t>1.0.0+1 debug</t>
        </is>
      </c>
      <c r="O22" s="32" t="inlineStr">
        <is>
          <t>emulator-5554 / Android 14</t>
        </is>
      </c>
      <c r="P22" s="32" t="n"/>
      <c r="Q22" s="32" t="inlineStr">
        <is>
          <t>5 Oct 2026: Would put the shared test account (Sanjay) into pending deletion. Needs a throwaway patient account that is ours to change. BB-03.</t>
        </is>
      </c>
    </row>
    <row r="23" ht="43" customHeight="1">
      <c r="A23" s="27" t="inlineStr">
        <is>
          <t>E2E-012</t>
        </is>
      </c>
      <c r="B23" s="28" t="inlineStr">
        <is>
          <t>01 End-to-end journeys (run first)</t>
        </is>
      </c>
      <c r="C23" s="28" t="inlineStr">
        <is>
          <t>Journey 12</t>
        </is>
      </c>
      <c r="D23" s="28" t="inlineStr">
        <is>
          <t>Sign out and sign back in with OTP</t>
        </is>
      </c>
      <c r="E23" s="28" t="inlineStr">
        <is>
          <t>1. Profile &gt; Log out
2. Confirm
3. Sign in with mobile + OTP</t>
        </is>
      </c>
      <c r="F23" s="28" t="inlineStr">
        <is>
          <t>Logout returns to sign-in and Back does not reveal signed-in screens. OTP sign-in lands on Home with the same data.</t>
        </is>
      </c>
      <c r="G23" s="29" t="inlineStr">
        <is>
          <t>P0</t>
        </is>
      </c>
      <c r="H23" s="29" t="inlineStr">
        <is>
          <t>Functional</t>
        </is>
      </c>
      <c r="I23" s="29" t="inlineStr">
        <is>
          <t>Both</t>
        </is>
      </c>
      <c r="J23" s="29" t="inlineStr">
        <is>
          <t>KB-05</t>
        </is>
      </c>
      <c r="K23" s="31" t="inlineStr">
        <is>
          <t>Blocked</t>
        </is>
      </c>
      <c r="L23" s="32" t="inlineStr">
        <is>
          <t>Claude (adb)</t>
        </is>
      </c>
      <c r="M23" s="33" t="n">
        <v>46300</v>
      </c>
      <c r="N23" s="32" t="inlineStr">
        <is>
          <t>1.0.0+1 debug</t>
        </is>
      </c>
      <c r="O23" s="32" t="inlineStr">
        <is>
          <t>emulator-5554 / Android 14</t>
        </is>
      </c>
      <c r="P23" s="32" t="n"/>
      <c r="Q23" s="32" t="inlineStr">
        <is>
          <t>5 Oct 2026: Logout part passes: Profile &gt; Logout &gt; Log Out -&gt; sign-in screen; Back leaves the app; relaunch and the medibook://appointments link both land on sign-in. OTP sign-in cannot be done: no OTP on the integration server, BB-01 (KB-05). Signed back in with the password.</t>
        </is>
      </c>
    </row>
    <row r="24" ht="43" customHeight="1">
      <c r="A24" s="27" t="inlineStr">
        <is>
          <t>INS-001</t>
        </is>
      </c>
      <c r="B24" s="28" t="inlineStr">
        <is>
          <t>02 Install, launch &amp; bootstrap</t>
        </is>
      </c>
      <c r="C24" s="28" t="inlineStr">
        <is>
          <t>Install</t>
        </is>
      </c>
      <c r="D24" s="28" t="inlineStr">
        <is>
          <t>Fresh install of the release build launches</t>
        </is>
      </c>
      <c r="E24" s="28" t="inlineStr">
        <is>
          <t>1. Install the signed release build (Play internal track / TestFlight)
2. Tap the icon</t>
        </is>
      </c>
      <c r="F24" s="28" t="inlineStr">
        <is>
          <t>App opens without a crash or ANR.</t>
        </is>
      </c>
      <c r="G24" s="29" t="inlineStr">
        <is>
          <t>P0</t>
        </is>
      </c>
      <c r="H24" s="29" t="inlineStr">
        <is>
          <t>Functional</t>
        </is>
      </c>
      <c r="I24" s="29" t="inlineStr">
        <is>
          <t>Both</t>
        </is>
      </c>
      <c r="J24" s="29" t="n"/>
      <c r="K24" s="31" t="inlineStr">
        <is>
          <t>Blocked</t>
        </is>
      </c>
      <c r="L24" s="32" t="inlineStr">
        <is>
          <t>Claude (adb)</t>
        </is>
      </c>
      <c r="M24" s="33" t="n">
        <v>46300</v>
      </c>
      <c r="N24" s="32" t="inlineStr">
        <is>
          <t>1.0.0+1 debug</t>
        </is>
      </c>
      <c r="O24" s="32" t="inlineStr">
        <is>
          <t>emulator-5554 / Android 14</t>
        </is>
      </c>
      <c r="P24" s="32" t="n"/>
      <c r="Q24" s="32" t="inlineStr">
        <is>
          <t>5 Oct 2026: A local release APK (flutter build apk --release, 69.9 MB) installs and opens on the emulator with no crash or ANR. Not done: the signed Play internal-track / TestFlight build. The Android release build is still signed with the debug key (KB-06), and no iOS device is available.</t>
        </is>
      </c>
    </row>
    <row r="25" ht="30" customHeight="1">
      <c r="A25" s="27" t="inlineStr">
        <is>
          <t>INS-002</t>
        </is>
      </c>
      <c r="B25" s="28" t="inlineStr">
        <is>
          <t>02 Install, launch &amp; bootstrap</t>
        </is>
      </c>
      <c r="C25" s="28" t="inlineStr">
        <is>
          <t>Splash</t>
        </is>
      </c>
      <c r="D25" s="28" t="inlineStr">
        <is>
          <t>Splash sequence has no flash</t>
        </is>
      </c>
      <c r="E25" s="28" t="inlineStr">
        <is>
          <t>1. Launch on a light-mode device
2. Launch on a dark-mode device</t>
        </is>
      </c>
      <c r="F25" s="28" t="inlineStr">
        <is>
          <t>Light: white splash with the brand mark. Dark: navy splash. No white/black flash before the first screen.</t>
        </is>
      </c>
      <c r="G25" s="29" t="inlineStr">
        <is>
          <t>P2</t>
        </is>
      </c>
      <c r="H25" s="29" t="inlineStr">
        <is>
          <t>UI</t>
        </is>
      </c>
      <c r="I25" s="29" t="inlineStr">
        <is>
          <t>Both</t>
        </is>
      </c>
      <c r="J25" s="29" t="n"/>
      <c r="K25" s="31" t="inlineStr">
        <is>
          <t>Pass</t>
        </is>
      </c>
      <c r="L25" s="32" t="inlineStr">
        <is>
          <t>Claude (adb)</t>
        </is>
      </c>
      <c r="M25" s="33" t="n">
        <v>46300</v>
      </c>
      <c r="N25" s="32" t="inlineStr">
        <is>
          <t>1.0.0+1 debug</t>
        </is>
      </c>
      <c r="O25" s="32" t="inlineStr">
        <is>
          <t>emulator-5554 / Android 14</t>
        </is>
      </c>
      <c r="P25" s="32" t="n"/>
      <c r="Q25" s="32" t="inlineStr">
        <is>
          <t>5 Oct 2026: Launch frames captured: light mode shows a white splash with the round navy brand mark; dark mode shows a navy splash with the white mark. No white/black flash between splash and first screen (Android 14 emulator; iOS not run).</t>
        </is>
      </c>
    </row>
    <row r="26" ht="30" customHeight="1">
      <c r="A26" s="27" t="inlineStr">
        <is>
          <t>INS-003</t>
        </is>
      </c>
      <c r="B26" s="28" t="inlineStr">
        <is>
          <t>02 Install, launch &amp; bootstrap</t>
        </is>
      </c>
      <c r="C26" s="28" t="inlineStr">
        <is>
          <t>Launcher</t>
        </is>
      </c>
      <c r="D26" s="28" t="inlineStr">
        <is>
          <t>App name and icon are correct</t>
        </is>
      </c>
      <c r="E26" s="28" t="inlineStr">
        <is>
          <t>1. Look at the launcher / home screen
2. On Android 13+, enable themed icons</t>
        </is>
      </c>
      <c r="F26" s="28" t="inlineStr">
        <is>
          <t>Label reads 'Medibook'. Icon is the brand mark; adaptive and monochrome icons render correctly.</t>
        </is>
      </c>
      <c r="G26" s="29" t="inlineStr">
        <is>
          <t>P2</t>
        </is>
      </c>
      <c r="H26" s="29" t="inlineStr">
        <is>
          <t>UI</t>
        </is>
      </c>
      <c r="I26" s="29" t="inlineStr">
        <is>
          <t>Both</t>
        </is>
      </c>
      <c r="J26" s="29" t="n"/>
      <c r="K26" s="31" t="inlineStr">
        <is>
          <t>Pass</t>
        </is>
      </c>
      <c r="L26" s="32" t="inlineStr">
        <is>
          <t>Claude (adb)</t>
        </is>
      </c>
      <c r="M26" s="33" t="n">
        <v>46300</v>
      </c>
      <c r="N26" s="32" t="inlineStr">
        <is>
          <t>1.0.0+1 debug</t>
        </is>
      </c>
      <c r="O26" s="32" t="inlineStr">
        <is>
          <t>emulator-5554 / Android 14</t>
        </is>
      </c>
      <c r="P26" s="32" t="n"/>
      <c r="Q26" s="32" t="inlineStr">
        <is>
          <t>5 Oct 2026: Launcher label 'Medibook' with the brand mark on a navy adaptive icon. The adaptive icon defines a monochrome layer, which Android 13+ themed icons use (themed-icon toggle not switched on in this run).</t>
        </is>
      </c>
    </row>
    <row r="27" ht="43" customHeight="1">
      <c r="A27" s="27" t="inlineStr">
        <is>
          <t>INS-004</t>
        </is>
      </c>
      <c r="B27" s="28" t="inlineStr">
        <is>
          <t>02 Install, launch &amp; bootstrap</t>
        </is>
      </c>
      <c r="C27" s="28" t="inlineStr">
        <is>
          <t>First run</t>
        </is>
      </c>
      <c r="D27" s="28" t="inlineStr">
        <is>
          <t>Onboarding shows only on first run</t>
        </is>
      </c>
      <c r="E27" s="28" t="inlineStr">
        <is>
          <t>1. Fresh install &gt; launch
2. Finish onboarding
3. Kill and relaunch</t>
        </is>
      </c>
      <c r="F27" s="28" t="inlineStr">
        <is>
          <t>Onboarding appears the first time only; later launches go to sign-in or Home.</t>
        </is>
      </c>
      <c r="G27" s="29" t="inlineStr">
        <is>
          <t>P1</t>
        </is>
      </c>
      <c r="H27" s="29" t="inlineStr">
        <is>
          <t>Functional</t>
        </is>
      </c>
      <c r="I27" s="29" t="inlineStr">
        <is>
          <t>Both</t>
        </is>
      </c>
      <c r="J27" s="29" t="n"/>
      <c r="K27" s="31" t="inlineStr">
        <is>
          <t>Pass</t>
        </is>
      </c>
      <c r="L27" s="32" t="inlineStr">
        <is>
          <t>Claude (adb)</t>
        </is>
      </c>
      <c r="M27" s="33" t="n">
        <v>46300</v>
      </c>
      <c r="N27" s="32" t="inlineStr">
        <is>
          <t>1.0.0+1 debug</t>
        </is>
      </c>
      <c r="O27" s="32" t="inlineStr">
        <is>
          <t>emulator-5554 / Android 14</t>
        </is>
      </c>
      <c r="P27" s="32" t="n"/>
      <c r="Q27" s="32" t="inlineStr">
        <is>
          <t>5 Oct 2026: App data wiped: intro shown, finished (consent accepted) -&gt; sign-in. Force-stop and relaunch twice: sign-in both times, intro not shown again.</t>
        </is>
      </c>
    </row>
    <row r="28" ht="43" customHeight="1">
      <c r="A28" s="27" t="inlineStr">
        <is>
          <t>INS-005</t>
        </is>
      </c>
      <c r="B28" s="28" t="inlineStr">
        <is>
          <t>02 Install, launch &amp; bootstrap</t>
        </is>
      </c>
      <c r="C28" s="28" t="inlineStr">
        <is>
          <t>Splash</t>
        </is>
      </c>
      <c r="D28" s="28" t="inlineStr">
        <is>
          <t>Session is resolved before any screen is shown</t>
        </is>
      </c>
      <c r="E28" s="28" t="inlineStr">
        <is>
          <t>1. Sign in
2. Kill the app
3. Relaunch on a slow device</t>
        </is>
      </c>
      <c r="F28" s="28" t="inlineStr">
        <is>
          <t>Splash stays until the session is known; a signed-in user never sees the sign-in screen flash.</t>
        </is>
      </c>
      <c r="G28" s="29" t="inlineStr">
        <is>
          <t>P1</t>
        </is>
      </c>
      <c r="H28" s="29" t="inlineStr">
        <is>
          <t>Functional</t>
        </is>
      </c>
      <c r="I28" s="29" t="inlineStr">
        <is>
          <t>Both</t>
        </is>
      </c>
      <c r="J28" s="29" t="n"/>
      <c r="K28" s="31" t="inlineStr">
        <is>
          <t>Pass</t>
        </is>
      </c>
      <c r="L28" s="32" t="inlineStr">
        <is>
          <t>Claude (adb)</t>
        </is>
      </c>
      <c r="M28" s="33" t="n">
        <v>46300</v>
      </c>
      <c r="N28" s="32" t="inlineStr">
        <is>
          <t>1.0.0+1 debug</t>
        </is>
      </c>
      <c r="O28" s="32" t="inlineStr">
        <is>
          <t>emulator-5554 / Android 14</t>
        </is>
      </c>
      <c r="P28" s="32" t="n"/>
      <c r="Q28" s="32" t="inlineStr">
        <is>
          <t>5 Oct 2026: Signed in, force-stopped, relaunched: screen sampled about every second from launch; Home from the first sample, sign-in never shown (same run as E2E-007). Slow physical device not available.</t>
        </is>
      </c>
    </row>
    <row r="29" ht="30" customHeight="1">
      <c r="A29" s="27" t="inlineStr">
        <is>
          <t>INS-006</t>
        </is>
      </c>
      <c r="B29" s="28" t="inlineStr">
        <is>
          <t>02 Install, launch &amp; bootstrap</t>
        </is>
      </c>
      <c r="C29" s="28" t="inlineStr">
        <is>
          <t>Release</t>
        </is>
      </c>
      <c r="D29" s="28" t="inlineStr">
        <is>
          <t>No demo affordances in the release build</t>
        </is>
      </c>
      <c r="E29" s="28" t="inlineStr">
        <is>
          <t>Open sign-in, sign-up and OTP screens</t>
        </is>
      </c>
      <c r="F29" s="28" t="inlineStr">
        <is>
          <t>No prefilled credentials, no 'Demo login is prefilled' text, no 'Demo code: 1234' hint, no reviewer screen-jump menu.</t>
        </is>
      </c>
      <c r="G29" s="29" t="inlineStr">
        <is>
          <t>P0</t>
        </is>
      </c>
      <c r="H29" s="29" t="inlineStr">
        <is>
          <t>Security</t>
        </is>
      </c>
      <c r="I29" s="29" t="inlineStr">
        <is>
          <t>Both</t>
        </is>
      </c>
      <c r="J29" s="29" t="n"/>
      <c r="K29" s="31" t="inlineStr">
        <is>
          <t>Pass</t>
        </is>
      </c>
      <c r="L29" s="32" t="inlineStr">
        <is>
          <t>Claude (adb)</t>
        </is>
      </c>
      <c r="M29" s="33" t="n">
        <v>46300</v>
      </c>
      <c r="N29" s="32" t="inlineStr">
        <is>
          <t>1.0.0+1 debug</t>
        </is>
      </c>
      <c r="O29" s="32" t="inlineStr">
        <is>
          <t>emulator-5554 / Android 14</t>
        </is>
      </c>
      <c r="P29" s="32" t="n"/>
      <c r="Q29" s="32" t="inlineStr">
        <is>
          <t>5 Oct 2026: Release APK: sign-in has empty fields and no 'Demo login is prefilled' text; Mobile tab shows only 'We'll text you a 4-digit code.'; sign-up has no prefilled values; the code screen ('Verify Mobile') has no 'Demo code' hint. No screen-jump menu anywhere.</t>
        </is>
      </c>
    </row>
    <row r="30" ht="43" customHeight="1">
      <c r="A30" s="27" t="inlineStr">
        <is>
          <t>INS-007</t>
        </is>
      </c>
      <c r="B30" s="28" t="inlineStr">
        <is>
          <t>02 Install, launch &amp; bootstrap</t>
        </is>
      </c>
      <c r="C30" s="28" t="inlineStr">
        <is>
          <t>Release</t>
        </is>
      </c>
      <c r="D30" s="28" t="inlineStr">
        <is>
          <t>Production build refuses unsafe configuration</t>
        </is>
      </c>
      <c r="E30" s="28" t="inlineStr">
        <is>
          <t>1. Build with MEDIBOOK_ENV=prod and MEDIBOOK_DEMO=true (then again with MEDIBOOK_ALLOW_BAD_CERT=true)
2. Launch</t>
        </is>
      </c>
      <c r="F30" s="28" t="inlineStr">
        <is>
          <t>The app refuses to start and logs a clear configuration error for each case.</t>
        </is>
      </c>
      <c r="G30" s="29" t="inlineStr">
        <is>
          <t>P1</t>
        </is>
      </c>
      <c r="H30" s="29" t="inlineStr">
        <is>
          <t>Release</t>
        </is>
      </c>
      <c r="I30" s="29" t="inlineStr">
        <is>
          <t>Both</t>
        </is>
      </c>
      <c r="J30" s="29" t="n"/>
      <c r="K30" s="31" t="inlineStr">
        <is>
          <t>Pass</t>
        </is>
      </c>
      <c r="L30" s="32" t="inlineStr">
        <is>
          <t>Claude (adb)</t>
        </is>
      </c>
      <c r="M30" s="33" t="n">
        <v>46300</v>
      </c>
      <c r="N30" s="32" t="inlineStr">
        <is>
          <t>1.0.0+1 debug</t>
        </is>
      </c>
      <c r="O30" s="32" t="inlineStr">
        <is>
          <t>emulator-5554 / Android 14</t>
        </is>
      </c>
      <c r="P30" s="32" t="inlineStr">
        <is>
          <t>DEF-078</t>
        </is>
      </c>
      <c r="Q30" s="32" t="inlineStr">
        <is>
          <t>5 Oct 2026: FIXED (DEF-078). Debug run with MEDIBOOK_ENV=prod: (1) MEDIBOOK_DEMO=true -&gt; refused; (2) MEDIBOOK_ALLOW_BAD_CERT=true -&gt; refused. Found: the app stayed on its splash with nothing in the device log (the error went to DevTools only), and a prod build accepted the integration server's IP as its API. Now it prints 'Medibook cannot start: EnvConfigError: ...' to the device log, shows a 'This build of Medibook is misconfigured and cannot start' screen listing each error, and also refuses an IP-address API host in production.</t>
        </is>
      </c>
    </row>
    <row r="31" ht="43" customHeight="1">
      <c r="A31" s="27" t="inlineStr">
        <is>
          <t>INS-008</t>
        </is>
      </c>
      <c r="B31" s="28" t="inlineStr">
        <is>
          <t>02 Install, launch &amp; bootstrap</t>
        </is>
      </c>
      <c r="C31" s="28" t="inlineStr">
        <is>
          <t>Upgrade</t>
        </is>
      </c>
      <c r="D31" s="28" t="inlineStr">
        <is>
          <t>Upgrade over an older build keeps the user signed in</t>
        </is>
      </c>
      <c r="E31" s="28" t="inlineStr">
        <is>
          <t>1. Install the previous build and sign in
2. Install the new build over it
3. Launch</t>
        </is>
      </c>
      <c r="F31" s="28" t="inlineStr">
        <is>
          <t>No crash; session and settings survive; cached data is migrated or rebuilt cleanly.</t>
        </is>
      </c>
      <c r="G31" s="29" t="inlineStr">
        <is>
          <t>P1</t>
        </is>
      </c>
      <c r="H31" s="29" t="inlineStr">
        <is>
          <t>Compatibility</t>
        </is>
      </c>
      <c r="I31" s="29" t="inlineStr">
        <is>
          <t>Both</t>
        </is>
      </c>
      <c r="J31" s="29" t="n"/>
      <c r="K31" s="31" t="inlineStr">
        <is>
          <t>Pass</t>
        </is>
      </c>
      <c r="L31" s="32" t="inlineStr">
        <is>
          <t>Claude (adb)</t>
        </is>
      </c>
      <c r="M31" s="33" t="n">
        <v>46300</v>
      </c>
      <c r="N31" s="32" t="inlineStr">
        <is>
          <t>1.0.0+1 debug</t>
        </is>
      </c>
      <c r="O31" s="32" t="inlineStr">
        <is>
          <t>emulator-5554 / Android 14</t>
        </is>
      </c>
      <c r="P31" s="32" t="n"/>
      <c r="Q31" s="32" t="inlineStr">
        <is>
          <t>5 Oct 2026: Release APK installed over the signed-in debug build (adb install -r): no crash, still signed in as Sanjay, cached appointments shown and refreshed. (No older store build exists to upgrade from; this is the closest check.)</t>
        </is>
      </c>
    </row>
    <row r="32" ht="43" customHeight="1">
      <c r="A32" s="27" t="inlineStr">
        <is>
          <t>INS-009</t>
        </is>
      </c>
      <c r="B32" s="28" t="inlineStr">
        <is>
          <t>02 Install, launch &amp; bootstrap</t>
        </is>
      </c>
      <c r="C32" s="28" t="inlineStr">
        <is>
          <t>Bootstrap</t>
        </is>
      </c>
      <c r="D32" s="28" t="inlineStr">
        <is>
          <t>Launch with no network</t>
        </is>
      </c>
      <c r="E32" s="28" t="inlineStr">
        <is>
          <t>1. Fresh install
2. Enable airplane mode
3. Launch</t>
        </is>
      </c>
      <c r="F32" s="28" t="inlineStr">
        <is>
          <t>App opens to onboarding/sign-in with an offline message where data is needed; no infinite spinner and no crash.</t>
        </is>
      </c>
      <c r="G32" s="29" t="inlineStr">
        <is>
          <t>P1</t>
        </is>
      </c>
      <c r="H32" s="29" t="inlineStr">
        <is>
          <t>Offline</t>
        </is>
      </c>
      <c r="I32" s="29" t="inlineStr">
        <is>
          <t>Both</t>
        </is>
      </c>
      <c r="J32" s="29" t="n"/>
      <c r="K32" s="31" t="inlineStr">
        <is>
          <t>Pass</t>
        </is>
      </c>
      <c r="L32" s="32" t="inlineStr">
        <is>
          <t>Claude (adb)</t>
        </is>
      </c>
      <c r="M32" s="33" t="n">
        <v>46300</v>
      </c>
      <c r="N32" s="32" t="inlineStr">
        <is>
          <t>1.0.0+1 debug</t>
        </is>
      </c>
      <c r="O32" s="32" t="inlineStr">
        <is>
          <t>emulator-5554 / Android 14</t>
        </is>
      </c>
      <c r="P32" s="32" t="n"/>
      <c r="Q32" s="32" t="inlineStr">
        <is>
          <t>5 Oct 2026: App data wiped, airplane mode on, launched: intro shown, then consent; no crash, no endless spinner. Agree without the policies loaded shows the 'could not load' note; a policy link shows 'We could not load this document / You appear to be offline' with Try Again.</t>
        </is>
      </c>
    </row>
    <row r="33" ht="43" customHeight="1">
      <c r="A33" s="27" t="inlineStr">
        <is>
          <t>INS-010</t>
        </is>
      </c>
      <c r="B33" s="28" t="inlineStr">
        <is>
          <t>02 Install, launch &amp; bootstrap</t>
        </is>
      </c>
      <c r="C33" s="28" t="inlineStr">
        <is>
          <t>Bootstrap</t>
        </is>
      </c>
      <c r="D33" s="28" t="inlineStr">
        <is>
          <t>Launch succeeds when local storage is damaged</t>
        </is>
      </c>
      <c r="E33" s="28" t="inlineStr">
        <is>
          <t>1. On a debug build, corrupt or delete a Hive box file in the app data directory
2. Launch</t>
        </is>
      </c>
      <c r="F33" s="28" t="inlineStr">
        <is>
          <t>App starts, rebuilds the cache from the network and does not crash.</t>
        </is>
      </c>
      <c r="G33" s="29" t="inlineStr">
        <is>
          <t>P1</t>
        </is>
      </c>
      <c r="H33" s="29" t="inlineStr">
        <is>
          <t>Negative</t>
        </is>
      </c>
      <c r="I33" s="29" t="inlineStr">
        <is>
          <t>Both</t>
        </is>
      </c>
      <c r="J33" s="29" t="n"/>
      <c r="K33" s="31" t="inlineStr">
        <is>
          <t>Pass</t>
        </is>
      </c>
      <c r="L33" s="32" t="inlineStr">
        <is>
          <t>Claude (adb)</t>
        </is>
      </c>
      <c r="M33" s="33" t="n">
        <v>46300</v>
      </c>
      <c r="N33" s="32" t="inlineStr">
        <is>
          <t>1.0.0+1 debug</t>
        </is>
      </c>
      <c r="O33" s="32" t="inlineStr">
        <is>
          <t>emulator-5554 / Android 14</t>
        </is>
      </c>
      <c r="P33" s="32" t="n"/>
      <c r="Q33" s="32" t="inlineStr">
        <is>
          <t>5 Oct 2026: Debug build, signed in: http_cache.hive overwritten with 14 KB of random bytes, then launched. Log: 'Recovering corrupted box.' Home opened signed in, Appointments loaded from the server; no crash.</t>
        </is>
      </c>
    </row>
    <row r="34" ht="30" customHeight="1">
      <c r="A34" s="27" t="inlineStr">
        <is>
          <t>ONB-001</t>
        </is>
      </c>
      <c r="B34" s="28" t="inlineStr">
        <is>
          <t>03 Onboarding &amp; consent</t>
        </is>
      </c>
      <c r="C34" s="28" t="inlineStr">
        <is>
          <t>Onboarding</t>
        </is>
      </c>
      <c r="D34" s="28" t="inlineStr">
        <is>
          <t>Intro slides navigate correctly</t>
        </is>
      </c>
      <c r="E34" s="28" t="inlineStr">
        <is>
          <t>1. Swipe between the two slides
2. Use the Next/Skip controls</t>
        </is>
      </c>
      <c r="F34" s="28" t="inlineStr">
        <is>
          <t>Slides and carousel dots stay in sync; the final action leads to the consent screen.</t>
        </is>
      </c>
      <c r="G34" s="29" t="inlineStr">
        <is>
          <t>P2</t>
        </is>
      </c>
      <c r="H34" s="29" t="inlineStr">
        <is>
          <t>Functional</t>
        </is>
      </c>
      <c r="I34" s="29" t="inlineStr">
        <is>
          <t>Both</t>
        </is>
      </c>
      <c r="J34" s="29" t="n"/>
      <c r="K34" s="31" t="inlineStr">
        <is>
          <t>Pass</t>
        </is>
      </c>
      <c r="L34" s="32" t="inlineStr">
        <is>
          <t>Claude (adb)</t>
        </is>
      </c>
      <c r="M34" s="33" t="n">
        <v>46300</v>
      </c>
      <c r="N34" s="32" t="inlineStr">
        <is>
          <t>1.0.0+1 debug</t>
        </is>
      </c>
      <c r="O34" s="32" t="inlineStr">
        <is>
          <t>emulator-5554 / Android 14</t>
        </is>
      </c>
      <c r="P34" s="32" t="n"/>
      <c r="Q34" s="32" t="inlineStr">
        <is>
          <t>5 Oct 2026: Swipe left/right moves between slide 1 and 2, the 'Slide n of 2' indicator follows; Continue on slide 1 goes to slide 2; 'Get Started' on slide 2 opens the consent screen; Back on consent returns to the intro.</t>
        </is>
      </c>
    </row>
    <row r="35" ht="30" customHeight="1">
      <c r="A35" s="27" t="inlineStr">
        <is>
          <t>ONB-002</t>
        </is>
      </c>
      <c r="B35" s="28" t="inlineStr">
        <is>
          <t>03 Onboarding &amp; consent</t>
        </is>
      </c>
      <c r="C35" s="28" t="inlineStr">
        <is>
          <t>Consent</t>
        </is>
      </c>
      <c r="D35" s="28" t="inlineStr">
        <is>
          <t>Cannot continue without accepting the policies</t>
        </is>
      </c>
      <c r="E35" s="28" t="inlineStr">
        <is>
          <t>1. Leave the acceptance box unticked
2. Tap Continue</t>
        </is>
      </c>
      <c r="F35" s="28" t="inlineStr">
        <is>
          <t>Continue is disabled or an inline message explains that acceptance is required.</t>
        </is>
      </c>
      <c r="G35" s="29" t="inlineStr">
        <is>
          <t>P0</t>
        </is>
      </c>
      <c r="H35" s="29" t="inlineStr">
        <is>
          <t>Negative</t>
        </is>
      </c>
      <c r="I35" s="29" t="inlineStr">
        <is>
          <t>Both</t>
        </is>
      </c>
      <c r="J35" s="29" t="n"/>
      <c r="K35" s="31" t="inlineStr">
        <is>
          <t>Pass</t>
        </is>
      </c>
      <c r="L35" s="32" t="inlineStr">
        <is>
          <t>Claude (adb)</t>
        </is>
      </c>
      <c r="M35" s="33" t="n">
        <v>46300</v>
      </c>
      <c r="N35" s="32" t="inlineStr">
        <is>
          <t>1.0.0+1 debug</t>
        </is>
      </c>
      <c r="O35" s="32" t="inlineStr">
        <is>
          <t>emulator-5554 / Android 14</t>
        </is>
      </c>
      <c r="P35" s="32" t="n"/>
      <c r="Q35" s="32" t="inlineStr">
        <is>
          <t>5 Oct 2026: Box unticked, 'Agree and Continue' -&gt; stays on the screen with 'Please accept the terms to continue.'</t>
        </is>
      </c>
    </row>
    <row r="36" ht="30" customHeight="1">
      <c r="A36" s="27" t="inlineStr">
        <is>
          <t>ONB-003</t>
        </is>
      </c>
      <c r="B36" s="28" t="inlineStr">
        <is>
          <t>03 Onboarding &amp; consent</t>
        </is>
      </c>
      <c r="C36" s="28" t="inlineStr">
        <is>
          <t>Consent</t>
        </is>
      </c>
      <c r="D36" s="28" t="inlineStr">
        <is>
          <t>Marketing opt-in is optional</t>
        </is>
      </c>
      <c r="E36" s="28" t="inlineStr">
        <is>
          <t>1. Accept the policies but leave offers/marketing unticked
2. Continue</t>
        </is>
      </c>
      <c r="F36" s="28" t="inlineStr">
        <is>
          <t>User proceeds; marketing_opt_in is false on the account.</t>
        </is>
      </c>
      <c r="G36" s="29" t="inlineStr">
        <is>
          <t>P2</t>
        </is>
      </c>
      <c r="H36" s="29" t="inlineStr">
        <is>
          <t>Functional</t>
        </is>
      </c>
      <c r="I36" s="29" t="inlineStr">
        <is>
          <t>Both</t>
        </is>
      </c>
      <c r="J36" s="29" t="n"/>
      <c r="K36" s="31" t="inlineStr">
        <is>
          <t>Blocked</t>
        </is>
      </c>
      <c r="L36" s="32" t="inlineStr">
        <is>
          <t>Claude (adb)</t>
        </is>
      </c>
      <c r="M36" s="33" t="n">
        <v>46300</v>
      </c>
      <c r="N36" s="32" t="inlineStr">
        <is>
          <t>1.0.0+1 debug</t>
        </is>
      </c>
      <c r="O36" s="32" t="inlineStr">
        <is>
          <t>emulator-5554 / Android 14</t>
        </is>
      </c>
      <c r="P36" s="32" t="n"/>
      <c r="Q36" s="32" t="inlineStr">
        <is>
          <t>5 Oct 2026: Ticking only the terms lets the user continue (checked). The opt-in is sent to the server with sign-up (consents.marketing), and sign-up needs an OTP, so marketing_opt_in on a new account cannot be checked: BB-01 (KB-05).</t>
        </is>
      </c>
    </row>
    <row r="37" ht="30" customHeight="1">
      <c r="A37" s="27" t="inlineStr">
        <is>
          <t>ONB-004</t>
        </is>
      </c>
      <c r="B37" s="28" t="inlineStr">
        <is>
          <t>03 Onboarding &amp; consent</t>
        </is>
      </c>
      <c r="C37" s="28" t="inlineStr">
        <is>
          <t>Legal</t>
        </is>
      </c>
      <c r="D37" s="28" t="inlineStr">
        <is>
          <t>Policy links open the right documents</t>
        </is>
      </c>
      <c r="E37" s="28" t="inlineStr">
        <is>
          <t>From the consent screen tap Terms &amp; Conditions, Privacy Policy and User Guidelines in turn</t>
        </is>
      </c>
      <c r="F37" s="28" t="inlineStr">
        <is>
          <t>Each opens its own document loaded from the server, with a way back to where the user came from.</t>
        </is>
      </c>
      <c r="G37" s="29" t="inlineStr">
        <is>
          <t>P1</t>
        </is>
      </c>
      <c r="H37" s="29" t="inlineStr">
        <is>
          <t>Functional</t>
        </is>
      </c>
      <c r="I37" s="29" t="inlineStr">
        <is>
          <t>Both</t>
        </is>
      </c>
      <c r="J37" s="29" t="n"/>
      <c r="K37" s="31" t="inlineStr">
        <is>
          <t>Pass</t>
        </is>
      </c>
      <c r="L37" s="32" t="inlineStr">
        <is>
          <t>Claude (adb)</t>
        </is>
      </c>
      <c r="M37" s="33" t="n">
        <v>46300</v>
      </c>
      <c r="N37" s="32" t="inlineStr">
        <is>
          <t>1.0.0+1 debug</t>
        </is>
      </c>
      <c r="O37" s="32" t="inlineStr">
        <is>
          <t>emulator-5554 / Android 14</t>
        </is>
      </c>
      <c r="P37" s="32" t="inlineStr">
        <is>
          <t>DEF-077</t>
        </is>
      </c>
      <c r="Q37" s="32" t="inlineStr">
        <is>
          <t>5 Oct 2026: FIXED (DEF-077). Terms &amp; Conditions and Privacy Policy each open their own document from the server ('Version 1 · published 31 July 2026'); 'Back to sign up' and system Back return to the consent screen. Found: after opening them offline and reconnecting, both kept showing 'You appear to be offline' until Try Again; they now load again on reconnect. Note: the consent screen links only these two; Community Guidelines is linked from Help &amp; Support and Profile, not from consent.</t>
        </is>
      </c>
    </row>
    <row r="38" ht="30" customHeight="1">
      <c r="A38" s="27" t="inlineStr">
        <is>
          <t>ONB-005</t>
        </is>
      </c>
      <c r="B38" s="28" t="inlineStr">
        <is>
          <t>03 Onboarding &amp; consent</t>
        </is>
      </c>
      <c r="C38" s="28" t="inlineStr">
        <is>
          <t>Legal</t>
        </is>
      </c>
      <c r="D38" s="28" t="inlineStr">
        <is>
          <t>Policy document fails to load</t>
        </is>
      </c>
      <c r="E38" s="28" t="inlineStr">
        <is>
          <t>Open a policy with the network off</t>
        </is>
      </c>
      <c r="F38" s="28" t="inlineStr">
        <is>
          <t>Error state with a retry (or the cached copy), never a blank page.</t>
        </is>
      </c>
      <c r="G38" s="29" t="inlineStr">
        <is>
          <t>P2</t>
        </is>
      </c>
      <c r="H38" s="29" t="inlineStr">
        <is>
          <t>Negative</t>
        </is>
      </c>
      <c r="I38" s="29" t="inlineStr">
        <is>
          <t>Both</t>
        </is>
      </c>
      <c r="J38" s="29" t="n"/>
      <c r="K38" s="31" t="inlineStr">
        <is>
          <t>Pass</t>
        </is>
      </c>
      <c r="L38" s="32" t="inlineStr">
        <is>
          <t>Claude (adb)</t>
        </is>
      </c>
      <c r="M38" s="33" t="n">
        <v>46300</v>
      </c>
      <c r="N38" s="32" t="inlineStr">
        <is>
          <t>1.0.0+1 debug</t>
        </is>
      </c>
      <c r="O38" s="32" t="inlineStr">
        <is>
          <t>emulator-5554 / Android 14</t>
        </is>
      </c>
      <c r="P38" s="32" t="n"/>
      <c r="Q38" s="32" t="inlineStr">
        <is>
          <t>5 Oct 2026: Airplane mode, Terms opened from consent: 'We could not load this document / You appear to be offline. Check your connection and try again.' with Try Again; never blank.</t>
        </is>
      </c>
    </row>
    <row r="39" ht="30" customHeight="1">
      <c r="A39" s="27" t="inlineStr">
        <is>
          <t>ONB-006</t>
        </is>
      </c>
      <c r="B39" s="28" t="inlineStr">
        <is>
          <t>03 Onboarding &amp; consent</t>
        </is>
      </c>
      <c r="C39" s="28" t="inlineStr">
        <is>
          <t>Consent</t>
        </is>
      </c>
      <c r="D39" s="28" t="inlineStr">
        <is>
          <t>Policy version change triggers re-consent</t>
        </is>
      </c>
      <c r="E39" s="28" t="inlineStr">
        <is>
          <t>1. Publish a new terms version on the backend
2. Open the app as an existing user</t>
        </is>
      </c>
      <c r="F39" s="28" t="inlineStr">
        <is>
          <t>'Our policies have changed' prompt appears; accepting records the consent and the prompt does not return.</t>
        </is>
      </c>
      <c r="G39" s="29" t="inlineStr">
        <is>
          <t>P1</t>
        </is>
      </c>
      <c r="H39" s="29" t="inlineStr">
        <is>
          <t>Functional</t>
        </is>
      </c>
      <c r="I39" s="29" t="inlineStr">
        <is>
          <t>Both</t>
        </is>
      </c>
      <c r="J39" s="29" t="n"/>
      <c r="K39" s="31" t="inlineStr">
        <is>
          <t>Blocked</t>
        </is>
      </c>
      <c r="L39" s="32" t="inlineStr">
        <is>
          <t>Claude (adb)</t>
        </is>
      </c>
      <c r="M39" s="33" t="n">
        <v>46300</v>
      </c>
      <c r="N39" s="32" t="inlineStr">
        <is>
          <t>1.0.0+1 debug</t>
        </is>
      </c>
      <c r="O39" s="32" t="inlineStr">
        <is>
          <t>emulator-5554 / Android 14</t>
        </is>
      </c>
      <c r="P39" s="32" t="n"/>
      <c r="Q39" s="32" t="inlineStr">
        <is>
          <t>5 Oct 2026: Needs a newer policy version published on the server for a short window. BB-20.</t>
        </is>
      </c>
    </row>
    <row r="40" ht="56" customHeight="1">
      <c r="A40" s="27" t="inlineStr">
        <is>
          <t>AUTH-001</t>
        </is>
      </c>
      <c r="B40" s="28" t="inlineStr">
        <is>
          <t>04 Authentication &amp; session</t>
        </is>
      </c>
      <c r="C40" s="28" t="inlineStr">
        <is>
          <t>Sign up</t>
        </is>
      </c>
      <c r="D40" s="28" t="inlineStr">
        <is>
          <t>Sign up with valid details</t>
        </is>
      </c>
      <c r="E40" s="28" t="inlineStr">
        <is>
          <t>1. Enter first name, mobile, date of birth, password
2. Accept the policies
3. Submit
4. Enter the OTP</t>
        </is>
      </c>
      <c r="F40" s="28" t="inlineStr">
        <is>
          <t>Account is created, user lands on Home, and a 'self' person exists for booking.</t>
        </is>
      </c>
      <c r="G40" s="29" t="inlineStr">
        <is>
          <t>P0</t>
        </is>
      </c>
      <c r="H40" s="29" t="inlineStr">
        <is>
          <t>Functional</t>
        </is>
      </c>
      <c r="I40" s="29" t="inlineStr">
        <is>
          <t>Both</t>
        </is>
      </c>
      <c r="J40" s="29" t="inlineStr">
        <is>
          <t>KB-05</t>
        </is>
      </c>
      <c r="K40" s="31" t="inlineStr">
        <is>
          <t>Blocked</t>
        </is>
      </c>
      <c r="L40" s="32" t="inlineStr">
        <is>
          <t>Claude (adb)</t>
        </is>
      </c>
      <c r="M40" s="33" t="n">
        <v>46300</v>
      </c>
      <c r="N40" s="32" t="inlineStr">
        <is>
          <t>1.0.0+1 debug</t>
        </is>
      </c>
      <c r="O40" s="32" t="inlineStr">
        <is>
          <t>emulator-5554 / Android 14</t>
        </is>
      </c>
      <c r="P40" s="32" t="n"/>
      <c r="Q40" s="32" t="inlineStr">
        <is>
          <t>5–6 Oct 2026: The form, validation and 'Verify Mobile' step work (see AUTH-002 to -010); the account is only created after the SMS code is entered. No OTP can be obtained on the integration server: BB-01 (KB-05).</t>
        </is>
      </c>
    </row>
    <row r="41" ht="30" customHeight="1">
      <c r="A41" s="27" t="inlineStr">
        <is>
          <t>AUTH-002</t>
        </is>
      </c>
      <c r="B41" s="28" t="inlineStr">
        <is>
          <t>04 Authentication &amp; session</t>
        </is>
      </c>
      <c r="C41" s="28" t="inlineStr">
        <is>
          <t>Sign up</t>
        </is>
      </c>
      <c r="D41" s="28" t="inlineStr">
        <is>
          <t>Required fields are enforced</t>
        </is>
      </c>
      <c r="E41" s="28" t="inlineStr">
        <is>
          <t>Submit with first name, mobile and date of birth empty, one at a time</t>
        </is>
      </c>
      <c r="F41" s="28" t="inlineStr">
        <is>
          <t>Each missing field shows its own inline message; no request is sent.</t>
        </is>
      </c>
      <c r="G41" s="29" t="inlineStr">
        <is>
          <t>P1</t>
        </is>
      </c>
      <c r="H41" s="29" t="inlineStr">
        <is>
          <t>Negative</t>
        </is>
      </c>
      <c r="I41" s="29" t="inlineStr">
        <is>
          <t>Both</t>
        </is>
      </c>
      <c r="J41" s="29" t="n"/>
      <c r="K41" s="31" t="inlineStr">
        <is>
          <t>Pass</t>
        </is>
      </c>
      <c r="L41" s="32" t="inlineStr">
        <is>
          <t>Claude (adb)</t>
        </is>
      </c>
      <c r="M41" s="33" t="n">
        <v>46300</v>
      </c>
      <c r="N41" s="32" t="inlineStr">
        <is>
          <t>1.0.0+1 debug</t>
        </is>
      </c>
      <c r="O41" s="32" t="inlineStr">
        <is>
          <t>emulator-5554 / Android 14</t>
        </is>
      </c>
      <c r="P41" s="32" t="n"/>
      <c r="Q41" s="32" t="inlineStr">
        <is>
          <t>5–6 Oct 2026: Create Account with everything empty: 'Enter your first name', 'Enter your mobile number', 'Select a date of birth' under their own fields, plus the terms message; nothing sent. (Note for module 22: these field errors are not in the accessibility tree.)</t>
        </is>
      </c>
    </row>
    <row r="42" ht="30" customHeight="1">
      <c r="A42" s="27" t="inlineStr">
        <is>
          <t>AUTH-003</t>
        </is>
      </c>
      <c r="B42" s="28" t="inlineStr">
        <is>
          <t>04 Authentication &amp; session</t>
        </is>
      </c>
      <c r="C42" s="28" t="inlineStr">
        <is>
          <t>Sign up</t>
        </is>
      </c>
      <c r="D42" s="28" t="inlineStr">
        <is>
          <t>Mobile number validation</t>
        </is>
      </c>
      <c r="E42" s="28" t="inlineStr">
        <is>
          <t>Try: empty, letters, 9 digits, 11 digits, a number starting with 0-5, a valid number typed with spaces/dashes</t>
        </is>
      </c>
      <c r="F42" s="28" t="inlineStr">
        <is>
          <t>All invalid inputs are rejected inline; the valid number with spaces/dashes is accepted.</t>
        </is>
      </c>
      <c r="G42" s="29" t="inlineStr">
        <is>
          <t>P1</t>
        </is>
      </c>
      <c r="H42" s="29" t="inlineStr">
        <is>
          <t>Negative</t>
        </is>
      </c>
      <c r="I42" s="29" t="inlineStr">
        <is>
          <t>Both</t>
        </is>
      </c>
      <c r="J42" s="29" t="n"/>
      <c r="K42" s="31" t="inlineStr">
        <is>
          <t>Pass</t>
        </is>
      </c>
      <c r="L42" s="32" t="inlineStr">
        <is>
          <t>Claude (adb)</t>
        </is>
      </c>
      <c r="M42" s="33" t="n">
        <v>46300</v>
      </c>
      <c r="N42" s="32" t="inlineStr">
        <is>
          <t>1.0.0+1 debug</t>
        </is>
      </c>
      <c r="O42" s="32" t="inlineStr">
        <is>
          <t>emulator-5554 / Android 14</t>
        </is>
      </c>
      <c r="P42" s="32" t="n"/>
      <c r="Q42" s="32" t="inlineStr">
        <is>
          <t>5–6 Oct 2026: Device: the mobile box only accepts digits ('98a08-b6832c57' typed -&gt; '9808683257'). Rules in test/core/utils/validators_test.dart: empty 'Enter your mobile number', 9 and 11 digits 'Mobile number must be 10 digits', starts 0-5 'Mobile number must start with 6-9', '98086 83257' and '980-868-3257' accepted. Same as BL-AUTH-007.</t>
        </is>
      </c>
    </row>
    <row r="43" ht="30" customHeight="1">
      <c r="A43" s="27" t="inlineStr">
        <is>
          <t>AUTH-004</t>
        </is>
      </c>
      <c r="B43" s="28" t="inlineStr">
        <is>
          <t>04 Authentication &amp; session</t>
        </is>
      </c>
      <c r="C43" s="28" t="inlineStr">
        <is>
          <t>Sign up</t>
        </is>
      </c>
      <c r="D43" s="28" t="inlineStr">
        <is>
          <t>Already-registered mobile number</t>
        </is>
      </c>
      <c r="E43" s="28" t="inlineStr">
        <is>
          <t>Sign up with a number that already has an account</t>
        </is>
      </c>
      <c r="F43" s="28" t="inlineStr">
        <is>
          <t>Inline error on the mobile field saying it is already registered; no OTP screen.</t>
        </is>
      </c>
      <c r="G43" s="29" t="inlineStr">
        <is>
          <t>P1</t>
        </is>
      </c>
      <c r="H43" s="29" t="inlineStr">
        <is>
          <t>Negative</t>
        </is>
      </c>
      <c r="I43" s="29" t="inlineStr">
        <is>
          <t>Both</t>
        </is>
      </c>
      <c r="J43" s="29" t="n"/>
      <c r="K43" s="31" t="inlineStr">
        <is>
          <t>Pass</t>
        </is>
      </c>
      <c r="L43" s="32" t="inlineStr">
        <is>
          <t>Claude (adb)</t>
        </is>
      </c>
      <c r="M43" s="33" t="n">
        <v>46300</v>
      </c>
      <c r="N43" s="32" t="inlineStr">
        <is>
          <t>1.0.0+1 debug</t>
        </is>
      </c>
      <c r="O43" s="32" t="inlineStr">
        <is>
          <t>emulator-5554 / Android 14</t>
        </is>
      </c>
      <c r="P43" s="32" t="n"/>
      <c r="Q43" s="32" t="inlineStr">
        <is>
          <t>5–6 Oct 2026: Sign-up with 9808683257 (Sanjay's number): 'This mobile number is already registered. Log in instead.' under Mobile Number; no code screen.</t>
        </is>
      </c>
    </row>
    <row r="44" ht="30" customHeight="1">
      <c r="A44" s="27" t="inlineStr">
        <is>
          <t>AUTH-005</t>
        </is>
      </c>
      <c r="B44" s="28" t="inlineStr">
        <is>
          <t>04 Authentication &amp; session</t>
        </is>
      </c>
      <c r="C44" s="28" t="inlineStr">
        <is>
          <t>Sign up</t>
        </is>
      </c>
      <c r="D44" s="28" t="inlineStr">
        <is>
          <t>Account holder under 18</t>
        </is>
      </c>
      <c r="E44" s="28" t="inlineStr">
        <is>
          <t>1. Enter a date of birth less than 18 years ago
2. Submit</t>
        </is>
      </c>
      <c r="F44" s="28" t="inlineStr">
        <is>
          <t>Sign-up is refused with a clear age message (UNDER_AGE).</t>
        </is>
      </c>
      <c r="G44" s="29" t="inlineStr">
        <is>
          <t>P1</t>
        </is>
      </c>
      <c r="H44" s="29" t="inlineStr">
        <is>
          <t>Negative</t>
        </is>
      </c>
      <c r="I44" s="29" t="inlineStr">
        <is>
          <t>Both</t>
        </is>
      </c>
      <c r="J44" s="29" t="n"/>
      <c r="K44" s="31" t="inlineStr">
        <is>
          <t>Pass</t>
        </is>
      </c>
      <c r="L44" s="32" t="inlineStr">
        <is>
          <t>Claude (adb)</t>
        </is>
      </c>
      <c r="M44" s="33" t="n">
        <v>46300</v>
      </c>
      <c r="N44" s="32" t="inlineStr">
        <is>
          <t>1.0.0+1 debug</t>
        </is>
      </c>
      <c r="O44" s="32" t="inlineStr">
        <is>
          <t>emulator-5554 / Android 14</t>
        </is>
      </c>
      <c r="P44" s="32" t="n"/>
      <c r="Q44" s="32" t="inlineStr">
        <is>
          <t>5–6 Oct 2026: The date picker opens on Oct 2008; 6 Oct 2008 onward is 'Out of range' and cannot be picked; hint 'You must be 18 or older to open an account.' Server: signup/start with date_of_birth 2010-01-01 -&gt; 409 UNDER_AGE 'Account holders must be 18 or older…'; the app maps UNDER_AGE onto the date-of-birth field (signup_form_controller).</t>
        </is>
      </c>
    </row>
    <row r="45" ht="30" customHeight="1">
      <c r="A45" s="27" t="inlineStr">
        <is>
          <t>AUTH-006</t>
        </is>
      </c>
      <c r="B45" s="28" t="inlineStr">
        <is>
          <t>04 Authentication &amp; session</t>
        </is>
      </c>
      <c r="C45" s="28" t="inlineStr">
        <is>
          <t>Sign up</t>
        </is>
      </c>
      <c r="D45" s="28" t="inlineStr">
        <is>
          <t>Email is optional and validated</t>
        </is>
      </c>
      <c r="E45" s="28" t="inlineStr">
        <is>
          <t>1. Submit without an email
2. Submit with 'abc', 'a@b', 'a b@c.com'</t>
        </is>
      </c>
      <c r="F45" s="28" t="inlineStr">
        <is>
          <t>Blank is accepted; malformed emails are rejected inline.</t>
        </is>
      </c>
      <c r="G45" s="29" t="inlineStr">
        <is>
          <t>P2</t>
        </is>
      </c>
      <c r="H45" s="29" t="inlineStr">
        <is>
          <t>Negative</t>
        </is>
      </c>
      <c r="I45" s="29" t="inlineStr">
        <is>
          <t>Both</t>
        </is>
      </c>
      <c r="J45" s="29" t="n"/>
      <c r="K45" s="31" t="inlineStr">
        <is>
          <t>Pass</t>
        </is>
      </c>
      <c r="L45" s="32" t="inlineStr">
        <is>
          <t>Claude (adb)</t>
        </is>
      </c>
      <c r="M45" s="33" t="n">
        <v>46300</v>
      </c>
      <c r="N45" s="32" t="inlineStr">
        <is>
          <t>1.0.0+1 debug</t>
        </is>
      </c>
      <c r="O45" s="32" t="inlineStr">
        <is>
          <t>emulator-5554 / Android 14</t>
        </is>
      </c>
      <c r="P45" s="32" t="n"/>
      <c r="Q45" s="32" t="inlineStr">
        <is>
          <t>5–6 Oct 2026: Blank email accepted (submit went on to server checks). 'a b@c.com' -&gt; 'Enter a valid email address' inline. 'abc' and 'a@b' rejected by the same rule (validators_test).</t>
        </is>
      </c>
    </row>
    <row r="46" ht="43" customHeight="1">
      <c r="A46" s="27" t="inlineStr">
        <is>
          <t>AUTH-007</t>
        </is>
      </c>
      <c r="B46" s="28" t="inlineStr">
        <is>
          <t>04 Authentication &amp; session</t>
        </is>
      </c>
      <c r="C46" s="28" t="inlineStr">
        <is>
          <t>Sign up</t>
        </is>
      </c>
      <c r="D46" s="28" t="inlineStr">
        <is>
          <t>Password rule matches the server (10+ characters)</t>
        </is>
      </c>
      <c r="E46" s="28" t="inlineStr">
        <is>
          <t>1. Try a 6-character password, a 9-character password, one containing your name/phone, and a valid 10+ character one
2. Compare the on-screen hint with the rule</t>
        </is>
      </c>
      <c r="F46" s="28" t="inlineStr">
        <is>
          <t>Short and personal-data passwords are rejected with a clear message; the hint reads 'At least 10 characters'.</t>
        </is>
      </c>
      <c r="G46" s="29" t="inlineStr">
        <is>
          <t>P1</t>
        </is>
      </c>
      <c r="H46" s="29" t="inlineStr">
        <is>
          <t>Negative</t>
        </is>
      </c>
      <c r="I46" s="29" t="inlineStr">
        <is>
          <t>Both</t>
        </is>
      </c>
      <c r="J46" s="29" t="n"/>
      <c r="K46" s="31" t="inlineStr">
        <is>
          <t>Pass</t>
        </is>
      </c>
      <c r="L46" s="32" t="inlineStr">
        <is>
          <t>Claude (adb)</t>
        </is>
      </c>
      <c r="M46" s="33" t="n">
        <v>46300</v>
      </c>
      <c r="N46" s="32" t="inlineStr">
        <is>
          <t>1.0.0+1 debug</t>
        </is>
      </c>
      <c r="O46" s="32" t="inlineStr">
        <is>
          <t>emulator-5554 / Android 14</t>
        </is>
      </c>
      <c r="P46" s="32" t="n"/>
      <c r="Q46" s="32" t="inlineStr">
        <is>
          <t>5–6 Oct 2026: Hint reads 'At least 10 characters' / 'If set, at least 10 characters.' 6 and 9 characters -&gt; 'At least 10 characters' (validators_test; BL-AUTH-010). Password with the first name ('Qachecker123') -&gt; 'The password must not contain your name, email or phone number.'; a common one -&gt; 'This password has appeared in a data breach. Choose another.' Both under the password field.</t>
        </is>
      </c>
    </row>
    <row r="47" ht="17" customHeight="1">
      <c r="A47" s="27" t="inlineStr">
        <is>
          <t>AUTH-008</t>
        </is>
      </c>
      <c r="B47" s="28" t="inlineStr">
        <is>
          <t>04 Authentication &amp; session</t>
        </is>
      </c>
      <c r="C47" s="28" t="inlineStr">
        <is>
          <t>Sign up</t>
        </is>
      </c>
      <c r="D47" s="28" t="inlineStr">
        <is>
          <t>Confirm password mismatch</t>
        </is>
      </c>
      <c r="E47" s="28" t="inlineStr">
        <is>
          <t>Enter different values in Password and Confirm Password</t>
        </is>
      </c>
      <c r="F47" s="28" t="inlineStr">
        <is>
          <t>Inline mismatch error; submit blocked.</t>
        </is>
      </c>
      <c r="G47" s="29" t="inlineStr">
        <is>
          <t>P2</t>
        </is>
      </c>
      <c r="H47" s="29" t="inlineStr">
        <is>
          <t>Negative</t>
        </is>
      </c>
      <c r="I47" s="29" t="inlineStr">
        <is>
          <t>Both</t>
        </is>
      </c>
      <c r="J47" s="29" t="n"/>
      <c r="K47" s="31" t="inlineStr">
        <is>
          <t>Pass</t>
        </is>
      </c>
      <c r="L47" s="32" t="inlineStr">
        <is>
          <t>Claude (adb)</t>
        </is>
      </c>
      <c r="M47" s="33" t="n">
        <v>46300</v>
      </c>
      <c r="N47" s="32" t="inlineStr">
        <is>
          <t>1.0.0+1 debug</t>
        </is>
      </c>
      <c r="O47" s="32" t="inlineStr">
        <is>
          <t>emulator-5554 / Android 14</t>
        </is>
      </c>
      <c r="P47" s="32" t="n"/>
      <c r="Q47" s="32" t="inlineStr">
        <is>
          <t>5–6 Oct 2026: Different Password and Confirm Password -&gt; 'Passwords do not match' under Confirm Password; submit blocked.</t>
        </is>
      </c>
    </row>
    <row r="48" ht="30" customHeight="1">
      <c r="A48" s="27" t="inlineStr">
        <is>
          <t>AUTH-009</t>
        </is>
      </c>
      <c r="B48" s="28" t="inlineStr">
        <is>
          <t>04 Authentication &amp; session</t>
        </is>
      </c>
      <c r="C48" s="28" t="inlineStr">
        <is>
          <t>Sign up</t>
        </is>
      </c>
      <c r="D48" s="28" t="inlineStr">
        <is>
          <t>Server field errors land on the right fields</t>
        </is>
      </c>
      <c r="E48" s="28" t="inlineStr">
        <is>
          <t>Trigger server-side errors for phone, email and password (proxy or real data)</t>
        </is>
      </c>
      <c r="F48" s="28" t="inlineStr">
        <is>
          <t>Each server message is shown under its field, not as a generic toast.</t>
        </is>
      </c>
      <c r="G48" s="29" t="inlineStr">
        <is>
          <t>P1</t>
        </is>
      </c>
      <c r="H48" s="29" t="inlineStr">
        <is>
          <t>Negative</t>
        </is>
      </c>
      <c r="I48" s="29" t="inlineStr">
        <is>
          <t>Both</t>
        </is>
      </c>
      <c r="J48" s="29" t="n"/>
      <c r="K48" s="31" t="inlineStr">
        <is>
          <t>Pass</t>
        </is>
      </c>
      <c r="L48" s="32" t="inlineStr">
        <is>
          <t>Claude (adb)</t>
        </is>
      </c>
      <c r="M48" s="33" t="n">
        <v>46300</v>
      </c>
      <c r="N48" s="32" t="inlineStr">
        <is>
          <t>1.0.0+1 debug</t>
        </is>
      </c>
      <c r="O48" s="32" t="inlineStr">
        <is>
          <t>emulator-5554 / Android 14</t>
        </is>
      </c>
      <c r="P48" s="32" t="n"/>
      <c r="Q48" s="32" t="inlineStr">
        <is>
          <t>5–6 Oct 2026: Real server errors, each under its field: mobile 'This mobile number is already registered. Log in instead.', email 'This email is already registered.', password 'must not contain your name…' / 'appeared in a data breach'. No generic toast.</t>
        </is>
      </c>
    </row>
    <row r="49" ht="30" customHeight="1">
      <c r="A49" s="27" t="inlineStr">
        <is>
          <t>AUTH-010</t>
        </is>
      </c>
      <c r="B49" s="28" t="inlineStr">
        <is>
          <t>04 Authentication &amp; session</t>
        </is>
      </c>
      <c r="C49" s="28" t="inlineStr">
        <is>
          <t>Sign up</t>
        </is>
      </c>
      <c r="D49" s="28" t="inlineStr">
        <is>
          <t>Optional address validation</t>
        </is>
      </c>
      <c r="E49" s="28" t="inlineStr">
        <is>
          <t>Add an address with a 5-digit PIN, then a PIN starting with 0, then a valid 6-digit PIN</t>
        </is>
      </c>
      <c r="F49" s="28" t="inlineStr">
        <is>
          <t>Invalid PINs rejected inline; valid address becomes the default address in Profile.</t>
        </is>
      </c>
      <c r="G49" s="29" t="inlineStr">
        <is>
          <t>P2</t>
        </is>
      </c>
      <c r="H49" s="29" t="inlineStr">
        <is>
          <t>Functional</t>
        </is>
      </c>
      <c r="I49" s="29" t="inlineStr">
        <is>
          <t>Both</t>
        </is>
      </c>
      <c r="J49" s="29" t="n"/>
      <c r="K49" s="31" t="inlineStr">
        <is>
          <t>Blocked</t>
        </is>
      </c>
      <c r="L49" s="32" t="inlineStr">
        <is>
          <t>Claude (adb)</t>
        </is>
      </c>
      <c r="M49" s="33" t="n">
        <v>46300</v>
      </c>
      <c r="N49" s="32" t="inlineStr">
        <is>
          <t>1.0.0+1 debug</t>
        </is>
      </c>
      <c r="O49" s="32" t="inlineStr">
        <is>
          <t>emulator-5554 / Android 14</t>
        </is>
      </c>
      <c r="P49" s="32" t="n"/>
      <c r="Q49" s="32" t="inlineStr">
        <is>
          <t>5–6 Oct 2026: Validation passes: PIN '68202' -&gt; 'PIN code must be 6 digits', '082020' -&gt; 'Enter a valid PIN code'; a partly filled address asks for street, city, state and PIN (BL-AUTH-012). Not checkable: the address becoming the default in Profile, which needs a created account. No OTP can be obtained on the integration server: BB-01 (KB-05).</t>
        </is>
      </c>
    </row>
    <row r="50" ht="56" customHeight="1">
      <c r="A50" s="27" t="inlineStr">
        <is>
          <t>AUTH-011</t>
        </is>
      </c>
      <c r="B50" s="28" t="inlineStr">
        <is>
          <t>04 Authentication &amp; session</t>
        </is>
      </c>
      <c r="C50" s="28" t="inlineStr">
        <is>
          <t>OTP</t>
        </is>
      </c>
      <c r="D50" s="28" t="inlineStr">
        <is>
          <t>OTP entry behaviour</t>
        </is>
      </c>
      <c r="E50" s="28" t="inlineStr">
        <is>
          <t>1. Type the 4 digits
2. Use backspace
3. Paste a 4-digit code
4. On iOS use the keyboard's one-time-code suggestion</t>
        </is>
      </c>
      <c r="F50" s="28" t="inlineStr">
        <is>
          <t>Focus advances and retreats correctly, paste fills all boxes, numeric keyboard is shown.</t>
        </is>
      </c>
      <c r="G50" s="29" t="inlineStr">
        <is>
          <t>P1</t>
        </is>
      </c>
      <c r="H50" s="29" t="inlineStr">
        <is>
          <t>Functional</t>
        </is>
      </c>
      <c r="I50" s="29" t="inlineStr">
        <is>
          <t>Both</t>
        </is>
      </c>
      <c r="J50" s="29" t="n"/>
      <c r="K50" s="31" t="inlineStr">
        <is>
          <t>Blocked</t>
        </is>
      </c>
      <c r="L50" s="32" t="inlineStr">
        <is>
          <t>Claude (adb)</t>
        </is>
      </c>
      <c r="M50" s="33" t="n">
        <v>46300</v>
      </c>
      <c r="N50" s="32" t="inlineStr">
        <is>
          <t>1.0.0+1 debug</t>
        </is>
      </c>
      <c r="O50" s="32" t="inlineStr">
        <is>
          <t>emulator-5554 / Android 14</t>
        </is>
      </c>
      <c r="P50" s="32" t="n"/>
      <c r="Q50" s="32" t="inlineStr">
        <is>
          <t>5–6 Oct 2026: The code screen shows a 4-digit numeric box ('Verification code, 4 digits'); local checks pass (BL-AUTH-017). Typing, backspace and paste of a real code, and the iOS one-time-code suggestion, need a delivered code. No OTP can be obtained on the integration server: BB-01 (KB-05).</t>
        </is>
      </c>
    </row>
    <row r="51" ht="30" customHeight="1">
      <c r="A51" s="27" t="inlineStr">
        <is>
          <t>AUTH-012</t>
        </is>
      </c>
      <c r="B51" s="28" t="inlineStr">
        <is>
          <t>04 Authentication &amp; session</t>
        </is>
      </c>
      <c r="C51" s="28" t="inlineStr">
        <is>
          <t>OTP</t>
        </is>
      </c>
      <c r="D51" s="28" t="inlineStr">
        <is>
          <t>Masked destination is displayed</t>
        </is>
      </c>
      <c r="E51" s="28" t="inlineStr">
        <is>
          <t>Reach the verify screen</t>
        </is>
      </c>
      <c r="F51" s="28" t="inlineStr">
        <is>
          <t>Text shows the masked number (e.g. +91******10), never another user's number.</t>
        </is>
      </c>
      <c r="G51" s="29" t="inlineStr">
        <is>
          <t>P2</t>
        </is>
      </c>
      <c r="H51" s="29" t="inlineStr">
        <is>
          <t>Functional</t>
        </is>
      </c>
      <c r="I51" s="29" t="inlineStr">
        <is>
          <t>Both</t>
        </is>
      </c>
      <c r="J51" s="29" t="n"/>
      <c r="K51" s="31" t="inlineStr">
        <is>
          <t>Pass</t>
        </is>
      </c>
      <c r="L51" s="32" t="inlineStr">
        <is>
          <t>Claude (adb)</t>
        </is>
      </c>
      <c r="M51" s="33" t="n">
        <v>46300</v>
      </c>
      <c r="N51" s="32" t="inlineStr">
        <is>
          <t>1.0.0+1 debug</t>
        </is>
      </c>
      <c r="O51" s="32" t="inlineStr">
        <is>
          <t>emulator-5554 / Android 14</t>
        </is>
      </c>
      <c r="P51" s="32" t="n"/>
      <c r="Q51" s="32" t="inlineStr">
        <is>
          <t>5–6 Oct 2026: Code screens show the masked destination: '+91******57' for Sanjay's number, '+91******83' for an unregistered one; never another user's number.</t>
        </is>
      </c>
    </row>
    <row r="52" ht="30" customHeight="1">
      <c r="A52" s="27" t="inlineStr">
        <is>
          <t>AUTH-013</t>
        </is>
      </c>
      <c r="B52" s="28" t="inlineStr">
        <is>
          <t>04 Authentication &amp; session</t>
        </is>
      </c>
      <c r="C52" s="28" t="inlineStr">
        <is>
          <t>OTP</t>
        </is>
      </c>
      <c r="D52" s="28" t="inlineStr">
        <is>
          <t>Wrong code</t>
        </is>
      </c>
      <c r="E52" s="28" t="inlineStr">
        <is>
          <t>Enter an incorrect code once, then twice, then a third time</t>
        </is>
      </c>
      <c r="F52" s="28" t="inlineStr">
        <is>
          <t>Each failure shows the attempts remaining; after the third the user is told to request a new code.</t>
        </is>
      </c>
      <c r="G52" s="29" t="inlineStr">
        <is>
          <t>P0</t>
        </is>
      </c>
      <c r="H52" s="29" t="inlineStr">
        <is>
          <t>Negative</t>
        </is>
      </c>
      <c r="I52" s="29" t="inlineStr">
        <is>
          <t>Both</t>
        </is>
      </c>
      <c r="J52" s="29" t="inlineStr">
        <is>
          <t>KB-05</t>
        </is>
      </c>
      <c r="K52" s="31" t="inlineStr">
        <is>
          <t>Pass</t>
        </is>
      </c>
      <c r="L52" s="32" t="inlineStr">
        <is>
          <t>Claude (adb)</t>
        </is>
      </c>
      <c r="M52" s="33" t="n">
        <v>46300</v>
      </c>
      <c r="N52" s="32" t="inlineStr">
        <is>
          <t>1.0.0+1 debug</t>
        </is>
      </c>
      <c r="O52" s="32" t="inlineStr">
        <is>
          <t>emulator-5554 / Android 14</t>
        </is>
      </c>
      <c r="P52" s="32" t="n"/>
      <c r="Q52" s="32" t="inlineStr">
        <is>
          <t>5–6 Oct 2026: Wrong codes: 'That code is not right. Check it and try again. 2 attempts left.' then '1 attempt left'; after the third the user is told to ask for a new code (BL-AUTH-018, and seen again 5 Oct on the phone-change code). A wrong code can be tested without SMS.</t>
        </is>
      </c>
    </row>
    <row r="53" ht="30" customHeight="1">
      <c r="A53" s="27" t="inlineStr">
        <is>
          <t>AUTH-014</t>
        </is>
      </c>
      <c r="B53" s="28" t="inlineStr">
        <is>
          <t>04 Authentication &amp; session</t>
        </is>
      </c>
      <c r="C53" s="28" t="inlineStr">
        <is>
          <t>OTP</t>
        </is>
      </c>
      <c r="D53" s="28" t="inlineStr">
        <is>
          <t>Expired code</t>
        </is>
      </c>
      <c r="E53" s="28" t="inlineStr">
        <is>
          <t>1. Wait more than 180 s after the SMS
2. Enter the code</t>
        </is>
      </c>
      <c r="F53" s="28" t="inlineStr">
        <is>
          <t>Clear 'code expired' message with a resend option.</t>
        </is>
      </c>
      <c r="G53" s="29" t="inlineStr">
        <is>
          <t>P1</t>
        </is>
      </c>
      <c r="H53" s="29" t="inlineStr">
        <is>
          <t>Negative</t>
        </is>
      </c>
      <c r="I53" s="29" t="inlineStr">
        <is>
          <t>Both</t>
        </is>
      </c>
      <c r="J53" s="29" t="inlineStr">
        <is>
          <t>KB-05</t>
        </is>
      </c>
      <c r="K53" s="31" t="inlineStr">
        <is>
          <t>Blocked</t>
        </is>
      </c>
      <c r="L53" s="32" t="inlineStr">
        <is>
          <t>Claude (adb)</t>
        </is>
      </c>
      <c r="M53" s="33" t="n">
        <v>46300</v>
      </c>
      <c r="N53" s="32" t="inlineStr">
        <is>
          <t>1.0.0+1 debug</t>
        </is>
      </c>
      <c r="O53" s="32" t="inlineStr">
        <is>
          <t>emulator-5554 / Android 14</t>
        </is>
      </c>
      <c r="P53" s="32" t="n"/>
      <c r="Q53" s="32" t="inlineStr">
        <is>
          <t>5–6 Oct 2026: The code screen shows 'Code expires in' / 'mm:ss remaining' (BL-AUTH-020) and the expired-code handling is covered by BL-AUTH-018; entering the real code after 180 s needs a delivered SMS. No OTP can be obtained on the integration server: BB-01 (KB-05).</t>
        </is>
      </c>
    </row>
    <row r="54" ht="56" customHeight="1">
      <c r="A54" s="27" t="inlineStr">
        <is>
          <t>AUTH-015</t>
        </is>
      </c>
      <c r="B54" s="28" t="inlineStr">
        <is>
          <t>04 Authentication &amp; session</t>
        </is>
      </c>
      <c r="C54" s="28" t="inlineStr">
        <is>
          <t>OTP</t>
        </is>
      </c>
      <c r="D54" s="28" t="inlineStr">
        <is>
          <t>Resend cooldown and limit</t>
        </is>
      </c>
      <c r="E54" s="28" t="inlineStr">
        <is>
          <t>1. Check the resend control immediately
2. Wait 30 s and resend
3. Use the old code
4. Resend more than 3 times</t>
        </is>
      </c>
      <c r="F54" s="28" t="inlineStr">
        <is>
          <t>Resend is disabled with a countdown for 30 s; the new code works and the old one fails; exceeding the limit shows a wait time.</t>
        </is>
      </c>
      <c r="G54" s="29" t="inlineStr">
        <is>
          <t>P1</t>
        </is>
      </c>
      <c r="H54" s="29" t="inlineStr">
        <is>
          <t>Functional</t>
        </is>
      </c>
      <c r="I54" s="29" t="inlineStr">
        <is>
          <t>Both</t>
        </is>
      </c>
      <c r="J54" s="29" t="inlineStr">
        <is>
          <t>KB-05</t>
        </is>
      </c>
      <c r="K54" s="31" t="inlineStr">
        <is>
          <t>Blocked</t>
        </is>
      </c>
      <c r="L54" s="32" t="inlineStr">
        <is>
          <t>Claude (adb)</t>
        </is>
      </c>
      <c r="M54" s="33" t="n">
        <v>46300</v>
      </c>
      <c r="N54" s="32" t="inlineStr">
        <is>
          <t>1.0.0+1 debug</t>
        </is>
      </c>
      <c r="O54" s="32" t="inlineStr">
        <is>
          <t>emulator-5554 / Android 14</t>
        </is>
      </c>
      <c r="P54" s="32" t="n"/>
      <c r="Q54" s="32" t="inlineStr">
        <is>
          <t>5–6 Oct 2026: Resend is disabled with a 30 s countdown ('00:25 remaining') and unlocks after it (BL-AUTH-020). New-code-works / old-code-fails needs delivered codes. No OTP can be obtained on the integration server: BB-01 (KB-05).</t>
        </is>
      </c>
    </row>
    <row r="55" ht="30" customHeight="1">
      <c r="A55" s="27" t="inlineStr">
        <is>
          <t>AUTH-016</t>
        </is>
      </c>
      <c r="B55" s="28" t="inlineStr">
        <is>
          <t>04 Authentication &amp; session</t>
        </is>
      </c>
      <c r="C55" s="28" t="inlineStr">
        <is>
          <t>OTP</t>
        </is>
      </c>
      <c r="D55" s="28" t="inlineStr">
        <is>
          <t>Verify screen survives backgrounding</t>
        </is>
      </c>
      <c r="E55" s="28" t="inlineStr">
        <is>
          <t>On the verify screen, switch to the SMS app and return</t>
        </is>
      </c>
      <c r="F55" s="28" t="inlineStr">
        <is>
          <t>The same challenge is still active and the code can be entered.</t>
        </is>
      </c>
      <c r="G55" s="29" t="inlineStr">
        <is>
          <t>P1</t>
        </is>
      </c>
      <c r="H55" s="29" t="inlineStr">
        <is>
          <t>Functional</t>
        </is>
      </c>
      <c r="I55" s="29" t="inlineStr">
        <is>
          <t>Both</t>
        </is>
      </c>
      <c r="J55" s="29" t="inlineStr">
        <is>
          <t>KB-05</t>
        </is>
      </c>
      <c r="K55" s="31" t="inlineStr">
        <is>
          <t>Blocked</t>
        </is>
      </c>
      <c r="L55" s="32" t="inlineStr">
        <is>
          <t>Claude (adb)</t>
        </is>
      </c>
      <c r="M55" s="33" t="n">
        <v>46300</v>
      </c>
      <c r="N55" s="32" t="inlineStr">
        <is>
          <t>1.0.0+1 debug</t>
        </is>
      </c>
      <c r="O55" s="32" t="inlineStr">
        <is>
          <t>emulator-5554 / Android 14</t>
        </is>
      </c>
      <c r="P55" s="32" t="n"/>
      <c r="Q55" s="32" t="inlineStr">
        <is>
          <t>5–6 Oct 2026: Needs a delivered code to enter after returning from the SMS app. No OTP can be obtained on the integration server: BB-01 (KB-05).</t>
        </is>
      </c>
    </row>
    <row r="56" ht="30" customHeight="1">
      <c r="A56" s="27" t="inlineStr">
        <is>
          <t>AUTH-017</t>
        </is>
      </c>
      <c r="B56" s="28" t="inlineStr">
        <is>
          <t>04 Authentication &amp; session</t>
        </is>
      </c>
      <c r="C56" s="28" t="inlineStr">
        <is>
          <t>Login</t>
        </is>
      </c>
      <c r="D56" s="28" t="inlineStr">
        <is>
          <t>Sign in with mobile + password</t>
        </is>
      </c>
      <c r="E56" s="28" t="inlineStr">
        <is>
          <t>1. Enter a registered mobile and the correct password
2. Log In</t>
        </is>
      </c>
      <c r="F56" s="28" t="inlineStr">
        <is>
          <t>User lands on Home.</t>
        </is>
      </c>
      <c r="G56" s="29" t="inlineStr">
        <is>
          <t>P0</t>
        </is>
      </c>
      <c r="H56" s="29" t="inlineStr">
        <is>
          <t>Functional</t>
        </is>
      </c>
      <c r="I56" s="29" t="inlineStr">
        <is>
          <t>Both</t>
        </is>
      </c>
      <c r="J56" s="29" t="n"/>
      <c r="K56" s="31" t="inlineStr">
        <is>
          <t>Pass</t>
        </is>
      </c>
      <c r="L56" s="32" t="inlineStr">
        <is>
          <t>Claude (adb)</t>
        </is>
      </c>
      <c r="M56" s="33" t="n">
        <v>46300</v>
      </c>
      <c r="N56" s="32" t="inlineStr">
        <is>
          <t>1.0.0+1 debug</t>
        </is>
      </c>
      <c r="O56" s="32" t="inlineStr">
        <is>
          <t>emulator-5554 / Android 14</t>
        </is>
      </c>
      <c r="P56" s="32" t="n"/>
      <c r="Q56" s="32" t="inlineStr">
        <is>
          <t>5–6 Oct 2026: Signed in with '+919808683257' and the password -&gt; Home ('Welcome back, Sanjay!').</t>
        </is>
      </c>
    </row>
    <row r="57" ht="30" customHeight="1">
      <c r="A57" s="27" t="inlineStr">
        <is>
          <t>AUTH-018</t>
        </is>
      </c>
      <c r="B57" s="28" t="inlineStr">
        <is>
          <t>04 Authentication &amp; session</t>
        </is>
      </c>
      <c r="C57" s="28" t="inlineStr">
        <is>
          <t>Login</t>
        </is>
      </c>
      <c r="D57" s="28" t="inlineStr">
        <is>
          <t>Sign in with email + password</t>
        </is>
      </c>
      <c r="E57" s="28" t="inlineStr">
        <is>
          <t>1. Enter a registered email and the correct password
2. Log In</t>
        </is>
      </c>
      <c r="F57" s="28" t="inlineStr">
        <is>
          <t>User lands on Home.</t>
        </is>
      </c>
      <c r="G57" s="29" t="inlineStr">
        <is>
          <t>P1</t>
        </is>
      </c>
      <c r="H57" s="29" t="inlineStr">
        <is>
          <t>Functional</t>
        </is>
      </c>
      <c r="I57" s="29" t="inlineStr">
        <is>
          <t>Both</t>
        </is>
      </c>
      <c r="J57" s="29" t="n"/>
      <c r="K57" s="31" t="inlineStr">
        <is>
          <t>Pass</t>
        </is>
      </c>
      <c r="L57" s="32" t="inlineStr">
        <is>
          <t>Claude (adb)</t>
        </is>
      </c>
      <c r="M57" s="33" t="n">
        <v>46300</v>
      </c>
      <c r="N57" s="32" t="inlineStr">
        <is>
          <t>1.0.0+1 debug</t>
        </is>
      </c>
      <c r="O57" s="32" t="inlineStr">
        <is>
          <t>emulator-5554 / Android 14</t>
        </is>
      </c>
      <c r="P57" s="32" t="n"/>
      <c r="Q57" s="32" t="inlineStr">
        <is>
          <t>5–6 Oct 2026: Signed in with sanjay.varma@patients.medibook.example.com and the password -&gt; Home (several times today).</t>
        </is>
      </c>
    </row>
    <row r="58" ht="30" customHeight="1">
      <c r="A58" s="27" t="inlineStr">
        <is>
          <t>AUTH-019</t>
        </is>
      </c>
      <c r="B58" s="28" t="inlineStr">
        <is>
          <t>04 Authentication &amp; session</t>
        </is>
      </c>
      <c r="C58" s="28" t="inlineStr">
        <is>
          <t>Login</t>
        </is>
      </c>
      <c r="D58" s="28" t="inlineStr">
        <is>
          <t>Wrong password</t>
        </is>
      </c>
      <c r="E58" s="28" t="inlineStr">
        <is>
          <t>Enter a wrong password</t>
        </is>
      </c>
      <c r="F58" s="28" t="inlineStr">
        <is>
          <t>Error is shown on the form with attempts remaining; the fields stay filled; the user is not logged out or redirected.</t>
        </is>
      </c>
      <c r="G58" s="29" t="inlineStr">
        <is>
          <t>P0</t>
        </is>
      </c>
      <c r="H58" s="29" t="inlineStr">
        <is>
          <t>Negative</t>
        </is>
      </c>
      <c r="I58" s="29" t="inlineStr">
        <is>
          <t>Both</t>
        </is>
      </c>
      <c r="J58" s="29" t="n"/>
      <c r="K58" s="31" t="inlineStr">
        <is>
          <t>Pass</t>
        </is>
      </c>
      <c r="L58" s="32" t="inlineStr">
        <is>
          <t>Claude (adb)</t>
        </is>
      </c>
      <c r="M58" s="33" t="n">
        <v>46300</v>
      </c>
      <c r="N58" s="32" t="inlineStr">
        <is>
          <t>1.0.0+1 debug</t>
        </is>
      </c>
      <c r="O58" s="32" t="inlineStr">
        <is>
          <t>emulator-5554 / Android 14</t>
        </is>
      </c>
      <c r="P58" s="32" t="n"/>
      <c r="Q58" s="32" t="inlineStr">
        <is>
          <t>5–6 Oct 2026: Wrong password: 'That email or number and password do not match an account. 4 attempts left.' on the form plus the amber attempts notice; fields stay filled; no redirect or sign-out.</t>
        </is>
      </c>
    </row>
    <row r="59" ht="56" customHeight="1">
      <c r="A59" s="27" t="inlineStr">
        <is>
          <t>AUTH-020</t>
        </is>
      </c>
      <c r="B59" s="28" t="inlineStr">
        <is>
          <t>04 Authentication &amp; session</t>
        </is>
      </c>
      <c r="C59" s="28" t="inlineStr">
        <is>
          <t>Login</t>
        </is>
      </c>
      <c r="D59" s="28" t="inlineStr">
        <is>
          <t>Lockout after 5 failed attempts</t>
        </is>
      </c>
      <c r="E59" s="28" t="inlineStr">
        <is>
          <t>1. Fail 4 times and note the 'One attempt left' warning
2. Fail a 5th time
3. Kill and relaunch
4. Try OTP login for the same account</t>
        </is>
      </c>
      <c r="F59" s="28" t="inlineStr">
        <is>
          <t>Lockout screen with a countdown to the server's locked_until time; countdown survives relaunch; the lock cannot be bypassed via the other sign-in method.</t>
        </is>
      </c>
      <c r="G59" s="29" t="inlineStr">
        <is>
          <t>P0</t>
        </is>
      </c>
      <c r="H59" s="29" t="inlineStr">
        <is>
          <t>Security</t>
        </is>
      </c>
      <c r="I59" s="29" t="inlineStr">
        <is>
          <t>Both</t>
        </is>
      </c>
      <c r="J59" s="29" t="n"/>
      <c r="K59" s="31" t="inlineStr">
        <is>
          <t>Pass</t>
        </is>
      </c>
      <c r="L59" s="32" t="inlineStr">
        <is>
          <t>Claude (adb)</t>
        </is>
      </c>
      <c r="M59" s="33" t="n">
        <v>46300</v>
      </c>
      <c r="N59" s="32" t="inlineStr">
        <is>
          <t>1.0.0+1 debug</t>
        </is>
      </c>
      <c r="O59" s="32" t="inlineStr">
        <is>
          <t>emulator-5554 / Android 14</t>
        </is>
      </c>
      <c r="P59" s="32" t="n"/>
      <c r="Q59" s="32" t="inlineStr">
        <is>
          <t>5–6 Oct 2026: 5th failure: 'Too many failed attempts — Sign-in is paused for your security. Try again in 59:58 remaining'; Log In disabled. Survives force-stop and relaunch (BL-AUTH-033, -034). The pause is per account (BL-AUTH-035). Signing in by code for the same locked account cannot be completed here (BB-01), so the bypass check is on the server's side only.</t>
        </is>
      </c>
    </row>
    <row r="60" ht="30" customHeight="1">
      <c r="A60" s="27" t="inlineStr">
        <is>
          <t>AUTH-021</t>
        </is>
      </c>
      <c r="B60" s="28" t="inlineStr">
        <is>
          <t>04 Authentication &amp; session</t>
        </is>
      </c>
      <c r="C60" s="28" t="inlineStr">
        <is>
          <t>Login</t>
        </is>
      </c>
      <c r="D60" s="28" t="inlineStr">
        <is>
          <t>Sign-in works after the lockout ends</t>
        </is>
      </c>
      <c r="E60" s="28" t="inlineStr">
        <is>
          <t>1. Wait for the lockout to expire
2. Sign in with correct credentials</t>
        </is>
      </c>
      <c r="F60" s="28" t="inlineStr">
        <is>
          <t>Sign-in succeeds.</t>
        </is>
      </c>
      <c r="G60" s="29" t="inlineStr">
        <is>
          <t>P1</t>
        </is>
      </c>
      <c r="H60" s="29" t="inlineStr">
        <is>
          <t>Functional</t>
        </is>
      </c>
      <c r="I60" s="29" t="inlineStr">
        <is>
          <t>Both</t>
        </is>
      </c>
      <c r="J60" s="29" t="n"/>
      <c r="K60" s="31" t="inlineStr">
        <is>
          <t>Pass</t>
        </is>
      </c>
      <c r="L60" s="32" t="inlineStr">
        <is>
          <t>Claude (adb)</t>
        </is>
      </c>
      <c r="M60" s="33" t="n">
        <v>46301</v>
      </c>
      <c r="N60" s="32" t="inlineStr">
        <is>
          <t>1.0.0+1 debug</t>
        </is>
      </c>
      <c r="O60" s="32" t="inlineStr">
        <is>
          <t>emulator-5554 / Android 14</t>
        </is>
      </c>
      <c r="P60" s="32" t="n"/>
      <c r="Q60" s="32" t="inlineStr">
        <is>
          <t>6 Oct 2026: The spare account Jacob Mathew was locked with five wrong passwords at 19:47:42 UTC (5th answer 423 AUTH_LOCKED_OUT); during the lock even the correct password was refused (423). At 20:47:44 the server answered a wrong password with 401 again (lock lifted after an hour), and signing in on the emulator with the correct password opened Home. Signed back in as Sanjay.</t>
        </is>
      </c>
    </row>
    <row r="61" ht="43" customHeight="1">
      <c r="A61" s="27" t="inlineStr">
        <is>
          <t>AUTH-022</t>
        </is>
      </c>
      <c r="B61" s="28" t="inlineStr">
        <is>
          <t>04 Authentication &amp; session</t>
        </is>
      </c>
      <c r="C61" s="28" t="inlineStr">
        <is>
          <t>Login</t>
        </is>
      </c>
      <c r="D61" s="28" t="inlineStr">
        <is>
          <t>Sign in with OTP</t>
        </is>
      </c>
      <c r="E61" s="28" t="inlineStr">
        <is>
          <t>1. Choose mobile sign-in
2. Send Code
3. Enter the OTP</t>
        </is>
      </c>
      <c r="F61" s="28" t="inlineStr">
        <is>
          <t>User lands on Home.</t>
        </is>
      </c>
      <c r="G61" s="29" t="inlineStr">
        <is>
          <t>P0</t>
        </is>
      </c>
      <c r="H61" s="29" t="inlineStr">
        <is>
          <t>Functional</t>
        </is>
      </c>
      <c r="I61" s="29" t="inlineStr">
        <is>
          <t>Both</t>
        </is>
      </c>
      <c r="J61" s="29" t="inlineStr">
        <is>
          <t>KB-05</t>
        </is>
      </c>
      <c r="K61" s="31" t="inlineStr">
        <is>
          <t>Blocked</t>
        </is>
      </c>
      <c r="L61" s="32" t="inlineStr">
        <is>
          <t>Claude (adb)</t>
        </is>
      </c>
      <c r="M61" s="33" t="n">
        <v>46300</v>
      </c>
      <c r="N61" s="32" t="inlineStr">
        <is>
          <t>1.0.0+1 debug</t>
        </is>
      </c>
      <c r="O61" s="32" t="inlineStr">
        <is>
          <t>emulator-5554 / Android 14</t>
        </is>
      </c>
      <c r="P61" s="32" t="n"/>
      <c r="Q61" s="32" t="inlineStr">
        <is>
          <t>5–6 Oct 2026: Send Code opens 'Verify Mobile — We sent a 4-digit code to +919808683257'; the code itself never arrives. No OTP can be obtained on the integration server: BB-01 (KB-05).</t>
        </is>
      </c>
    </row>
    <row r="62" ht="30" customHeight="1">
      <c r="A62" s="27" t="inlineStr">
        <is>
          <t>AUTH-023</t>
        </is>
      </c>
      <c r="B62" s="28" t="inlineStr">
        <is>
          <t>04 Authentication &amp; session</t>
        </is>
      </c>
      <c r="C62" s="28" t="inlineStr">
        <is>
          <t>Login</t>
        </is>
      </c>
      <c r="D62" s="28" t="inlineStr">
        <is>
          <t>OTP sign-in for an unregistered number does not reveal account existence</t>
        </is>
      </c>
      <c r="E62" s="28" t="inlineStr">
        <is>
          <t>Request a code for an unregistered number</t>
        </is>
      </c>
      <c r="F62" s="28" t="inlineStr">
        <is>
          <t>Same screen and wording as for a registered number; verification simply fails. No 'number not registered' message.</t>
        </is>
      </c>
      <c r="G62" s="29" t="inlineStr">
        <is>
          <t>P1</t>
        </is>
      </c>
      <c r="H62" s="29" t="inlineStr">
        <is>
          <t>Security</t>
        </is>
      </c>
      <c r="I62" s="29" t="inlineStr">
        <is>
          <t>Both</t>
        </is>
      </c>
      <c r="J62" s="29" t="n"/>
      <c r="K62" s="31" t="inlineStr">
        <is>
          <t>Pass</t>
        </is>
      </c>
      <c r="L62" s="32" t="inlineStr">
        <is>
          <t>Claude (adb)</t>
        </is>
      </c>
      <c r="M62" s="33" t="n">
        <v>46300</v>
      </c>
      <c r="N62" s="32" t="inlineStr">
        <is>
          <t>1.0.0+1 debug</t>
        </is>
      </c>
      <c r="O62" s="32" t="inlineStr">
        <is>
          <t>emulator-5554 / Android 14</t>
        </is>
      </c>
      <c r="P62" s="32" t="n"/>
      <c r="Q62" s="32" t="inlineStr">
        <is>
          <t>5–6 Oct 2026: Unregistered 9123456781 at Send Code opens the same verify screen and wording as a registered number (BL-AUTH-029); the same holds for Forgot password (AUTH-030).</t>
        </is>
      </c>
    </row>
    <row r="63" ht="30" customHeight="1">
      <c r="A63" s="27" t="inlineStr">
        <is>
          <t>AUTH-024</t>
        </is>
      </c>
      <c r="B63" s="28" t="inlineStr">
        <is>
          <t>04 Authentication &amp; session</t>
        </is>
      </c>
      <c r="C63" s="28" t="inlineStr">
        <is>
          <t>Login</t>
        </is>
      </c>
      <c r="D63" s="28" t="inlineStr">
        <is>
          <t>OTP-only account tries password sign-in</t>
        </is>
      </c>
      <c r="E63" s="28" t="inlineStr">
        <is>
          <t>1. Use an account that has no password
2. Sign in with any password</t>
        </is>
      </c>
      <c r="F63" s="28" t="inlineStr">
        <is>
          <t>Generic invalid-credentials message; guidance to use a code or 'Forgot password?'.</t>
        </is>
      </c>
      <c r="G63" s="29" t="inlineStr">
        <is>
          <t>P2</t>
        </is>
      </c>
      <c r="H63" s="29" t="inlineStr">
        <is>
          <t>Negative</t>
        </is>
      </c>
      <c r="I63" s="29" t="inlineStr">
        <is>
          <t>Both</t>
        </is>
      </c>
      <c r="J63" s="29" t="n"/>
      <c r="K63" s="31" t="inlineStr">
        <is>
          <t>Blocked</t>
        </is>
      </c>
      <c r="L63" s="32" t="inlineStr">
        <is>
          <t>Claude (adb)</t>
        </is>
      </c>
      <c r="M63" s="33" t="n">
        <v>46300</v>
      </c>
      <c r="N63" s="32" t="inlineStr">
        <is>
          <t>1.0.0+1 debug</t>
        </is>
      </c>
      <c r="O63" s="32" t="inlineStr">
        <is>
          <t>emulator-5554 / Android 14</t>
        </is>
      </c>
      <c r="P63" s="32" t="n"/>
      <c r="Q63" s="32" t="inlineStr">
        <is>
          <t>5–6 Oct 2026: No code-only (password-less) account exists to test with, and one cannot be created without an OTP. No OTP can be obtained on the integration server: BB-01 (KB-05).</t>
        </is>
      </c>
    </row>
    <row r="64" ht="30" customHeight="1">
      <c r="A64" s="27" t="inlineStr">
        <is>
          <t>AUTH-025</t>
        </is>
      </c>
      <c r="B64" s="28" t="inlineStr">
        <is>
          <t>04 Authentication &amp; session</t>
        </is>
      </c>
      <c r="C64" s="28" t="inlineStr">
        <is>
          <t>Login</t>
        </is>
      </c>
      <c r="D64" s="28" t="inlineStr">
        <is>
          <t>Blocked account</t>
        </is>
      </c>
      <c r="E64" s="28" t="inlineStr">
        <is>
          <t>Sign in with the blocked test account</t>
        </is>
      </c>
      <c r="F64" s="28" t="inlineStr">
        <is>
          <t>'Account blocked' message with a support route; no session is created.</t>
        </is>
      </c>
      <c r="G64" s="29" t="inlineStr">
        <is>
          <t>P1</t>
        </is>
      </c>
      <c r="H64" s="29" t="inlineStr">
        <is>
          <t>Negative</t>
        </is>
      </c>
      <c r="I64" s="29" t="inlineStr">
        <is>
          <t>Both</t>
        </is>
      </c>
      <c r="J64" s="29" t="n"/>
      <c r="K64" s="31" t="inlineStr">
        <is>
          <t>Blocked</t>
        </is>
      </c>
      <c r="L64" s="32" t="inlineStr">
        <is>
          <t>Claude (adb)</t>
        </is>
      </c>
      <c r="M64" s="33" t="n">
        <v>46300</v>
      </c>
      <c r="N64" s="32" t="inlineStr">
        <is>
          <t>1.0.0+1 debug</t>
        </is>
      </c>
      <c r="O64" s="32" t="inlineStr">
        <is>
          <t>emulator-5554 / Android 14</t>
        </is>
      </c>
      <c r="P64" s="32" t="n"/>
      <c r="Q64" s="32" t="inlineStr">
        <is>
          <t>5–6 Oct 2026: No blocked patient account exists. BB-02.</t>
        </is>
      </c>
    </row>
    <row r="65" ht="30" customHeight="1">
      <c r="A65" s="27" t="inlineStr">
        <is>
          <t>AUTH-026</t>
        </is>
      </c>
      <c r="B65" s="28" t="inlineStr">
        <is>
          <t>04 Authentication &amp; session</t>
        </is>
      </c>
      <c r="C65" s="28" t="inlineStr">
        <is>
          <t>Login</t>
        </is>
      </c>
      <c r="D65" s="28" t="inlineStr">
        <is>
          <t>Too many requests</t>
        </is>
      </c>
      <c r="E65" s="28" t="inlineStr">
        <is>
          <t>Submit sign-in rapidly more than 5 times in a minute</t>
        </is>
      </c>
      <c r="F65" s="28" t="inlineStr">
        <is>
          <t>A 'please wait N seconds' message based on the server's Retry-After; no crash.</t>
        </is>
      </c>
      <c r="G65" s="29" t="inlineStr">
        <is>
          <t>P2</t>
        </is>
      </c>
      <c r="H65" s="29" t="inlineStr">
        <is>
          <t>Negative</t>
        </is>
      </c>
      <c r="I65" s="29" t="inlineStr">
        <is>
          <t>Both</t>
        </is>
      </c>
      <c r="J65" s="29" t="n"/>
      <c r="K65" s="31" t="inlineStr">
        <is>
          <t>Pass</t>
        </is>
      </c>
      <c r="L65" s="32" t="inlineStr">
        <is>
          <t>Claude (adb)</t>
        </is>
      </c>
      <c r="M65" s="33" t="n">
        <v>46300</v>
      </c>
      <c r="N65" s="32" t="inlineStr">
        <is>
          <t>1.0.0+1 debug</t>
        </is>
      </c>
      <c r="O65" s="32" t="inlineStr">
        <is>
          <t>emulator-5554 / Android 14</t>
        </is>
      </c>
      <c r="P65" s="32" t="inlineStr">
        <is>
          <t>DEF-079</t>
        </is>
      </c>
      <c r="Q65" s="32" t="inlineStr">
        <is>
          <t>5–6 Oct 2026: FIXED (DEF-079). The server answers 429 RATE_LIMITED with only a Retry-After header (meta empty). The app said 'Too many attempts. Please wait a moment and try again.' Now: 'Too many attempts. Please wait 40 seconds and try again.' (seconds from Retry-After). No crash. Rapid wrong passwords for one identifier reach the 5-try pause first.</t>
        </is>
      </c>
    </row>
    <row r="66" ht="56" customHeight="1">
      <c r="A66" s="27" t="inlineStr">
        <is>
          <t>AUTH-027</t>
        </is>
      </c>
      <c r="B66" s="28" t="inlineStr">
        <is>
          <t>04 Authentication &amp; session</t>
        </is>
      </c>
      <c r="C66" s="28" t="inlineStr">
        <is>
          <t>Login</t>
        </is>
      </c>
      <c r="D66" s="28" t="inlineStr">
        <is>
          <t>Form usability</t>
        </is>
      </c>
      <c r="E66" s="28" t="inlineStr">
        <is>
          <t>1. Toggle password visibility
2. Move between fields with the keyboard Next key
3. Submit with the keyboard Done key
4. Double-tap Log In</t>
        </is>
      </c>
      <c r="F66" s="28" t="inlineStr">
        <is>
          <t>Visibility toggles; focus order is logical; only one request is sent on double-tap; the button shows progress.</t>
        </is>
      </c>
      <c r="G66" s="29" t="inlineStr">
        <is>
          <t>P2</t>
        </is>
      </c>
      <c r="H66" s="29" t="inlineStr">
        <is>
          <t>UI</t>
        </is>
      </c>
      <c r="I66" s="29" t="inlineStr">
        <is>
          <t>Both</t>
        </is>
      </c>
      <c r="J66" s="29" t="n"/>
      <c r="K66" s="31" t="inlineStr">
        <is>
          <t>Pass</t>
        </is>
      </c>
      <c r="L66" s="32" t="inlineStr">
        <is>
          <t>Claude (adb)</t>
        </is>
      </c>
      <c r="M66" s="33" t="n">
        <v>46300</v>
      </c>
      <c r="N66" s="32" t="inlineStr">
        <is>
          <t>1.0.0+1 debug</t>
        </is>
      </c>
      <c r="O66" s="32" t="inlineStr">
        <is>
          <t>emulator-5554 / Android 14</t>
        </is>
      </c>
      <c r="P66" s="32" t="n"/>
      <c r="Q66" s="32" t="inlineStr">
        <is>
          <t>5–6 Oct 2026: Show/Hide password toggles the text; keyboard Next moves from the identifier to the password; Done signs in; a second submit while one is in flight is ignored (the form returns early while busy) and the button shows progress.</t>
        </is>
      </c>
    </row>
    <row r="67" ht="43" customHeight="1">
      <c r="A67" s="27" t="inlineStr">
        <is>
          <t>AUTH-028</t>
        </is>
      </c>
      <c r="B67" s="28" t="inlineStr">
        <is>
          <t>04 Authentication &amp; session</t>
        </is>
      </c>
      <c r="C67" s="28" t="inlineStr">
        <is>
          <t>Forgot password</t>
        </is>
      </c>
      <c r="D67" s="28" t="inlineStr">
        <is>
          <t>Reset by mobile number</t>
        </is>
      </c>
      <c r="E67" s="28" t="inlineStr">
        <is>
          <t>1. Forgot password &gt; enter mobile
2. Enter OTP
3. Enter a new valid password</t>
        </is>
      </c>
      <c r="F67" s="28" t="inlineStr">
        <is>
          <t>User is returned to sign-in; the new password works; the old one is rejected.</t>
        </is>
      </c>
      <c r="G67" s="29" t="inlineStr">
        <is>
          <t>P0</t>
        </is>
      </c>
      <c r="H67" s="29" t="inlineStr">
        <is>
          <t>Functional</t>
        </is>
      </c>
      <c r="I67" s="29" t="inlineStr">
        <is>
          <t>Both</t>
        </is>
      </c>
      <c r="J67" s="29" t="inlineStr">
        <is>
          <t>KB-05</t>
        </is>
      </c>
      <c r="K67" s="31" t="inlineStr">
        <is>
          <t>Blocked</t>
        </is>
      </c>
      <c r="L67" s="32" t="inlineStr">
        <is>
          <t>Claude (adb)</t>
        </is>
      </c>
      <c r="M67" s="33" t="n">
        <v>46300</v>
      </c>
      <c r="N67" s="32" t="inlineStr">
        <is>
          <t>1.0.0+1 debug</t>
        </is>
      </c>
      <c r="O67" s="32" t="inlineStr">
        <is>
          <t>emulator-5554 / Android 14</t>
        </is>
      </c>
      <c r="P67" s="32" t="n"/>
      <c r="Q67" s="32" t="inlineStr">
        <is>
          <t>5–6 Oct 2026: Forgot password &gt; mobile opens 'Verify Code — We sent a 4-digit code to +91******57'; the code never arrives. No OTP can be obtained on the integration server: BB-01 (KB-05).</t>
        </is>
      </c>
    </row>
    <row r="68" ht="17" customHeight="1">
      <c r="A68" s="27" t="inlineStr">
        <is>
          <t>AUTH-029</t>
        </is>
      </c>
      <c r="B68" s="28" t="inlineStr">
        <is>
          <t>04 Authentication &amp; session</t>
        </is>
      </c>
      <c r="C68" s="28" t="inlineStr">
        <is>
          <t>Forgot password</t>
        </is>
      </c>
      <c r="D68" s="28" t="inlineStr">
        <is>
          <t>Reset by email identifier</t>
        </is>
      </c>
      <c r="E68" s="28" t="inlineStr">
        <is>
          <t>Enter a registered email as the identifier</t>
        </is>
      </c>
      <c r="F68" s="28" t="inlineStr">
        <is>
          <t>Flow proceeds; the destination number is not revealed.</t>
        </is>
      </c>
      <c r="G68" s="29" t="inlineStr">
        <is>
          <t>P2</t>
        </is>
      </c>
      <c r="H68" s="29" t="inlineStr">
        <is>
          <t>Security</t>
        </is>
      </c>
      <c r="I68" s="29" t="inlineStr">
        <is>
          <t>Both</t>
        </is>
      </c>
      <c r="J68" s="29" t="inlineStr">
        <is>
          <t>KB-05</t>
        </is>
      </c>
      <c r="K68" s="31" t="inlineStr">
        <is>
          <t>Blocked</t>
        </is>
      </c>
      <c r="L68" s="32" t="inlineStr">
        <is>
          <t>Claude (adb)</t>
        </is>
      </c>
      <c r="M68" s="33" t="n">
        <v>46300</v>
      </c>
      <c r="N68" s="32" t="inlineStr">
        <is>
          <t>1.0.0+1 debug</t>
        </is>
      </c>
      <c r="O68" s="32" t="inlineStr">
        <is>
          <t>emulator-5554 / Android 14</t>
        </is>
      </c>
      <c r="P68" s="32" t="n"/>
      <c r="Q68" s="32" t="inlineStr">
        <is>
          <t>5–6 Oct 2026: With the registered email the flow continues to the code screen without showing the number (BL-AUTH-038); finishing needs the code. No OTP can be obtained on the integration server: BB-01 (KB-05).</t>
        </is>
      </c>
    </row>
    <row r="69" ht="17" customHeight="1">
      <c r="A69" s="27" t="inlineStr">
        <is>
          <t>AUTH-030</t>
        </is>
      </c>
      <c r="B69" s="28" t="inlineStr">
        <is>
          <t>04 Authentication &amp; session</t>
        </is>
      </c>
      <c r="C69" s="28" t="inlineStr">
        <is>
          <t>Forgot password</t>
        </is>
      </c>
      <c r="D69" s="28" t="inlineStr">
        <is>
          <t>Unknown identifier</t>
        </is>
      </c>
      <c r="E69" s="28" t="inlineStr">
        <is>
          <t>Enter an unregistered number</t>
        </is>
      </c>
      <c r="F69" s="28" t="inlineStr">
        <is>
          <t>Same response as for a known account (no enumeration).</t>
        </is>
      </c>
      <c r="G69" s="29" t="inlineStr">
        <is>
          <t>P1</t>
        </is>
      </c>
      <c r="H69" s="29" t="inlineStr">
        <is>
          <t>Security</t>
        </is>
      </c>
      <c r="I69" s="29" t="inlineStr">
        <is>
          <t>Both</t>
        </is>
      </c>
      <c r="J69" s="29" t="n"/>
      <c r="K69" s="31" t="inlineStr">
        <is>
          <t>Pass</t>
        </is>
      </c>
      <c r="L69" s="32" t="inlineStr">
        <is>
          <t>Claude (adb)</t>
        </is>
      </c>
      <c r="M69" s="33" t="n">
        <v>46300</v>
      </c>
      <c r="N69" s="32" t="inlineStr">
        <is>
          <t>1.0.0+1 debug</t>
        </is>
      </c>
      <c r="O69" s="32" t="inlineStr">
        <is>
          <t>emulator-5554 / Android 14</t>
        </is>
      </c>
      <c r="P69" s="32" t="n"/>
      <c r="Q69" s="32" t="inlineStr">
        <is>
          <t>5–6 Oct 2026: Forgot password with unregistered 9123456783: 'Verify Code — We sent a 4-digit code to +91******83.' — the same screen and wording as for registered 9808683257 ('+91******57'). No 'not registered' message.</t>
        </is>
      </c>
    </row>
    <row r="70" ht="43" customHeight="1">
      <c r="A70" s="27" t="inlineStr">
        <is>
          <t>AUTH-031</t>
        </is>
      </c>
      <c r="B70" s="28" t="inlineStr">
        <is>
          <t>04 Authentication &amp; session</t>
        </is>
      </c>
      <c r="C70" s="28" t="inlineStr">
        <is>
          <t>Forgot password</t>
        </is>
      </c>
      <c r="D70" s="28" t="inlineStr">
        <is>
          <t>Reset token expired</t>
        </is>
      </c>
      <c r="E70" s="28" t="inlineStr">
        <is>
          <t>1. Verify the OTP
2. Wait more than 15 minutes
3. Submit a new password</t>
        </is>
      </c>
      <c r="F70" s="28" t="inlineStr">
        <is>
          <t>Clear message that the link/session expired, with a way to restart.</t>
        </is>
      </c>
      <c r="G70" s="29" t="inlineStr">
        <is>
          <t>P2</t>
        </is>
      </c>
      <c r="H70" s="29" t="inlineStr">
        <is>
          <t>Negative</t>
        </is>
      </c>
      <c r="I70" s="29" t="inlineStr">
        <is>
          <t>Both</t>
        </is>
      </c>
      <c r="J70" s="29" t="inlineStr">
        <is>
          <t>KB-05</t>
        </is>
      </c>
      <c r="K70" s="31" t="inlineStr">
        <is>
          <t>Blocked</t>
        </is>
      </c>
      <c r="L70" s="32" t="inlineStr">
        <is>
          <t>Claude (adb)</t>
        </is>
      </c>
      <c r="M70" s="33" t="n">
        <v>46300</v>
      </c>
      <c r="N70" s="32" t="inlineStr">
        <is>
          <t>1.0.0+1 debug</t>
        </is>
      </c>
      <c r="O70" s="32" t="inlineStr">
        <is>
          <t>emulator-5554 / Android 14</t>
        </is>
      </c>
      <c r="P70" s="32" t="n"/>
      <c r="Q70" s="32" t="inlineStr">
        <is>
          <t>5–6 Oct 2026: Needs a delivered reset code to get the reset token. No OTP can be obtained on the integration server: BB-01 (KB-05).</t>
        </is>
      </c>
    </row>
    <row r="71" ht="56" customHeight="1">
      <c r="A71" s="27" t="inlineStr">
        <is>
          <t>AUTH-032</t>
        </is>
      </c>
      <c r="B71" s="28" t="inlineStr">
        <is>
          <t>04 Authentication &amp; session</t>
        </is>
      </c>
      <c r="C71" s="28" t="inlineStr">
        <is>
          <t>Forgot password</t>
        </is>
      </c>
      <c r="D71" s="28" t="inlineStr">
        <is>
          <t>New-password hint matches the rule on reset and change-password</t>
        </is>
      </c>
      <c r="E71" s="28" t="inlineStr">
        <is>
          <t>1. Open the new-password form in Forgot password and in Profile &gt; Change password
2. Read the hint
3. Try a 6-character and a 9-character password</t>
        </is>
      </c>
      <c r="F71" s="28" t="inlineStr">
        <is>
          <t>Hint states the real rule (at least 10 characters) and both short passwords are rejected inline.</t>
        </is>
      </c>
      <c r="G71" s="29" t="inlineStr">
        <is>
          <t>P1</t>
        </is>
      </c>
      <c r="H71" s="29" t="inlineStr">
        <is>
          <t>Negative</t>
        </is>
      </c>
      <c r="I71" s="29" t="inlineStr">
        <is>
          <t>Both</t>
        </is>
      </c>
      <c r="J71" s="29" t="inlineStr">
        <is>
          <t>KB-09</t>
        </is>
      </c>
      <c r="K71" s="31" t="inlineStr">
        <is>
          <t>Pass</t>
        </is>
      </c>
      <c r="L71" s="32" t="inlineStr">
        <is>
          <t>Claude (adb)</t>
        </is>
      </c>
      <c r="M71" s="33" t="n">
        <v>46300</v>
      </c>
      <c r="N71" s="32" t="inlineStr">
        <is>
          <t>1.0.0+1 debug</t>
        </is>
      </c>
      <c r="O71" s="32" t="inlineStr">
        <is>
          <t>emulator-5554 / Android 14</t>
        </is>
      </c>
      <c r="P71" s="32" t="n"/>
      <c r="Q71" s="32" t="inlineStr">
        <is>
          <t>5–6 Oct 2026: Both new-password forms (reset and Profile &gt; Change password) state the 10-character rule and reject 6 and 9 characters (BL-AUTH-043, DEF-006 fixed 5 Oct).</t>
        </is>
      </c>
    </row>
    <row r="72" ht="43" customHeight="1">
      <c r="A72" s="27" t="inlineStr">
        <is>
          <t>AUTH-033</t>
        </is>
      </c>
      <c r="B72" s="28" t="inlineStr">
        <is>
          <t>04 Authentication &amp; session</t>
        </is>
      </c>
      <c r="C72" s="28" t="inlineStr">
        <is>
          <t>Session</t>
        </is>
      </c>
      <c r="D72" s="28" t="inlineStr">
        <is>
          <t>Access token refresh is silent</t>
        </is>
      </c>
      <c r="E72" s="28" t="inlineStr">
        <is>
          <t>1. Sign in
2. Leave the app idle for 16+ minutes
3. Pull to refresh on any screen</t>
        </is>
      </c>
      <c r="F72" s="28" t="inlineStr">
        <is>
          <t>Data loads; the user is not logged out and sees no error.</t>
        </is>
      </c>
      <c r="G72" s="29" t="inlineStr">
        <is>
          <t>P0</t>
        </is>
      </c>
      <c r="H72" s="29" t="inlineStr">
        <is>
          <t>Functional</t>
        </is>
      </c>
      <c r="I72" s="29" t="inlineStr">
        <is>
          <t>Both</t>
        </is>
      </c>
      <c r="J72" s="29" t="n"/>
      <c r="K72" s="31" t="inlineStr">
        <is>
          <t>Pass</t>
        </is>
      </c>
      <c r="L72" s="32" t="inlineStr">
        <is>
          <t>Claude (adb)</t>
        </is>
      </c>
      <c r="M72" s="33" t="n">
        <v>46300</v>
      </c>
      <c r="N72" s="32" t="inlineStr">
        <is>
          <t>1.0.0+1 debug</t>
        </is>
      </c>
      <c r="O72" s="32" t="inlineStr">
        <is>
          <t>emulator-5554 / Android 14</t>
        </is>
      </c>
      <c r="P72" s="32" t="n"/>
      <c r="Q72" s="32" t="inlineStr">
        <is>
          <t>5–6 Oct 2026: Expired access token refreshed silently; data loads, no sign-out or error (BL-AUTH-047, -051 retested 5 Oct with the calls watched).</t>
        </is>
      </c>
    </row>
    <row r="73" ht="30" customHeight="1">
      <c r="A73" s="27" t="inlineStr">
        <is>
          <t>AUTH-034</t>
        </is>
      </c>
      <c r="B73" s="28" t="inlineStr">
        <is>
          <t>04 Authentication &amp; session</t>
        </is>
      </c>
      <c r="C73" s="28" t="inlineStr">
        <is>
          <t>Session</t>
        </is>
      </c>
      <c r="D73" s="28" t="inlineStr">
        <is>
          <t>Refresh is single-flight</t>
        </is>
      </c>
      <c r="E73" s="28" t="inlineStr">
        <is>
          <t>1. With a proxy attached, let the access token expire
2. Open Home (several requests fire together)</t>
        </is>
      </c>
      <c r="F73" s="28" t="inlineStr">
        <is>
          <t>Exactly one token/refresh call is made; every original request then succeeds. The session is not revoked.</t>
        </is>
      </c>
      <c r="G73" s="29" t="inlineStr">
        <is>
          <t>P0</t>
        </is>
      </c>
      <c r="H73" s="29" t="inlineStr">
        <is>
          <t>Security</t>
        </is>
      </c>
      <c r="I73" s="29" t="inlineStr">
        <is>
          <t>Both</t>
        </is>
      </c>
      <c r="J73" s="29" t="n"/>
      <c r="K73" s="31" t="inlineStr">
        <is>
          <t>Pass</t>
        </is>
      </c>
      <c r="L73" s="32" t="inlineStr">
        <is>
          <t>Claude (adb)</t>
        </is>
      </c>
      <c r="M73" s="33" t="n">
        <v>46300</v>
      </c>
      <c r="N73" s="32" t="inlineStr">
        <is>
          <t>1.0.0+1 debug</t>
        </is>
      </c>
      <c r="O73" s="32" t="inlineStr">
        <is>
          <t>emulator-5554 / Android 14</t>
        </is>
      </c>
      <c r="P73" s="32" t="n"/>
      <c r="Q73" s="32" t="inlineStr">
        <is>
          <t>5–6 Oct 2026: Several requests failing with an expired token trigger exactly one refresh; each retried once and succeeds (BL-AUTH-048, calls watched through the recorder on 5 Oct).</t>
        </is>
      </c>
    </row>
    <row r="74" ht="43" customHeight="1">
      <c r="A74" s="27" t="inlineStr">
        <is>
          <t>AUTH-035</t>
        </is>
      </c>
      <c r="B74" s="28" t="inlineStr">
        <is>
          <t>04 Authentication &amp; session</t>
        </is>
      </c>
      <c r="C74" s="28" t="inlineStr">
        <is>
          <t>Session</t>
        </is>
      </c>
      <c r="D74" s="28" t="inlineStr">
        <is>
          <t>Rotated refresh token is persisted</t>
        </is>
      </c>
      <c r="E74" s="28" t="inlineStr">
        <is>
          <t>1. Trigger a refresh
2. Force-stop the app
3. Relaunch</t>
        </is>
      </c>
      <c r="F74" s="28" t="inlineStr">
        <is>
          <t>User is still signed in (the new refresh token was stored).</t>
        </is>
      </c>
      <c r="G74" s="29" t="inlineStr">
        <is>
          <t>P0</t>
        </is>
      </c>
      <c r="H74" s="29" t="inlineStr">
        <is>
          <t>Functional</t>
        </is>
      </c>
      <c r="I74" s="29" t="inlineStr">
        <is>
          <t>Both</t>
        </is>
      </c>
      <c r="J74" s="29" t="n"/>
      <c r="K74" s="31" t="inlineStr">
        <is>
          <t>Pass</t>
        </is>
      </c>
      <c r="L74" s="32" t="inlineStr">
        <is>
          <t>Claude (adb)</t>
        </is>
      </c>
      <c r="M74" s="33" t="n">
        <v>46300</v>
      </c>
      <c r="N74" s="32" t="inlineStr">
        <is>
          <t>1.0.0+1 debug</t>
        </is>
      </c>
      <c r="O74" s="32" t="inlineStr">
        <is>
          <t>emulator-5554 / Android 14</t>
        </is>
      </c>
      <c r="P74" s="32" t="n"/>
      <c r="Q74" s="32" t="inlineStr">
        <is>
          <t>5–6 Oct 2026: After a refresh, force-stop and relaunch: still signed in (BL-AUTH-047). Also survived a full emulator reboot today (AUTH-037).</t>
        </is>
      </c>
    </row>
    <row r="75" ht="43" customHeight="1">
      <c r="A75" s="27" t="inlineStr">
        <is>
          <t>AUTH-036</t>
        </is>
      </c>
      <c r="B75" s="28" t="inlineStr">
        <is>
          <t>04 Authentication &amp; session</t>
        </is>
      </c>
      <c r="C75" s="28" t="inlineStr">
        <is>
          <t>Session</t>
        </is>
      </c>
      <c r="D75" s="28" t="inlineStr">
        <is>
          <t>Session revoked from another device</t>
        </is>
      </c>
      <c r="E75" s="28" t="inlineStr">
        <is>
          <t>1. Sign in on devices A and B
2. On A, end B's session from Signed-in devices
3. Use B</t>
        </is>
      </c>
      <c r="F75" s="28" t="inlineStr">
        <is>
          <t>B is returned to sign-in with an explanatory message; its tokens and cached data are cleared.</t>
        </is>
      </c>
      <c r="G75" s="29" t="inlineStr">
        <is>
          <t>P0</t>
        </is>
      </c>
      <c r="H75" s="29" t="inlineStr">
        <is>
          <t>Security</t>
        </is>
      </c>
      <c r="I75" s="29" t="inlineStr">
        <is>
          <t>Both</t>
        </is>
      </c>
      <c r="J75" s="29" t="n"/>
      <c r="K75" s="31" t="inlineStr">
        <is>
          <t>Pass</t>
        </is>
      </c>
      <c r="L75" s="32" t="inlineStr">
        <is>
          <t>Claude (adb)</t>
        </is>
      </c>
      <c r="M75" s="33" t="n">
        <v>46300</v>
      </c>
      <c r="N75" s="32" t="inlineStr">
        <is>
          <t>1.0.0+1 debug</t>
        </is>
      </c>
      <c r="O75" s="32" t="inlineStr">
        <is>
          <t>emulator-5554 / Android 14</t>
        </is>
      </c>
      <c r="P75" s="32" t="n"/>
      <c r="Q75" s="32" t="inlineStr">
        <is>
          <t>5–6 Oct 2026: Session ended from another client: on its next call the emulator returned to sign-in with the reason shown, and its cache was cleared (BL-AUTH-049, -050, -059).</t>
        </is>
      </c>
    </row>
    <row r="76" ht="43" customHeight="1">
      <c r="A76" s="27" t="inlineStr">
        <is>
          <t>AUTH-037</t>
        </is>
      </c>
      <c r="B76" s="28" t="inlineStr">
        <is>
          <t>04 Authentication &amp; session</t>
        </is>
      </c>
      <c r="C76" s="28" t="inlineStr">
        <is>
          <t>Session</t>
        </is>
      </c>
      <c r="D76" s="28" t="inlineStr">
        <is>
          <t>Stay signed in across restart and reboot</t>
        </is>
      </c>
      <c r="E76" s="28" t="inlineStr">
        <is>
          <t>1. Sign in
2. Reboot the device
3. Open the app</t>
        </is>
      </c>
      <c r="F76" s="28" t="inlineStr">
        <is>
          <t>User is still signed in.</t>
        </is>
      </c>
      <c r="G76" s="29" t="inlineStr">
        <is>
          <t>P1</t>
        </is>
      </c>
      <c r="H76" s="29" t="inlineStr">
        <is>
          <t>Functional</t>
        </is>
      </c>
      <c r="I76" s="29" t="inlineStr">
        <is>
          <t>Both</t>
        </is>
      </c>
      <c r="J76" s="29" t="n"/>
      <c r="K76" s="31" t="inlineStr">
        <is>
          <t>Pass</t>
        </is>
      </c>
      <c r="L76" s="32" t="inlineStr">
        <is>
          <t>Claude (adb)</t>
        </is>
      </c>
      <c r="M76" s="33" t="n">
        <v>46300</v>
      </c>
      <c r="N76" s="32" t="inlineStr">
        <is>
          <t>1.0.0+1 debug</t>
        </is>
      </c>
      <c r="O76" s="32" t="inlineStr">
        <is>
          <t>emulator-5554 / Android 14</t>
        </is>
      </c>
      <c r="P76" s="32" t="n"/>
      <c r="Q76" s="32" t="inlineStr">
        <is>
          <t>5–6 Oct 2026: Signed in, emulator rebooted (adb reboot), app opened: 'Welcome back, Sanjay!' — still signed in.</t>
        </is>
      </c>
    </row>
    <row r="77" ht="30" customHeight="1">
      <c r="A77" s="27" t="inlineStr">
        <is>
          <t>AUTH-038</t>
        </is>
      </c>
      <c r="B77" s="28" t="inlineStr">
        <is>
          <t>04 Authentication &amp; session</t>
        </is>
      </c>
      <c r="C77" s="28" t="inlineStr">
        <is>
          <t>Session</t>
        </is>
      </c>
      <c r="D77" s="28" t="inlineStr">
        <is>
          <t>Expired session (7 days idle / 30 days absolute)</t>
        </is>
      </c>
      <c r="E77" s="28" t="inlineStr">
        <is>
          <t>1. Use a session expired on the backend (or wait)
2. Open the app</t>
        </is>
      </c>
      <c r="F77" s="28" t="inlineStr">
        <is>
          <t>User is taken to sign-in with a 'session expired' message; no error loop.</t>
        </is>
      </c>
      <c r="G77" s="29" t="inlineStr">
        <is>
          <t>P1</t>
        </is>
      </c>
      <c r="H77" s="29" t="inlineStr">
        <is>
          <t>Functional</t>
        </is>
      </c>
      <c r="I77" s="29" t="inlineStr">
        <is>
          <t>Both</t>
        </is>
      </c>
      <c r="J77" s="29" t="n"/>
      <c r="K77" s="31" t="inlineStr">
        <is>
          <t>Pass</t>
        </is>
      </c>
      <c r="L77" s="32" t="inlineStr">
        <is>
          <t>Claude (adb)</t>
        </is>
      </c>
      <c r="M77" s="33" t="n">
        <v>46300</v>
      </c>
      <c r="N77" s="32" t="inlineStr">
        <is>
          <t>1.0.0+1 debug</t>
        </is>
      </c>
      <c r="O77" s="32" t="inlineStr">
        <is>
          <t>emulator-5554 / Android 14</t>
        </is>
      </c>
      <c r="P77" s="32" t="n"/>
      <c r="Q77" s="32" t="inlineStr">
        <is>
          <t>5–6 Oct 2026: A session the server no longer accepts sends the user to sign-in once with the 'session ended' message, no loop (BL-AUTH-049, -050). The 7-day / 30-day expiry itself was not waited out.</t>
        </is>
      </c>
    </row>
    <row r="78" ht="43" customHeight="1">
      <c r="A78" s="27" t="inlineStr">
        <is>
          <t>AUTH-039</t>
        </is>
      </c>
      <c r="B78" s="28" t="inlineStr">
        <is>
          <t>04 Authentication &amp; session</t>
        </is>
      </c>
      <c r="C78" s="28" t="inlineStr">
        <is>
          <t>Logout</t>
        </is>
      </c>
      <c r="D78" s="28" t="inlineStr">
        <is>
          <t>Log out</t>
        </is>
      </c>
      <c r="E78" s="28" t="inlineStr">
        <is>
          <t>1. Profile &gt; Log out
2. Confirm
3. Press Back</t>
        </is>
      </c>
      <c r="F78" s="28" t="inlineStr">
        <is>
          <t>Sign-in screen is shown; Back does not return to signed-in screens; relaunch stays signed out; the push device is unregistered.</t>
        </is>
      </c>
      <c r="G78" s="29" t="inlineStr">
        <is>
          <t>P0</t>
        </is>
      </c>
      <c r="H78" s="29" t="inlineStr">
        <is>
          <t>Security</t>
        </is>
      </c>
      <c r="I78" s="29" t="inlineStr">
        <is>
          <t>Both</t>
        </is>
      </c>
      <c r="J78" s="29" t="n"/>
      <c r="K78" s="31" t="inlineStr">
        <is>
          <t>Pass</t>
        </is>
      </c>
      <c r="L78" s="32" t="inlineStr">
        <is>
          <t>Claude (adb)</t>
        </is>
      </c>
      <c r="M78" s="33" t="n">
        <v>46300</v>
      </c>
      <c r="N78" s="32" t="inlineStr">
        <is>
          <t>1.0.0+1 debug</t>
        </is>
      </c>
      <c r="O78" s="32" t="inlineStr">
        <is>
          <t>emulator-5554 / Android 14</t>
        </is>
      </c>
      <c r="P78" s="32" t="n"/>
      <c r="Q78" s="32" t="inlineStr">
        <is>
          <t>5–6 Oct 2026: Profile &gt; Logout &gt; Log Out -&gt; sign-in; Back leaves the app; relaunch stays signed out (E2E-012). Push device unregistering does not apply: the app has no push registration yet (KB-04).</t>
        </is>
      </c>
    </row>
    <row r="79" ht="30" customHeight="1">
      <c r="A79" s="27" t="inlineStr">
        <is>
          <t>AUTH-040</t>
        </is>
      </c>
      <c r="B79" s="28" t="inlineStr">
        <is>
          <t>04 Authentication &amp; session</t>
        </is>
      </c>
      <c r="C79" s="28" t="inlineStr">
        <is>
          <t>Logout</t>
        </is>
      </c>
      <c r="D79" s="28" t="inlineStr">
        <is>
          <t>Cancel the logout dialog</t>
        </is>
      </c>
      <c r="E79" s="28" t="inlineStr">
        <is>
          <t>1. Profile &gt; Log out
2. Dismiss the dialog</t>
        </is>
      </c>
      <c r="F79" s="28" t="inlineStr">
        <is>
          <t>User stays signed in.</t>
        </is>
      </c>
      <c r="G79" s="29" t="inlineStr">
        <is>
          <t>P3</t>
        </is>
      </c>
      <c r="H79" s="29" t="inlineStr">
        <is>
          <t>Functional</t>
        </is>
      </c>
      <c r="I79" s="29" t="inlineStr">
        <is>
          <t>Both</t>
        </is>
      </c>
      <c r="J79" s="29" t="n"/>
      <c r="K79" s="31" t="inlineStr">
        <is>
          <t>Pass</t>
        </is>
      </c>
      <c r="L79" s="32" t="inlineStr">
        <is>
          <t>Claude (adb)</t>
        </is>
      </c>
      <c r="M79" s="33" t="n">
        <v>46300</v>
      </c>
      <c r="N79" s="32" t="inlineStr">
        <is>
          <t>1.0.0+1 debug</t>
        </is>
      </c>
      <c r="O79" s="32" t="inlineStr">
        <is>
          <t>emulator-5554 / Android 14</t>
        </is>
      </c>
      <c r="P79" s="32" t="n"/>
      <c r="Q79" s="32" t="inlineStr">
        <is>
          <t>5–6 Oct 2026: Logout dialog: Cancel and tapping outside both keep the user signed in; relaunch still shows Home.</t>
        </is>
      </c>
    </row>
    <row r="80" ht="30" customHeight="1">
      <c r="A80" s="27" t="inlineStr">
        <is>
          <t>AUTH-041</t>
        </is>
      </c>
      <c r="B80" s="28" t="inlineStr">
        <is>
          <t>04 Authentication &amp; session</t>
        </is>
      </c>
      <c r="C80" s="28" t="inlineStr">
        <is>
          <t>Guard</t>
        </is>
      </c>
      <c r="D80" s="28" t="inlineStr">
        <is>
          <t>Signed-out user cannot reach protected screens</t>
        </is>
      </c>
      <c r="E80" s="28" t="inlineStr">
        <is>
          <t>While signed out, open deep links to /appointments, /profile/edit and /records</t>
        </is>
      </c>
      <c r="F80" s="28" t="inlineStr">
        <is>
          <t>User is redirected to sign-in, and after signing in continues to the requested screen (or Home).</t>
        </is>
      </c>
      <c r="G80" s="29" t="inlineStr">
        <is>
          <t>P0</t>
        </is>
      </c>
      <c r="H80" s="29" t="inlineStr">
        <is>
          <t>Security</t>
        </is>
      </c>
      <c r="I80" s="29" t="inlineStr">
        <is>
          <t>Both</t>
        </is>
      </c>
      <c r="J80" s="29" t="n"/>
      <c r="K80" s="31" t="inlineStr">
        <is>
          <t>Pass</t>
        </is>
      </c>
      <c r="L80" s="32" t="inlineStr">
        <is>
          <t>Claude (adb)</t>
        </is>
      </c>
      <c r="M80" s="33" t="n">
        <v>46300</v>
      </c>
      <c r="N80" s="32" t="inlineStr">
        <is>
          <t>1.0.0+1 debug</t>
        </is>
      </c>
      <c r="O80" s="32" t="inlineStr">
        <is>
          <t>emulator-5554 / Android 14</t>
        </is>
      </c>
      <c r="P80" s="32" t="n"/>
      <c r="Q80" s="32" t="inlineStr">
        <is>
          <t>5–6 Oct 2026: Signed out, medibook://appointments, /profile/edit and /records land on sign-in (BL-AUTH-054, and today's link check). After signing in the user lands on Home.</t>
        </is>
      </c>
    </row>
    <row r="81" ht="43" customHeight="1">
      <c r="A81" s="27" t="inlineStr">
        <is>
          <t>AUTH-042</t>
        </is>
      </c>
      <c r="B81" s="28" t="inlineStr">
        <is>
          <t>04 Authentication &amp; session</t>
        </is>
      </c>
      <c r="C81" s="28" t="inlineStr">
        <is>
          <t>Change password</t>
        </is>
      </c>
      <c r="D81" s="28" t="inlineStr">
        <is>
          <t>Change password with the correct current password</t>
        </is>
      </c>
      <c r="E81" s="28" t="inlineStr">
        <is>
          <t>1. Profile &gt; Change password
2. Enter current and a new valid password
3. Save</t>
        </is>
      </c>
      <c r="F81" s="28" t="inlineStr">
        <is>
          <t>Success message; this device stays signed in; other devices are signed out.</t>
        </is>
      </c>
      <c r="G81" s="29" t="inlineStr">
        <is>
          <t>P1</t>
        </is>
      </c>
      <c r="H81" s="29" t="inlineStr">
        <is>
          <t>Functional</t>
        </is>
      </c>
      <c r="I81" s="29" t="inlineStr">
        <is>
          <t>Both</t>
        </is>
      </c>
      <c r="J81" s="29" t="n"/>
      <c r="K81" s="31" t="inlineStr">
        <is>
          <t>Blocked</t>
        </is>
      </c>
      <c r="L81" s="32" t="inlineStr">
        <is>
          <t>Claude (adb)</t>
        </is>
      </c>
      <c r="M81" s="33" t="n">
        <v>46300</v>
      </c>
      <c r="N81" s="32" t="inlineStr">
        <is>
          <t>1.0.0+1 debug</t>
        </is>
      </c>
      <c r="O81" s="32" t="inlineStr">
        <is>
          <t>emulator-5554 / Android 14</t>
        </is>
      </c>
      <c r="P81" s="32" t="n"/>
      <c r="Q81" s="32" t="inlineStr">
        <is>
          <t>5–6 Oct 2026: Would change the shared seed account's password; changing it back may be refused by the breach/old-password rules. Needs a throwaway account (BB-03).</t>
        </is>
      </c>
    </row>
    <row r="82" ht="30" customHeight="1">
      <c r="A82" s="27" t="inlineStr">
        <is>
          <t>AUTH-043</t>
        </is>
      </c>
      <c r="B82" s="28" t="inlineStr">
        <is>
          <t>04 Authentication &amp; session</t>
        </is>
      </c>
      <c r="C82" s="28" t="inlineStr">
        <is>
          <t>Change password</t>
        </is>
      </c>
      <c r="D82" s="28" t="inlineStr">
        <is>
          <t>Wrong current password does not log the user out</t>
        </is>
      </c>
      <c r="E82" s="28" t="inlineStr">
        <is>
          <t>1. Enter a wrong current password
2. Save</t>
        </is>
      </c>
      <c r="F82" s="28" t="inlineStr">
        <is>
          <t>Inline error on the current-password field. The user stays signed in.</t>
        </is>
      </c>
      <c r="G82" s="29" t="inlineStr">
        <is>
          <t>P0</t>
        </is>
      </c>
      <c r="H82" s="29" t="inlineStr">
        <is>
          <t>Negative</t>
        </is>
      </c>
      <c r="I82" s="29" t="inlineStr">
        <is>
          <t>Both</t>
        </is>
      </c>
      <c r="J82" s="29" t="n"/>
      <c r="K82" s="31" t="inlineStr">
        <is>
          <t>Pass</t>
        </is>
      </c>
      <c r="L82" s="32" t="inlineStr">
        <is>
          <t>Claude (adb)</t>
        </is>
      </c>
      <c r="M82" s="33" t="n">
        <v>46300</v>
      </c>
      <c r="N82" s="32" t="inlineStr">
        <is>
          <t>1.0.0+1 debug</t>
        </is>
      </c>
      <c r="O82" s="32" t="inlineStr">
        <is>
          <t>emulator-5554 / Android 14</t>
        </is>
      </c>
      <c r="P82" s="32" t="n"/>
      <c r="Q82" s="32" t="inlineStr">
        <is>
          <t>5–6 Oct 2026: Wrong current password: 'That is not your current password' under Current password; the user stays signed in (BL-AUTH-044, -052).</t>
        </is>
      </c>
    </row>
    <row r="83" ht="30" customHeight="1">
      <c r="A83" s="27" t="inlineStr">
        <is>
          <t>AUTH-044</t>
        </is>
      </c>
      <c r="B83" s="28" t="inlineStr">
        <is>
          <t>04 Authentication &amp; session</t>
        </is>
      </c>
      <c r="C83" s="28" t="inlineStr">
        <is>
          <t>Change password</t>
        </is>
      </c>
      <c r="D83" s="28" t="inlineStr">
        <is>
          <t>OTP-only account sets a password</t>
        </is>
      </c>
      <c r="E83" s="28" t="inlineStr">
        <is>
          <t>1. On an account without a password, open 'Set a password'
2. Save a valid password</t>
        </is>
      </c>
      <c r="F83" s="28" t="inlineStr">
        <is>
          <t>No current password is asked; afterwards password sign-in works.</t>
        </is>
      </c>
      <c r="G83" s="29" t="inlineStr">
        <is>
          <t>P2</t>
        </is>
      </c>
      <c r="H83" s="29" t="inlineStr">
        <is>
          <t>Functional</t>
        </is>
      </c>
      <c r="I83" s="29" t="inlineStr">
        <is>
          <t>Both</t>
        </is>
      </c>
      <c r="J83" s="29" t="n"/>
      <c r="K83" s="31" t="inlineStr">
        <is>
          <t>Blocked</t>
        </is>
      </c>
      <c r="L83" s="32" t="inlineStr">
        <is>
          <t>Claude (adb)</t>
        </is>
      </c>
      <c r="M83" s="33" t="n">
        <v>46300</v>
      </c>
      <c r="N83" s="32" t="inlineStr">
        <is>
          <t>1.0.0+1 debug</t>
        </is>
      </c>
      <c r="O83" s="32" t="inlineStr">
        <is>
          <t>emulator-5554 / Android 14</t>
        </is>
      </c>
      <c r="P83" s="32" t="n"/>
      <c r="Q83" s="32" t="inlineStr">
        <is>
          <t>5–6 Oct 2026: No code-only account can be signed in to without an OTP. No OTP can be obtained on the integration server: BB-01 (KB-05).</t>
        </is>
      </c>
    </row>
    <row r="84" ht="43" customHeight="1">
      <c r="A84" s="27" t="inlineStr">
        <is>
          <t>HOME-001</t>
        </is>
      </c>
      <c r="B84" s="28" t="inlineStr">
        <is>
          <t>05 Home dashboard</t>
        </is>
      </c>
      <c r="C84" s="28" t="inlineStr">
        <is>
          <t>Home</t>
        </is>
      </c>
      <c r="D84" s="28" t="inlineStr">
        <is>
          <t>Home renders all sections with live data</t>
        </is>
      </c>
      <c r="E84" s="28" t="inlineStr">
        <is>
          <t>Open Home as a signed-in user</t>
        </is>
      </c>
      <c r="F84" s="28" t="inlineStr">
        <is>
          <t>Greeting with first name, search bar, Quick Booking, Available Services, Hospitals Near You, offers and family sections all show server data.</t>
        </is>
      </c>
      <c r="G84" s="29" t="inlineStr">
        <is>
          <t>P0</t>
        </is>
      </c>
      <c r="H84" s="29" t="inlineStr">
        <is>
          <t>Functional</t>
        </is>
      </c>
      <c r="I84" s="29" t="inlineStr">
        <is>
          <t>Both</t>
        </is>
      </c>
      <c r="J84" s="29" t="n"/>
      <c r="K84" s="31" t="inlineStr">
        <is>
          <t>Pass</t>
        </is>
      </c>
      <c r="L84" s="32" t="inlineStr">
        <is>
          <t>Claude (adb)</t>
        </is>
      </c>
      <c r="M84" s="33" t="n">
        <v>46301</v>
      </c>
      <c r="N84" s="32" t="inlineStr">
        <is>
          <t>1.0.0+1 debug</t>
        </is>
      </c>
      <c r="O84" s="32" t="inlineStr">
        <is>
          <t>emulator-5554 / Android 14</t>
        </is>
      </c>
      <c r="P84" s="32" t="n"/>
      <c r="Q84" s="32" t="inlineStr">
        <is>
          <t>6 Oct 2026: Home as Sanjay: 'Welcome back, Sanjay!', bell 'Notifications, 19 unread', search bar, Offers strip (hospital banners), Quick Booking (Appointment / Hospitals / Family), Available Services (departments from the server), Hospitals Near You (Lakeshore, Sahyadri with next free slot and rating). All from the server.</t>
        </is>
      </c>
    </row>
    <row r="85" ht="43" customHeight="1">
      <c r="A85" s="27" t="inlineStr">
        <is>
          <t>HOME-002</t>
        </is>
      </c>
      <c r="B85" s="28" t="inlineStr">
        <is>
          <t>05 Home dashboard</t>
        </is>
      </c>
      <c r="C85" s="28" t="inlineStr">
        <is>
          <t>Home</t>
        </is>
      </c>
      <c r="D85" s="28" t="inlineStr">
        <is>
          <t>Today's token card</t>
        </is>
      </c>
      <c r="E85" s="28" t="inlineStr">
        <is>
          <t>With an appointment today, open Home</t>
        </is>
      </c>
      <c r="F85" s="28" t="inlineStr">
        <is>
          <t>'Your Token' card shows the correct token label, doctor and time in the hospital's time zone; tapping opens the appointment or queue.</t>
        </is>
      </c>
      <c r="G85" s="29" t="inlineStr">
        <is>
          <t>P1</t>
        </is>
      </c>
      <c r="H85" s="29" t="inlineStr">
        <is>
          <t>Functional</t>
        </is>
      </c>
      <c r="I85" s="29" t="inlineStr">
        <is>
          <t>Both</t>
        </is>
      </c>
      <c r="J85" s="29" t="n"/>
      <c r="K85" s="31" t="inlineStr">
        <is>
          <t>Blocked</t>
        </is>
      </c>
      <c r="L85" s="32" t="inlineStr">
        <is>
          <t>Claude (adb)</t>
        </is>
      </c>
      <c r="M85" s="33" t="n">
        <v>46301</v>
      </c>
      <c r="N85" s="32" t="inlineStr">
        <is>
          <t>1.0.0+1 debug</t>
        </is>
      </c>
      <c r="O85" s="32" t="inlineStr">
        <is>
          <t>emulator-5554 / Android 14</t>
        </is>
      </c>
      <c r="P85" s="32" t="n"/>
      <c r="Q85" s="32" t="inlineStr">
        <is>
          <t>6 Oct 2026: No appointment today: a confirmed booking needs a real payment (BB-16, KB-02).</t>
        </is>
      </c>
    </row>
    <row r="86" ht="17" customHeight="1">
      <c r="A86" s="27" t="inlineStr">
        <is>
          <t>HOME-003</t>
        </is>
      </c>
      <c r="B86" s="28" t="inlineStr">
        <is>
          <t>05 Home dashboard</t>
        </is>
      </c>
      <c r="C86" s="28" t="inlineStr">
        <is>
          <t>Home</t>
        </is>
      </c>
      <c r="D86" s="28" t="inlineStr">
        <is>
          <t>Services expand and collapse</t>
        </is>
      </c>
      <c r="E86" s="28" t="inlineStr">
        <is>
          <t>Tap 'Show all services' then 'Show fewer services'</t>
        </is>
      </c>
      <c r="F86" s="28" t="inlineStr">
        <is>
          <t>List expands and collapses without layout jump.</t>
        </is>
      </c>
      <c r="G86" s="29" t="inlineStr">
        <is>
          <t>P3</t>
        </is>
      </c>
      <c r="H86" s="29" t="inlineStr">
        <is>
          <t>UI</t>
        </is>
      </c>
      <c r="I86" s="29" t="inlineStr">
        <is>
          <t>Both</t>
        </is>
      </c>
      <c r="J86" s="29" t="n"/>
      <c r="K86" s="31" t="inlineStr">
        <is>
          <t>Pass</t>
        </is>
      </c>
      <c r="L86" s="32" t="inlineStr">
        <is>
          <t>Claude (adb)</t>
        </is>
      </c>
      <c r="M86" s="33" t="n">
        <v>46301</v>
      </c>
      <c r="N86" s="32" t="inlineStr">
        <is>
          <t>1.0.0+1 debug</t>
        </is>
      </c>
      <c r="O86" s="32" t="inlineStr">
        <is>
          <t>emulator-5554 / Android 14</t>
        </is>
      </c>
      <c r="P86" s="32" t="n"/>
      <c r="Q86" s="32" t="inlineStr">
        <is>
          <t>6 Oct 2026: 'Show fewer services' collapses to three tiles and the link becomes 'Show all services'; expanding shows all seven (incl. ENT, Orthopaedics, Paediatrics). No jump.</t>
        </is>
      </c>
    </row>
    <row r="87" ht="17" customHeight="1">
      <c r="A87" s="27" t="inlineStr">
        <is>
          <t>HOME-004</t>
        </is>
      </c>
      <c r="B87" s="28" t="inlineStr">
        <is>
          <t>05 Home dashboard</t>
        </is>
      </c>
      <c r="C87" s="28" t="inlineStr">
        <is>
          <t>Home</t>
        </is>
      </c>
      <c r="D87" s="28" t="inlineStr">
        <is>
          <t>Department tile starts a booking</t>
        </is>
      </c>
      <c r="E87" s="28" t="inlineStr">
        <is>
          <t>Tap a department under Available Services</t>
        </is>
      </c>
      <c r="F87" s="28" t="inlineStr">
        <is>
          <t>Booking flow opens with that department preselected.</t>
        </is>
      </c>
      <c r="G87" s="29" t="inlineStr">
        <is>
          <t>P1</t>
        </is>
      </c>
      <c r="H87" s="29" t="inlineStr">
        <is>
          <t>Functional</t>
        </is>
      </c>
      <c r="I87" s="29" t="inlineStr">
        <is>
          <t>Both</t>
        </is>
      </c>
      <c r="J87" s="29" t="n"/>
      <c r="K87" s="31" t="inlineStr">
        <is>
          <t>Pass</t>
        </is>
      </c>
      <c r="L87" s="32" t="inlineStr">
        <is>
          <t>Claude (adb)</t>
        </is>
      </c>
      <c r="M87" s="33" t="n">
        <v>46301</v>
      </c>
      <c r="N87" s="32" t="inlineStr">
        <is>
          <t>1.0.0+1 debug</t>
        </is>
      </c>
      <c r="O87" s="32" t="inlineStr">
        <is>
          <t>emulator-5554 / Android 14</t>
        </is>
      </c>
      <c r="P87" s="32" t="n"/>
      <c r="Q87" s="32" t="inlineStr">
        <is>
          <t>6 Oct 2026: Tapping Cardiology / General Medicine opens Book Appointment past the department step (Back to Department shown) with that department chosen.</t>
        </is>
      </c>
    </row>
    <row r="88" ht="30" customHeight="1">
      <c r="A88" s="27" t="inlineStr">
        <is>
          <t>HOME-005</t>
        </is>
      </c>
      <c r="B88" s="28" t="inlineStr">
        <is>
          <t>05 Home dashboard</t>
        </is>
      </c>
      <c r="C88" s="28" t="inlineStr">
        <is>
          <t>Home</t>
        </is>
      </c>
      <c r="D88" s="28" t="inlineStr">
        <is>
          <t>Hospitals list and View all</t>
        </is>
      </c>
      <c r="E88" s="28" t="inlineStr">
        <is>
          <t>1. Tap a hospital card
2. Tap 'View all hospitals'</t>
        </is>
      </c>
      <c r="F88" s="28" t="inlineStr">
        <is>
          <t>Card opens that hospital's detail; View all opens the hospitals list.</t>
        </is>
      </c>
      <c r="G88" s="29" t="inlineStr">
        <is>
          <t>P1</t>
        </is>
      </c>
      <c r="H88" s="29" t="inlineStr">
        <is>
          <t>Functional</t>
        </is>
      </c>
      <c r="I88" s="29" t="inlineStr">
        <is>
          <t>Both</t>
        </is>
      </c>
      <c r="J88" s="29" t="n"/>
      <c r="K88" s="31" t="inlineStr">
        <is>
          <t>Pass</t>
        </is>
      </c>
      <c r="L88" s="32" t="inlineStr">
        <is>
          <t>Claude (adb)</t>
        </is>
      </c>
      <c r="M88" s="33" t="n">
        <v>46301</v>
      </c>
      <c r="N88" s="32" t="inlineStr">
        <is>
          <t>1.0.0+1 debug</t>
        </is>
      </c>
      <c r="O88" s="32" t="inlineStr">
        <is>
          <t>emulator-5554 / Android 14</t>
        </is>
      </c>
      <c r="P88" s="32" t="n"/>
      <c r="Q88" s="32" t="inlineStr">
        <is>
          <t>6 Oct 2026: Hospital card (Sahyadri City Hospital) opens Hospital Details for it; 'View all hospitals' opens the Hospitals list.</t>
        </is>
      </c>
    </row>
    <row r="89" ht="43" customHeight="1">
      <c r="A89" s="27" t="inlineStr">
        <is>
          <t>HOME-006</t>
        </is>
      </c>
      <c r="B89" s="28" t="inlineStr">
        <is>
          <t>05 Home dashboard</t>
        </is>
      </c>
      <c r="C89" s="28" t="inlineStr">
        <is>
          <t>Home</t>
        </is>
      </c>
      <c r="D89" s="28" t="inlineStr">
        <is>
          <t>Promo banners</t>
        </is>
      </c>
      <c r="E89" s="28" t="inlineStr">
        <is>
          <t>1. Watch the banner for 10 s
2. Swipe manually
3. Turn on Reduce Motion and reopen Home</t>
        </is>
      </c>
      <c r="F89" s="28" t="inlineStr">
        <is>
          <t>Banner rotates about every 4 s with dots in sync; no rotation when Reduce Motion is on.</t>
        </is>
      </c>
      <c r="G89" s="29" t="inlineStr">
        <is>
          <t>P2</t>
        </is>
      </c>
      <c r="H89" s="29" t="inlineStr">
        <is>
          <t>UI</t>
        </is>
      </c>
      <c r="I89" s="29" t="inlineStr">
        <is>
          <t>Both</t>
        </is>
      </c>
      <c r="J89" s="29" t="n"/>
      <c r="K89" s="31" t="inlineStr">
        <is>
          <t>Pass</t>
        </is>
      </c>
      <c r="L89" s="32" t="inlineStr">
        <is>
          <t>Claude (adb)</t>
        </is>
      </c>
      <c r="M89" s="33" t="n">
        <v>46301</v>
      </c>
      <c r="N89" s="32" t="inlineStr">
        <is>
          <t>1.0.0+1 debug</t>
        </is>
      </c>
      <c r="O89" s="32" t="inlineStr">
        <is>
          <t>emulator-5554 / Android 14</t>
        </is>
      </c>
      <c r="P89" s="32" t="inlineStr">
        <is>
          <t>DEF-098</t>
        </is>
      </c>
      <c r="Q89" s="32" t="inlineStr">
        <is>
          <t>6 Oct 2026: OWNER DECISION: auto-rotate. FIXED (DEF-098): the offers strip moves to the next card every 4 s and wraps to the first; it stays still when the phone's 'Remove animations' is on (reduced motion), while a finger is on it (and one interval after), when another screen covers Home, and with a single card. Emulator: card x-position sampled every 2 s went 986 -&gt; 138 -&gt; 986 (rotating, 2 banners); with Remove animations on it stayed at 986 for 12 s. Tests: promo_banner_rotation_test.dart (rotate + wrap, reduced motion, held).</t>
        </is>
      </c>
    </row>
    <row r="90" ht="30" customHeight="1">
      <c r="A90" s="27" t="inlineStr">
        <is>
          <t>HOME-007</t>
        </is>
      </c>
      <c r="B90" s="28" t="inlineStr">
        <is>
          <t>05 Home dashboard</t>
        </is>
      </c>
      <c r="C90" s="28" t="inlineStr">
        <is>
          <t>Home</t>
        </is>
      </c>
      <c r="D90" s="28" t="inlineStr">
        <is>
          <t>Notification bell badge</t>
        </is>
      </c>
      <c r="E90" s="28" t="inlineStr">
        <is>
          <t>1. Compare the badge with the unread notifications
2. Trigger a new notification</t>
        </is>
      </c>
      <c r="F90" s="28" t="inlineStr">
        <is>
          <t>Badge matches the unread count and updates without a manual refresh.</t>
        </is>
      </c>
      <c r="G90" s="29" t="inlineStr">
        <is>
          <t>P1</t>
        </is>
      </c>
      <c r="H90" s="29" t="inlineStr">
        <is>
          <t>Functional</t>
        </is>
      </c>
      <c r="I90" s="29" t="inlineStr">
        <is>
          <t>Both</t>
        </is>
      </c>
      <c r="J90" s="29" t="n"/>
      <c r="K90" s="31" t="inlineStr">
        <is>
          <t>Pass</t>
        </is>
      </c>
      <c r="L90" s="32" t="inlineStr">
        <is>
          <t>Claude (adb)</t>
        </is>
      </c>
      <c r="M90" s="33" t="n">
        <v>46301</v>
      </c>
      <c r="N90" s="32" t="inlineStr">
        <is>
          <t>1.0.0+1 debug</t>
        </is>
      </c>
      <c r="O90" s="32" t="inlineStr">
        <is>
          <t>emulator-5554 / Android 14</t>
        </is>
      </c>
      <c r="P90" s="32" t="n"/>
      <c r="Q90" s="32" t="inlineStr">
        <is>
          <t>6 Oct 2026: Badge 'Notifications, 19 unread' = server unread_count 19. One notification marked read through the API: the badge showed 18 within 5 s with no refresh (live inbox socket). Put back to unread afterwards (19).</t>
        </is>
      </c>
    </row>
    <row r="91" ht="30" customHeight="1">
      <c r="A91" s="27" t="inlineStr">
        <is>
          <t>HOME-008</t>
        </is>
      </c>
      <c r="B91" s="28" t="inlineStr">
        <is>
          <t>05 Home dashboard</t>
        </is>
      </c>
      <c r="C91" s="28" t="inlineStr">
        <is>
          <t>Home</t>
        </is>
      </c>
      <c r="D91" s="28" t="inlineStr">
        <is>
          <t>Pull to refresh</t>
        </is>
      </c>
      <c r="E91" s="28" t="inlineStr">
        <is>
          <t>Pull down on Home</t>
        </is>
      </c>
      <c r="F91" s="28" t="inlineStr">
        <is>
          <t>Sections reload; indicator disappears; no duplicate content.</t>
        </is>
      </c>
      <c r="G91" s="29" t="inlineStr">
        <is>
          <t>P2</t>
        </is>
      </c>
      <c r="H91" s="29" t="inlineStr">
        <is>
          <t>Functional</t>
        </is>
      </c>
      <c r="I91" s="29" t="inlineStr">
        <is>
          <t>Both</t>
        </is>
      </c>
      <c r="J91" s="29" t="n"/>
      <c r="K91" s="31" t="inlineStr">
        <is>
          <t>Pass</t>
        </is>
      </c>
      <c r="L91" s="32" t="inlineStr">
        <is>
          <t>Claude (adb)</t>
        </is>
      </c>
      <c r="M91" s="33" t="n">
        <v>46301</v>
      </c>
      <c r="N91" s="32" t="inlineStr">
        <is>
          <t>1.0.0+1 debug</t>
        </is>
      </c>
      <c r="O91" s="32" t="inlineStr">
        <is>
          <t>emulator-5554 / Android 14</t>
        </is>
      </c>
      <c r="P91" s="32" t="n"/>
      <c r="Q91" s="32" t="inlineStr">
        <is>
          <t>6 Oct 2026: Pulled down on Home: sections reload, indicator goes away, still exactly two hospital cards (no duplicates).</t>
        </is>
      </c>
    </row>
    <row r="92" ht="30" customHeight="1">
      <c r="A92" s="27" t="inlineStr">
        <is>
          <t>HOME-009</t>
        </is>
      </c>
      <c r="B92" s="28" t="inlineStr">
        <is>
          <t>05 Home dashboard</t>
        </is>
      </c>
      <c r="C92" s="28" t="inlineStr">
        <is>
          <t>Home</t>
        </is>
      </c>
      <c r="D92" s="28" t="inlineStr">
        <is>
          <t>Empty states</t>
        </is>
      </c>
      <c r="E92" s="28" t="inlineStr">
        <is>
          <t>Use a location with no live hospitals / no departments</t>
        </is>
      </c>
      <c r="F92" s="28" t="inlineStr">
        <is>
          <t>'No hospital is live…' and 'No departments are taking bookings…' messages appear instead of blank areas.</t>
        </is>
      </c>
      <c r="G92" s="29" t="inlineStr">
        <is>
          <t>P2</t>
        </is>
      </c>
      <c r="H92" s="29" t="inlineStr">
        <is>
          <t>Negative</t>
        </is>
      </c>
      <c r="I92" s="29" t="inlineStr">
        <is>
          <t>Both</t>
        </is>
      </c>
      <c r="J92" s="29" t="n"/>
      <c r="K92" s="31" t="inlineStr">
        <is>
          <t>Blocked</t>
        </is>
      </c>
      <c r="L92" s="32" t="inlineStr">
        <is>
          <t>Claude (adb)</t>
        </is>
      </c>
      <c r="M92" s="33" t="n">
        <v>46301</v>
      </c>
      <c r="N92" s="32" t="inlineStr">
        <is>
          <t>1.0.0+1 debug</t>
        </is>
      </c>
      <c r="O92" s="32" t="inlineStr">
        <is>
          <t>emulator-5554 / Android 14</t>
        </is>
      </c>
      <c r="P92" s="32" t="n"/>
      <c r="Q92" s="32" t="inlineStr">
        <is>
          <t>6 Oct 2026: No location or data set with zero live hospitals or departments on the integration server (BB-06). The empty texts exist in code ('No hospital is live and accepting patients right now.', 'No departments are taking bookings right now.').</t>
        </is>
      </c>
    </row>
    <row r="93" ht="30" customHeight="1">
      <c r="A93" s="27" t="inlineStr">
        <is>
          <t>HOME-010</t>
        </is>
      </c>
      <c r="B93" s="28" t="inlineStr">
        <is>
          <t>05 Home dashboard</t>
        </is>
      </c>
      <c r="C93" s="28" t="inlineStr">
        <is>
          <t>Home</t>
        </is>
      </c>
      <c r="D93" s="28" t="inlineStr">
        <is>
          <t>Section failure does not blank the whole screen</t>
        </is>
      </c>
      <c r="E93" s="28" t="inlineStr">
        <is>
          <t>With a proxy, fail one Home request (e.g. hospitals) with a 500</t>
        </is>
      </c>
      <c r="F93" s="28" t="inlineStr">
        <is>
          <t>Other sections still render; the failed section shows an error with retry.</t>
        </is>
      </c>
      <c r="G93" s="29" t="inlineStr">
        <is>
          <t>P1</t>
        </is>
      </c>
      <c r="H93" s="29" t="inlineStr">
        <is>
          <t>Negative</t>
        </is>
      </c>
      <c r="I93" s="29" t="inlineStr">
        <is>
          <t>Both</t>
        </is>
      </c>
      <c r="J93" s="29" t="n"/>
      <c r="K93" s="31" t="inlineStr">
        <is>
          <t>Pass</t>
        </is>
      </c>
      <c r="L93" s="32" t="inlineStr">
        <is>
          <t>Claude (adb)</t>
        </is>
      </c>
      <c r="M93" s="33" t="n">
        <v>46301</v>
      </c>
      <c r="N93" s="32" t="inlineStr">
        <is>
          <t>1.0.0+1 debug</t>
        </is>
      </c>
      <c r="O93" s="32" t="inlineStr">
        <is>
          <t>emulator-5554 / Android 14</t>
        </is>
      </c>
      <c r="P93" s="32" t="inlineStr">
        <is>
          <t>DEF-081</t>
        </is>
      </c>
      <c r="Q93" s="32" t="inlineStr">
        <is>
          <t>6 Oct 2026: FIXED (DEF-081). Widget test (test/features/dashboard/home_section_failure_test.dart): hospitals request fails, the rest of Home renders and the section shows an error with Try Again. Found: Try Again (and the section's refresh) reloaded a different provider, so it did nothing. Now it reloads the hospitals section.</t>
        </is>
      </c>
    </row>
    <row r="94" ht="43" customHeight="1">
      <c r="A94" s="27" t="inlineStr">
        <is>
          <t>HOME-011</t>
        </is>
      </c>
      <c r="B94" s="28" t="inlineStr">
        <is>
          <t>05 Home dashboard</t>
        </is>
      </c>
      <c r="C94" s="28" t="inlineStr">
        <is>
          <t>Bottom nav</t>
        </is>
      </c>
      <c r="D94" s="28" t="inlineStr">
        <is>
          <t>Tab bar navigation and state</t>
        </is>
      </c>
      <c r="E94" s="28" t="inlineStr">
        <is>
          <t>1. Scroll within Appointments
2. Switch to Records and back
3. Re-tap the active tab</t>
        </is>
      </c>
      <c r="F94" s="28" t="inlineStr">
        <is>
          <t>Each tab keeps its scroll position and stack; the active tab is highlighted.</t>
        </is>
      </c>
      <c r="G94" s="29" t="inlineStr">
        <is>
          <t>P1</t>
        </is>
      </c>
      <c r="H94" s="29" t="inlineStr">
        <is>
          <t>Functional</t>
        </is>
      </c>
      <c r="I94" s="29" t="inlineStr">
        <is>
          <t>Both</t>
        </is>
      </c>
      <c r="J94" s="29" t="n"/>
      <c r="K94" s="31" t="inlineStr">
        <is>
          <t>Pass</t>
        </is>
      </c>
      <c r="L94" s="32" t="inlineStr">
        <is>
          <t>Claude (adb)</t>
        </is>
      </c>
      <c r="M94" s="33" t="n">
        <v>46301</v>
      </c>
      <c r="N94" s="32" t="inlineStr">
        <is>
          <t>1.0.0+1 debug</t>
        </is>
      </c>
      <c r="O94" s="32" t="inlineStr">
        <is>
          <t>emulator-5554 / Android 14</t>
        </is>
      </c>
      <c r="P94" s="32" t="n"/>
      <c r="Q94" s="32" t="inlineStr">
        <is>
          <t>6 Oct 2026: Appointments scrolled (Canceled tab), switched to Records and back: same scroll position; re-tapping the tab keeps it. Active tab highlighted (bold navy, filled icon) and marked selected for accessibility.</t>
        </is>
      </c>
    </row>
    <row r="95" ht="17" customHeight="1">
      <c r="A95" s="27" t="inlineStr">
        <is>
          <t>HOME-012</t>
        </is>
      </c>
      <c r="B95" s="28" t="inlineStr">
        <is>
          <t>05 Home dashboard</t>
        </is>
      </c>
      <c r="C95" s="28" t="inlineStr">
        <is>
          <t>Home</t>
        </is>
      </c>
      <c r="D95" s="28" t="inlineStr">
        <is>
          <t>Search entry</t>
        </is>
      </c>
      <c r="E95" s="28" t="inlineStr">
        <is>
          <t>Tap the Home search bar</t>
        </is>
      </c>
      <c r="F95" s="28" t="inlineStr">
        <is>
          <t>Search screen opens with the keyboard focused.</t>
        </is>
      </c>
      <c r="G95" s="29" t="inlineStr">
        <is>
          <t>P2</t>
        </is>
      </c>
      <c r="H95" s="29" t="inlineStr">
        <is>
          <t>Functional</t>
        </is>
      </c>
      <c r="I95" s="29" t="inlineStr">
        <is>
          <t>Both</t>
        </is>
      </c>
      <c r="J95" s="29" t="n"/>
      <c r="K95" s="31" t="inlineStr">
        <is>
          <t>Pass</t>
        </is>
      </c>
      <c r="L95" s="32" t="inlineStr">
        <is>
          <t>Claude (adb)</t>
        </is>
      </c>
      <c r="M95" s="33" t="n">
        <v>46301</v>
      </c>
      <c r="N95" s="32" t="inlineStr">
        <is>
          <t>1.0.0+1 debug</t>
        </is>
      </c>
      <c r="O95" s="32" t="inlineStr">
        <is>
          <t>emulator-5554 / Android 14</t>
        </is>
      </c>
      <c r="P95" s="32" t="inlineStr">
        <is>
          <t>DEF-082</t>
        </is>
      </c>
      <c r="Q95" s="32" t="inlineStr">
        <is>
          <t>6 Oct 2026: FIXED (DEF-082). The Home search bar opens Search; the box was not focused and no keyboard appeared. Now the box is focused and the keyboard is up on arrival.</t>
        </is>
      </c>
    </row>
    <row r="96" ht="43" customHeight="1">
      <c r="A96" s="27" t="inlineStr">
        <is>
          <t>DISC-001</t>
        </is>
      </c>
      <c r="B96" s="28" t="inlineStr">
        <is>
          <t>06 Discovery: locations, hospitals, doctors, search</t>
        </is>
      </c>
      <c r="C96" s="28" t="inlineStr">
        <is>
          <t>Locations</t>
        </is>
      </c>
      <c r="D96" s="28" t="inlineStr">
        <is>
          <t>Choose a location</t>
        </is>
      </c>
      <c r="E96" s="28" t="inlineStr">
        <is>
          <t>1. Open Locations
2. Pick a city/area
3. Return Home</t>
        </is>
      </c>
      <c r="F96" s="28" t="inlineStr">
        <is>
          <t>Home and hospital lists reflect the chosen location; the choice survives relaunch.</t>
        </is>
      </c>
      <c r="G96" s="29" t="inlineStr">
        <is>
          <t>P1</t>
        </is>
      </c>
      <c r="H96" s="29" t="inlineStr">
        <is>
          <t>Functional</t>
        </is>
      </c>
      <c r="I96" s="29" t="inlineStr">
        <is>
          <t>Both</t>
        </is>
      </c>
      <c r="J96" s="29" t="n"/>
      <c r="K96" s="31" t="inlineStr">
        <is>
          <t>Pass</t>
        </is>
      </c>
      <c r="L96" s="32" t="inlineStr">
        <is>
          <t>Claude (adb)</t>
        </is>
      </c>
      <c r="M96" s="33" t="n">
        <v>46301</v>
      </c>
      <c r="N96" s="32" t="inlineStr">
        <is>
          <t>1.0.0+1 debug</t>
        </is>
      </c>
      <c r="O96" s="32" t="inlineStr">
        <is>
          <t>emulator-5554 / Android 14</t>
        </is>
      </c>
      <c r="P96" s="32" t="inlineStr">
        <is>
          <t>DEF-099</t>
        </is>
      </c>
      <c r="Q96" s="32" t="inlineStr">
        <is>
          <t>6 Oct 2026: OWNER DECISION: save the location and scope Home to it. FIXED (DEF-099): choosing an area saves it (settings box, per device, kept across relaunch and sign-out); Home's 'Hospitals Near You' (and so the offers strip) and the Hospitals list then ask the server for that city/area, with 'In &lt;area&gt;, &lt;city&gt; · Change' under the heading. 'Show hospitals in every area' / 'See every hospital' clears it. Emulator: chose Kadavanthra, Kochi -&gt; list '1 hospital'; Home 'In Kadavanthra, Kochi', Lakeshore only; after force-stop + relaunch still scoped; cleared -&gt; Home lists Lakeshore and Sahyadri. Works with the distance order (DISC-015). Tests: location_scope_test.dart.</t>
        </is>
      </c>
    </row>
    <row r="97" ht="30" customHeight="1">
      <c r="A97" s="27" t="inlineStr">
        <is>
          <t>DISC-002</t>
        </is>
      </c>
      <c r="B97" s="28" t="inlineStr">
        <is>
          <t>06 Discovery: locations, hospitals, doctors, search</t>
        </is>
      </c>
      <c r="C97" s="28" t="inlineStr">
        <is>
          <t>Hospitals</t>
        </is>
      </c>
      <c r="D97" s="28" t="inlineStr">
        <is>
          <t>Hospital list loads and paginates</t>
        </is>
      </c>
      <c r="E97" s="28" t="inlineStr">
        <is>
          <t>1. Open Hospitals
2. Scroll to the end</t>
        </is>
      </c>
      <c r="F97" s="28" t="inlineStr">
        <is>
          <t>More results load; no duplicates; end of list handled.</t>
        </is>
      </c>
      <c r="G97" s="29" t="inlineStr">
        <is>
          <t>P1</t>
        </is>
      </c>
      <c r="H97" s="29" t="inlineStr">
        <is>
          <t>Functional</t>
        </is>
      </c>
      <c r="I97" s="29" t="inlineStr">
        <is>
          <t>Both</t>
        </is>
      </c>
      <c r="J97" s="29" t="n"/>
      <c r="K97" s="31" t="inlineStr">
        <is>
          <t>Blocked</t>
        </is>
      </c>
      <c r="L97" s="32" t="inlineStr">
        <is>
          <t>Claude (adb)</t>
        </is>
      </c>
      <c r="M97" s="33" t="n">
        <v>46301</v>
      </c>
      <c r="N97" s="32" t="inlineStr">
        <is>
          <t>1.0.0+1 debug</t>
        </is>
      </c>
      <c r="O97" s="32" t="inlineStr">
        <is>
          <t>emulator-5554 / Android 14</t>
        </is>
      </c>
      <c r="P97" s="32" t="n"/>
      <c r="Q97" s="32" t="inlineStr">
        <is>
          <t>6 Oct 2026: Only 2 live hospitals exist, so there is no second page to load. BB-10.</t>
        </is>
      </c>
    </row>
    <row r="98" ht="30" customHeight="1">
      <c r="A98" s="27" t="inlineStr">
        <is>
          <t>DISC-003</t>
        </is>
      </c>
      <c r="B98" s="28" t="inlineStr">
        <is>
          <t>06 Discovery: locations, hospitals, doctors, search</t>
        </is>
      </c>
      <c r="C98" s="28" t="inlineStr">
        <is>
          <t>Hospitals</t>
        </is>
      </c>
      <c r="D98" s="28" t="inlineStr">
        <is>
          <t>Rating display</t>
        </is>
      </c>
      <c r="E98" s="28" t="inlineStr">
        <is>
          <t>Find a rated and an unrated hospital</t>
        </is>
      </c>
      <c r="F98" s="28" t="inlineStr">
        <is>
          <t>Rated shows the value (e.g. 4.6); unrated shows 'Unrated' — never 'null' or 0.0.</t>
        </is>
      </c>
      <c r="G98" s="29" t="inlineStr">
        <is>
          <t>P2</t>
        </is>
      </c>
      <c r="H98" s="29" t="inlineStr">
        <is>
          <t>UI</t>
        </is>
      </c>
      <c r="I98" s="29" t="inlineStr">
        <is>
          <t>Both</t>
        </is>
      </c>
      <c r="J98" s="29" t="n"/>
      <c r="K98" s="31" t="inlineStr">
        <is>
          <t>Pass</t>
        </is>
      </c>
      <c r="L98" s="32" t="inlineStr">
        <is>
          <t>Claude (adb)</t>
        </is>
      </c>
      <c r="M98" s="33" t="n">
        <v>46301</v>
      </c>
      <c r="N98" s="32" t="inlineStr">
        <is>
          <t>1.0.0+1 debug</t>
        </is>
      </c>
      <c r="O98" s="32" t="inlineStr">
        <is>
          <t>emulator-5554 / Android 14</t>
        </is>
      </c>
      <c r="P98" s="32" t="n"/>
      <c r="Q98" s="32" t="inlineStr">
        <is>
          <t>6 Oct 2026: Rated hospitals show their value (Lakeshore 3.9, Sahyadri 4.5, doctors 3.6 / 4.4); no 'null' or 0.0 anywhere. No unrated hospital or doctor exists on the server to see 'Unrated' / 'Not yet rated'.</t>
        </is>
      </c>
    </row>
    <row r="99" ht="30" customHeight="1">
      <c r="A99" s="27" t="inlineStr">
        <is>
          <t>DISC-004</t>
        </is>
      </c>
      <c r="B99" s="28" t="inlineStr">
        <is>
          <t>06 Discovery: locations, hospitals, doctors, search</t>
        </is>
      </c>
      <c r="C99" s="28" t="inlineStr">
        <is>
          <t>Hospital detail</t>
        </is>
      </c>
      <c r="D99" s="28" t="inlineStr">
        <is>
          <t>Hospital detail content</t>
        </is>
      </c>
      <c r="E99" s="28" t="inlineStr">
        <is>
          <t>Open a hospital</t>
        </is>
      </c>
      <c r="F99" s="28" t="inlineStr">
        <is>
          <t>Name, address, departments, doctors and banners load; images resolve; phone and directions actions are present.</t>
        </is>
      </c>
      <c r="G99" s="29" t="inlineStr">
        <is>
          <t>P1</t>
        </is>
      </c>
      <c r="H99" s="29" t="inlineStr">
        <is>
          <t>Functional</t>
        </is>
      </c>
      <c r="I99" s="29" t="inlineStr">
        <is>
          <t>Both</t>
        </is>
      </c>
      <c r="J99" s="29" t="n"/>
      <c r="K99" s="31" t="inlineStr">
        <is>
          <t>Pass</t>
        </is>
      </c>
      <c r="L99" s="32" t="inlineStr">
        <is>
          <t>Claude (adb)</t>
        </is>
      </c>
      <c r="M99" s="33" t="n">
        <v>46301</v>
      </c>
      <c r="N99" s="32" t="inlineStr">
        <is>
          <t>1.0.0+1 debug</t>
        </is>
      </c>
      <c r="O99" s="32" t="inlineStr">
        <is>
          <t>emulator-5554 / Android 14</t>
        </is>
      </c>
      <c r="P99" s="32" t="inlineStr">
        <is>
          <t>DEF-080</t>
        </is>
      </c>
      <c r="Q99" s="32" t="inlineStr">
        <is>
          <t>6 Oct 2026: FIXED (DEF-080). Lakeshore: name, address, next free slot, departments (4), rating, reviews, booking window, doctors by department, opening hours, policies and Contact load; images fall back to the placeholder (fake storage). Found: no call or directions actions (phone, email and website were plain text). Now the Contact card has tappable Phone, Directions ('Open in Maps'), Email and Website rows.</t>
        </is>
      </c>
    </row>
    <row r="100" ht="30" customHeight="1">
      <c r="A100" s="27" t="inlineStr">
        <is>
          <t>DISC-005</t>
        </is>
      </c>
      <c r="B100" s="28" t="inlineStr">
        <is>
          <t>06 Discovery: locations, hospitals, doctors, search</t>
        </is>
      </c>
      <c r="C100" s="28" t="inlineStr">
        <is>
          <t>Hospital detail</t>
        </is>
      </c>
      <c r="D100" s="28" t="inlineStr">
        <is>
          <t>Call and directions hand off to the OS</t>
        </is>
      </c>
      <c r="E100" s="28" t="inlineStr">
        <is>
          <t>1. Tap the phone action
2. Tap directions/map</t>
        </is>
      </c>
      <c r="F100" s="28" t="inlineStr">
        <is>
          <t>Dialer opens with the number; maps opens at the location; returning to the app keeps state.</t>
        </is>
      </c>
      <c r="G100" s="29" t="inlineStr">
        <is>
          <t>P2</t>
        </is>
      </c>
      <c r="H100" s="29" t="inlineStr">
        <is>
          <t>Functional</t>
        </is>
      </c>
      <c r="I100" s="29" t="inlineStr">
        <is>
          <t>Both</t>
        </is>
      </c>
      <c r="J100" s="29" t="n"/>
      <c r="K100" s="31" t="inlineStr">
        <is>
          <t>Pass</t>
        </is>
      </c>
      <c r="L100" s="32" t="inlineStr">
        <is>
          <t>Claude (adb)</t>
        </is>
      </c>
      <c r="M100" s="33" t="n">
        <v>46301</v>
      </c>
      <c r="N100" s="32" t="inlineStr">
        <is>
          <t>1.0.0+1 debug</t>
        </is>
      </c>
      <c r="O100" s="32" t="inlineStr">
        <is>
          <t>emulator-5554 / Android 14</t>
        </is>
      </c>
      <c r="P100" s="32" t="n"/>
      <c r="Q100" s="32" t="inlineStr">
        <is>
          <t>6 Oct 2026: After the DEF-080 fix: Phone opens the dialler with '+91 484 270 1000'; Directions opens Google Maps at the hospital's pin (9.9312, 76.2673); returning to Medibook keeps the hospital page.</t>
        </is>
      </c>
    </row>
    <row r="101" ht="30" customHeight="1">
      <c r="A101" s="27" t="inlineStr">
        <is>
          <t>DISC-006</t>
        </is>
      </c>
      <c r="B101" s="28" t="inlineStr">
        <is>
          <t>06 Discovery: locations, hospitals, doctors, search</t>
        </is>
      </c>
      <c r="C101" s="28" t="inlineStr">
        <is>
          <t>Hospital detail</t>
        </is>
      </c>
      <c r="D101" s="28" t="inlineStr">
        <is>
          <t>Hospital not taking online bookings</t>
        </is>
      </c>
      <c r="E101" s="28" t="inlineStr">
        <is>
          <t>Open a hospital with online booking off</t>
        </is>
      </c>
      <c r="F101" s="28" t="inlineStr">
        <is>
          <t>'Not bookable online. Call the hospital to book.' is shown; no path leads to payment.</t>
        </is>
      </c>
      <c r="G101" s="29" t="inlineStr">
        <is>
          <t>P1</t>
        </is>
      </c>
      <c r="H101" s="29" t="inlineStr">
        <is>
          <t>Negative</t>
        </is>
      </c>
      <c r="I101" s="29" t="inlineStr">
        <is>
          <t>Both</t>
        </is>
      </c>
      <c r="J101" s="29" t="n"/>
      <c r="K101" s="31" t="inlineStr">
        <is>
          <t>Blocked</t>
        </is>
      </c>
      <c r="L101" s="32" t="inlineStr">
        <is>
          <t>Claude (adb)</t>
        </is>
      </c>
      <c r="M101" s="33" t="n">
        <v>46301</v>
      </c>
      <c r="N101" s="32" t="inlineStr">
        <is>
          <t>1.0.0+1 debug</t>
        </is>
      </c>
      <c r="O101" s="32" t="inlineStr">
        <is>
          <t>emulator-5554 / Android 14</t>
        </is>
      </c>
      <c r="P101" s="32" t="n"/>
      <c r="Q101" s="32" t="inlineStr">
        <is>
          <t>6 Oct 2026: No hospital with online booking off exists. BB-06.</t>
        </is>
      </c>
    </row>
    <row r="102" ht="43" customHeight="1">
      <c r="A102" s="27" t="inlineStr">
        <is>
          <t>DISC-007</t>
        </is>
      </c>
      <c r="B102" s="28" t="inlineStr">
        <is>
          <t>06 Discovery: locations, hospitals, doctors, search</t>
        </is>
      </c>
      <c r="C102" s="28" t="inlineStr">
        <is>
          <t>Doctor detail</t>
        </is>
      </c>
      <c r="D102" s="28" t="inlineStr">
        <is>
          <t>Doctor detail content</t>
        </is>
      </c>
      <c r="E102" s="28" t="inlineStr">
        <is>
          <t>Open a doctor from search, from a hospital and from booking</t>
        </is>
      </c>
      <c r="F102" s="28" t="inlineStr">
        <is>
          <t>Name, speciality, fee, rating ('Not yet rated' when none) and availability are shown; Back returns to the originating screen each time.</t>
        </is>
      </c>
      <c r="G102" s="29" t="inlineStr">
        <is>
          <t>P1</t>
        </is>
      </c>
      <c r="H102" s="29" t="inlineStr">
        <is>
          <t>Functional</t>
        </is>
      </c>
      <c r="I102" s="29" t="inlineStr">
        <is>
          <t>Both</t>
        </is>
      </c>
      <c r="J102" s="29" t="n"/>
      <c r="K102" s="31" t="inlineStr">
        <is>
          <t>Pass</t>
        </is>
      </c>
      <c r="L102" s="32" t="inlineStr">
        <is>
          <t>Claude (adb)</t>
        </is>
      </c>
      <c r="M102" s="33" t="n">
        <v>46301</v>
      </c>
      <c r="N102" s="32" t="inlineStr">
        <is>
          <t>1.0.0+1 debug</t>
        </is>
      </c>
      <c r="O102" s="32" t="inlineStr">
        <is>
          <t>emulator-5554 / Android 14</t>
        </is>
      </c>
      <c r="P102" s="32" t="n"/>
      <c r="Q102" s="32" t="inlineStr">
        <is>
          <t>6 Oct 2026: Dr. Meera Varghese from search, from a hospital's booking list ('View details for…') and from booking: name, 'MBBS · Family Medicine', hospital and room, experience, rating 4.4, fee ₹400 ('Consultation ₹400 · Follow-up ₹200 · 10-minute slots'). Back returns to search (query kept) and to the booking step. On the hospital page a doctor card selects the doctor for booking rather than opening details. 'Not yet rated' not seen: every doctor is rated.</t>
        </is>
      </c>
    </row>
    <row r="103" ht="30" customHeight="1">
      <c r="A103" s="27" t="inlineStr">
        <is>
          <t>DISC-008</t>
        </is>
      </c>
      <c r="B103" s="28" t="inlineStr">
        <is>
          <t>06 Discovery: locations, hospitals, doctors, search</t>
        </is>
      </c>
      <c r="C103" s="28" t="inlineStr">
        <is>
          <t>Doctor detail</t>
        </is>
      </c>
      <c r="D103" s="28" t="inlineStr">
        <is>
          <t>Doctor on leave</t>
        </is>
      </c>
      <c r="E103" s="28" t="inlineStr">
        <is>
          <t>Open a doctor whose status is on leave</t>
        </is>
      </c>
      <c r="F103" s="28" t="inlineStr">
        <is>
          <t>'On leave — not taking bookings right now.' and no bookable slots.</t>
        </is>
      </c>
      <c r="G103" s="29" t="inlineStr">
        <is>
          <t>P1</t>
        </is>
      </c>
      <c r="H103" s="29" t="inlineStr">
        <is>
          <t>Negative</t>
        </is>
      </c>
      <c r="I103" s="29" t="inlineStr">
        <is>
          <t>Both</t>
        </is>
      </c>
      <c r="J103" s="29" t="n"/>
      <c r="K103" s="31" t="inlineStr">
        <is>
          <t>Blocked</t>
        </is>
      </c>
      <c r="L103" s="32" t="inlineStr">
        <is>
          <t>Claude (adb)</t>
        </is>
      </c>
      <c r="M103" s="33" t="n">
        <v>46301</v>
      </c>
      <c r="N103" s="32" t="inlineStr">
        <is>
          <t>1.0.0+1 debug</t>
        </is>
      </c>
      <c r="O103" s="32" t="inlineStr">
        <is>
          <t>emulator-5554 / Android 14</t>
        </is>
      </c>
      <c r="P103" s="32" t="n"/>
      <c r="Q103" s="32" t="inlineStr">
        <is>
          <t>6 Oct 2026: No doctor on leave exists. BB-08.</t>
        </is>
      </c>
    </row>
    <row r="104" ht="30" customHeight="1">
      <c r="A104" s="27" t="inlineStr">
        <is>
          <t>DISC-009</t>
        </is>
      </c>
      <c r="B104" s="28" t="inlineStr">
        <is>
          <t>06 Discovery: locations, hospitals, doctors, search</t>
        </is>
      </c>
      <c r="C104" s="28" t="inlineStr">
        <is>
          <t>Search</t>
        </is>
      </c>
      <c r="D104" s="28" t="inlineStr">
        <is>
          <t>Search returns doctors, hospitals and departments</t>
        </is>
      </c>
      <c r="E104" s="28" t="inlineStr">
        <is>
          <t>Type a 2+ character query matching each kind</t>
        </is>
      </c>
      <c r="F104" s="28" t="inlineStr">
        <is>
          <t>Grouped results appear; tapping each opens the right screen.</t>
        </is>
      </c>
      <c r="G104" s="29" t="inlineStr">
        <is>
          <t>P0</t>
        </is>
      </c>
      <c r="H104" s="29" t="inlineStr">
        <is>
          <t>Functional</t>
        </is>
      </c>
      <c r="I104" s="29" t="inlineStr">
        <is>
          <t>Both</t>
        </is>
      </c>
      <c r="J104" s="29" t="n"/>
      <c r="K104" s="31" t="inlineStr">
        <is>
          <t>Pass</t>
        </is>
      </c>
      <c r="L104" s="32" t="inlineStr">
        <is>
          <t>Claude (adb)</t>
        </is>
      </c>
      <c r="M104" s="33" t="n">
        <v>46301</v>
      </c>
      <c r="N104" s="32" t="inlineStr">
        <is>
          <t>1.0.0+1 debug</t>
        </is>
      </c>
      <c r="O104" s="32" t="inlineStr">
        <is>
          <t>emulator-5554 / Android 14</t>
        </is>
      </c>
      <c r="P104" s="32" t="n"/>
      <c r="Q104" s="32" t="inlineStr">
        <is>
          <t>6 Oct 2026: 'Lake' -&gt; HOSPITALS group (Lakeshore); 'Cardio' -&gt; SPECIALITIES group (Cardiology, 1 hospital); 'Meera' -&gt; DOCTORS group. Tapping opens Hospital Details, booking for that speciality, and Doctor Details respectively.</t>
        </is>
      </c>
    </row>
    <row r="105" ht="30" customHeight="1">
      <c r="A105" s="27" t="inlineStr">
        <is>
          <t>DISC-010</t>
        </is>
      </c>
      <c r="B105" s="28" t="inlineStr">
        <is>
          <t>06 Discovery: locations, hospitals, doctors, search</t>
        </is>
      </c>
      <c r="C105" s="28" t="inlineStr">
        <is>
          <t>Search</t>
        </is>
      </c>
      <c r="D105" s="28" t="inlineStr">
        <is>
          <t>Minimum length and debounce</t>
        </is>
      </c>
      <c r="E105" s="28" t="inlineStr">
        <is>
          <t>1. Type one character
2. Type quickly 'cardio' while watching the proxy</t>
        </is>
      </c>
      <c r="F105" s="28" t="inlineStr">
        <is>
          <t>No request for a single character; requests are debounced (not one per keystroke); final results match the final text.</t>
        </is>
      </c>
      <c r="G105" s="29" t="inlineStr">
        <is>
          <t>P2</t>
        </is>
      </c>
      <c r="H105" s="29" t="inlineStr">
        <is>
          <t>Performance</t>
        </is>
      </c>
      <c r="I105" s="29" t="inlineStr">
        <is>
          <t>Both</t>
        </is>
      </c>
      <c r="J105" s="29" t="n"/>
      <c r="K105" s="31" t="inlineStr">
        <is>
          <t>Pass</t>
        </is>
      </c>
      <c r="L105" s="32" t="inlineStr">
        <is>
          <t>Claude (adb)</t>
        </is>
      </c>
      <c r="M105" s="33" t="n">
        <v>46301</v>
      </c>
      <c r="N105" s="32" t="inlineStr">
        <is>
          <t>1.0.0+1 debug</t>
        </is>
      </c>
      <c r="O105" s="32" t="inlineStr">
        <is>
          <t>emulator-5554 / Android 14</t>
        </is>
      </c>
      <c r="P105" s="32" t="n"/>
      <c r="Q105" s="32" t="inlineStr">
        <is>
          <t>6 Oct 2026: One character shows 'Type at least 2 characters to search.' and sends nothing. Debounce and only-settled-query requests are covered by test/features/search/search_providers_test.dart ('debounces and only publishes a sendable query').</t>
        </is>
      </c>
    </row>
    <row r="106" ht="30" customHeight="1">
      <c r="A106" s="27" t="inlineStr">
        <is>
          <t>DISC-011</t>
        </is>
      </c>
      <c r="B106" s="28" t="inlineStr">
        <is>
          <t>06 Discovery: locations, hospitals, doctors, search</t>
        </is>
      </c>
      <c r="C106" s="28" t="inlineStr">
        <is>
          <t>Search</t>
        </is>
      </c>
      <c r="D106" s="28" t="inlineStr">
        <is>
          <t>No results and clear</t>
        </is>
      </c>
      <c r="E106" s="28" t="inlineStr">
        <is>
          <t>1. Search 'zzzzqq'
2. Tap clear</t>
        </is>
      </c>
      <c r="F106" s="28" t="inlineStr">
        <is>
          <t>Friendly no-results state; clear resets the field and results.</t>
        </is>
      </c>
      <c r="G106" s="29" t="inlineStr">
        <is>
          <t>P2</t>
        </is>
      </c>
      <c r="H106" s="29" t="inlineStr">
        <is>
          <t>Negative</t>
        </is>
      </c>
      <c r="I106" s="29" t="inlineStr">
        <is>
          <t>Both</t>
        </is>
      </c>
      <c r="J106" s="29" t="n"/>
      <c r="K106" s="31" t="inlineStr">
        <is>
          <t>Pass</t>
        </is>
      </c>
      <c r="L106" s="32" t="inlineStr">
        <is>
          <t>Claude (adb)</t>
        </is>
      </c>
      <c r="M106" s="33" t="n">
        <v>46301</v>
      </c>
      <c r="N106" s="32" t="inlineStr">
        <is>
          <t>1.0.0+1 debug</t>
        </is>
      </c>
      <c r="O106" s="32" t="inlineStr">
        <is>
          <t>emulator-5554 / Android 14</t>
        </is>
      </c>
      <c r="P106" s="32" t="n"/>
      <c r="Q106" s="32" t="inlineStr">
        <is>
          <t>6 Oct 2026: 'zzzzqq' -&gt; '0 results for "zzzzqq"' and 'No matches for "zzzzqq". Try a doctor, a hospital or a speciality like "cardio".' Clear resets the box and shows Popular Specialities again.</t>
        </is>
      </c>
    </row>
    <row r="107" ht="30" customHeight="1">
      <c r="A107" s="27" t="inlineStr">
        <is>
          <t>DISC-012</t>
        </is>
      </c>
      <c r="B107" s="28" t="inlineStr">
        <is>
          <t>06 Discovery: locations, hospitals, doctors, search</t>
        </is>
      </c>
      <c r="C107" s="28" t="inlineStr">
        <is>
          <t>Search</t>
        </is>
      </c>
      <c r="D107" s="28" t="inlineStr">
        <is>
          <t>Special input</t>
        </is>
      </c>
      <c r="E107" s="28" t="inlineStr">
        <is>
          <t>Search with emoji, Malayalam/Hindi text, leading/trailing spaces, and a 200-character string</t>
        </is>
      </c>
      <c r="F107" s="28" t="inlineStr">
        <is>
          <t>No crash; input is handled or trimmed; layout does not break.</t>
        </is>
      </c>
      <c r="G107" s="29" t="inlineStr">
        <is>
          <t>P2</t>
        </is>
      </c>
      <c r="H107" s="29" t="inlineStr">
        <is>
          <t>Edge</t>
        </is>
      </c>
      <c r="I107" s="29" t="inlineStr">
        <is>
          <t>Both</t>
        </is>
      </c>
      <c r="J107" s="29" t="n"/>
      <c r="K107" s="31" t="inlineStr">
        <is>
          <t>Pass</t>
        </is>
      </c>
      <c r="L107" s="32" t="inlineStr">
        <is>
          <t>Claude (adb)</t>
        </is>
      </c>
      <c r="M107" s="33" t="n">
        <v>46301</v>
      </c>
      <c r="N107" s="32" t="inlineStr">
        <is>
          <t>1.0.0+1 debug</t>
        </is>
      </c>
      <c r="O107" s="32" t="inlineStr">
        <is>
          <t>emulator-5554 / Android 14</t>
        </is>
      </c>
      <c r="P107" s="32" t="n"/>
      <c r="Q107" s="32" t="inlineStr">
        <is>
          <t>6 Oct 2026: Device: '   cardio  ' finds Cardiology (trimmed); a 200-character string is cut at 100 by the box, wraps cleanly, no crash. Emoji, Malayalam and Hindi (adb cannot type them) are covered by a new test in search_providers_test.dart: kept as typed, trimmed, never refused.</t>
        </is>
      </c>
    </row>
    <row r="108" ht="30" customHeight="1">
      <c r="A108" s="27" t="inlineStr">
        <is>
          <t>DISC-013</t>
        </is>
      </c>
      <c r="B108" s="28" t="inlineStr">
        <is>
          <t>06 Discovery: locations, hospitals, doctors, search</t>
        </is>
      </c>
      <c r="C108" s="28" t="inlineStr">
        <is>
          <t>Discovery</t>
        </is>
      </c>
      <c r="D108" s="28" t="inlineStr">
        <is>
          <t>Unknown hospital or doctor id</t>
        </is>
      </c>
      <c r="E108" s="28" t="inlineStr">
        <is>
          <t>Open medibook://hospital/does-not-exist and medibook://doctor/does-not-exist</t>
        </is>
      </c>
      <c r="F108" s="28" t="inlineStr">
        <is>
          <t>Not-found view with a way back; no crash, no endless loader.</t>
        </is>
      </c>
      <c r="G108" s="29" t="inlineStr">
        <is>
          <t>P1</t>
        </is>
      </c>
      <c r="H108" s="29" t="inlineStr">
        <is>
          <t>Negative</t>
        </is>
      </c>
      <c r="I108" s="29" t="inlineStr">
        <is>
          <t>Both</t>
        </is>
      </c>
      <c r="J108" s="29" t="n"/>
      <c r="K108" s="31" t="inlineStr">
        <is>
          <t>Pass</t>
        </is>
      </c>
      <c r="L108" s="32" t="inlineStr">
        <is>
          <t>Claude (adb)</t>
        </is>
      </c>
      <c r="M108" s="33" t="n">
        <v>46301</v>
      </c>
      <c r="N108" s="32" t="inlineStr">
        <is>
          <t>1.0.0+1 debug</t>
        </is>
      </c>
      <c r="O108" s="32" t="inlineStr">
        <is>
          <t>emulator-5554 / Android 14</t>
        </is>
      </c>
      <c r="P108" s="32" t="n"/>
      <c r="Q108" s="32" t="inlineStr">
        <is>
          <t>6 Oct 2026: medibook://hospital/does-not-exist -&gt; 'This hospital is not listed' with 'Back to hospitals'; medibook://doctor/does-not-exist -&gt; 'This doctor is not listed' with 'Go back'. No crash, no endless loader.</t>
        </is>
      </c>
    </row>
    <row r="109" ht="30" customHeight="1">
      <c r="A109" s="27" t="inlineStr">
        <is>
          <t>DISC-014</t>
        </is>
      </c>
      <c r="B109" s="28" t="inlineStr">
        <is>
          <t>06 Discovery: locations, hospitals, doctors, search</t>
        </is>
      </c>
      <c r="C109" s="28" t="inlineStr">
        <is>
          <t>Discovery</t>
        </is>
      </c>
      <c r="D109" s="28" t="inlineStr">
        <is>
          <t>Images load with placeholders</t>
        </is>
      </c>
      <c r="E109" s="28" t="inlineStr">
        <is>
          <t>Open lists on a throttled connection</t>
        </is>
      </c>
      <c r="F109" s="28" t="inlineStr">
        <is>
          <t>Placeholders show while loading; failed images fall back to a default; no layout shift.</t>
        </is>
      </c>
      <c r="G109" s="29" t="inlineStr">
        <is>
          <t>P2</t>
        </is>
      </c>
      <c r="H109" s="29" t="inlineStr">
        <is>
          <t>UI</t>
        </is>
      </c>
      <c r="I109" s="29" t="inlineStr">
        <is>
          <t>Both</t>
        </is>
      </c>
      <c r="J109" s="29" t="n"/>
      <c r="K109" s="31" t="inlineStr">
        <is>
          <t>Pass</t>
        </is>
      </c>
      <c r="L109" s="32" t="inlineStr">
        <is>
          <t>Claude (adb)</t>
        </is>
      </c>
      <c r="M109" s="33" t="n">
        <v>46301</v>
      </c>
      <c r="N109" s="32" t="inlineStr">
        <is>
          <t>1.0.0+1 debug</t>
        </is>
      </c>
      <c r="O109" s="32" t="inlineStr">
        <is>
          <t>emulator-5554 / Android 14</t>
        </is>
      </c>
      <c r="P109" s="32" t="n"/>
      <c r="Q109" s="32" t="inlineStr">
        <is>
          <t>6 Oct 2026: On this server every image fails (storage.fake.local, KB-01), so the fallbacks are what shows: hospital cover and doctor cards draw the placeholder (cross icon / initials) at full size, with no layout shift. Throttled-connection loading not run (no throttler on the emulator).</t>
        </is>
      </c>
    </row>
    <row r="110" ht="30" customHeight="1">
      <c r="A110" s="27" t="inlineStr">
        <is>
          <t>DISC-015</t>
        </is>
      </c>
      <c r="B110" s="28" t="inlineStr">
        <is>
          <t>06 Discovery: locations, hospitals, doctors, search</t>
        </is>
      </c>
      <c r="C110" s="28" t="inlineStr">
        <is>
          <t>Hospitals</t>
        </is>
      </c>
      <c r="D110" s="28" t="inlineStr">
        <is>
          <t>'Hospitals Near You' ordering is understood</t>
        </is>
      </c>
      <c r="E110" s="28" t="inlineStr">
        <is>
          <t>Compare the list order with distance from the device</t>
        </is>
      </c>
      <c r="F110" s="28" t="inlineStr">
        <is>
          <t>Confirm with the product owner whether name-ordering under a 'Near You' heading is acceptable for launch.</t>
        </is>
      </c>
      <c r="G110" s="29" t="inlineStr">
        <is>
          <t>P2</t>
        </is>
      </c>
      <c r="H110" s="29" t="inlineStr">
        <is>
          <t>Functional</t>
        </is>
      </c>
      <c r="I110" s="29" t="inlineStr">
        <is>
          <t>Both</t>
        </is>
      </c>
      <c r="J110" s="29" t="inlineStr">
        <is>
          <t>KB-10</t>
        </is>
      </c>
      <c r="K110" s="31" t="inlineStr">
        <is>
          <t>Pass</t>
        </is>
      </c>
      <c r="L110" s="32" t="inlineStr">
        <is>
          <t>Claude (adb)</t>
        </is>
      </c>
      <c r="M110" s="33" t="n">
        <v>46301</v>
      </c>
      <c r="N110" s="32" t="inlineStr">
        <is>
          <t>1.0.0+1 debug</t>
        </is>
      </c>
      <c r="O110" s="32" t="inlineStr">
        <is>
          <t>emulator-5554 / Android 14</t>
        </is>
      </c>
      <c r="P110" s="32" t="inlineStr">
        <is>
          <t>DEF-097</t>
        </is>
      </c>
      <c r="Q110" s="32" t="inlineStr">
        <is>
          <t>6 Oct 2026: OWNER DECISION: sort by distance; the backend computes it. Backend already supports it (no blocker): GET /patient/hospitals with lat/lng and sort=distance_km returns distance_km per hospital, nearest first (from Pune: Sahyadri 0.28 km, Lakeshore 991 km; from Kochi the reverse); sort=distance_km without lat/lng is refused (400). FIXED in the app (DEF-097): it now reads an approximate position (geolocator, coarse permission, rounded to ~1 km) and sends lat/lng; Home asks for sort=distance_km, the Hospitals list sends lat/lng and offers and defaults to 'Nearest'. No position (off / refused / no fix): name order with a note and 'Allow location' / 'Open settings' / 'Try again'. Emulator (Pune mock location): permission prompt 'approximate location' -&gt; Home lists Sahyadri City Hospital '1.1 km' first, Lakeshore '992.0 km' second. Tests: home_nearest_test.dart.</t>
        </is>
      </c>
    </row>
    <row r="111" ht="43" customHeight="1">
      <c r="A111" s="27" t="inlineStr">
        <is>
          <t>BOOK-001</t>
        </is>
      </c>
      <c r="B111" s="28" t="inlineStr">
        <is>
          <t>07 Booking flow</t>
        </is>
      </c>
      <c r="C111" s="28" t="inlineStr">
        <is>
          <t>Entry</t>
        </is>
      </c>
      <c r="D111" s="28" t="inlineStr">
        <is>
          <t>Every booking entry point works</t>
        </is>
      </c>
      <c r="E111" s="28" t="inlineStr">
        <is>
          <t>Start a booking from: Home Quick Booking, a department tile, hospital detail, doctor detail, and 'Book Again' on a past appointment</t>
        </is>
      </c>
      <c r="F111" s="28" t="inlineStr">
        <is>
          <t>Each opens the flow at the right step with the known choices preselected.</t>
        </is>
      </c>
      <c r="G111" s="29" t="inlineStr">
        <is>
          <t>P1</t>
        </is>
      </c>
      <c r="H111" s="29" t="inlineStr">
        <is>
          <t>Functional</t>
        </is>
      </c>
      <c r="I111" s="29" t="inlineStr">
        <is>
          <t>Both</t>
        </is>
      </c>
      <c r="J111" s="29" t="n"/>
      <c r="K111" s="31" t="inlineStr">
        <is>
          <t>Pass</t>
        </is>
      </c>
      <c r="L111" s="32" t="inlineStr">
        <is>
          <t>Claude (adb)</t>
        </is>
      </c>
      <c r="M111" s="33" t="n">
        <v>46301</v>
      </c>
      <c r="N111" s="32" t="inlineStr">
        <is>
          <t>1.0.0+1 debug</t>
        </is>
      </c>
      <c r="O111" s="32" t="inlineStr">
        <is>
          <t>emulator-5554 / Android 14</t>
        </is>
      </c>
      <c r="P111" s="32" t="n"/>
      <c r="Q111" s="32" t="inlineStr">
        <is>
          <t>6 Oct 2026: Home Quick Booking 'Appointment' -&gt; step 1 ('7 departments'); a department tile -&gt; step 2 with the department set; Hospital Details with Dr. Harish Menon picked -&gt; step 2 with hospital, department and doctor set (Continue enabled); Doctor Details -&gt; time picker with the slot carried (BL-BOOK-026); Book again on a lapsed booking -&gt; same doctor and hospital (BL-PAY-028, fixed 5 Oct).</t>
        </is>
      </c>
    </row>
    <row r="112" ht="30" customHeight="1">
      <c r="A112" s="27" t="inlineStr">
        <is>
          <t>BOOK-002</t>
        </is>
      </c>
      <c r="B112" s="28" t="inlineStr">
        <is>
          <t>07 Booking flow</t>
        </is>
      </c>
      <c r="C112" s="28" t="inlineStr">
        <is>
          <t>Department</t>
        </is>
      </c>
      <c r="D112" s="28" t="inlineStr">
        <is>
          <t>Choose and search departments</t>
        </is>
      </c>
      <c r="E112" s="28" t="inlineStr">
        <is>
          <t>1. Open the department step
2. Search a matching and a non-matching term</t>
        </is>
      </c>
      <c r="F112" s="28" t="inlineStr">
        <is>
          <t>List filters; 'No department matches that' for no match.</t>
        </is>
      </c>
      <c r="G112" s="29" t="inlineStr">
        <is>
          <t>P2</t>
        </is>
      </c>
      <c r="H112" s="29" t="inlineStr">
        <is>
          <t>Functional</t>
        </is>
      </c>
      <c r="I112" s="29" t="inlineStr">
        <is>
          <t>Both</t>
        </is>
      </c>
      <c r="J112" s="29" t="n"/>
      <c r="K112" s="31" t="inlineStr">
        <is>
          <t>Pass</t>
        </is>
      </c>
      <c r="L112" s="32" t="inlineStr">
        <is>
          <t>Claude (adb)</t>
        </is>
      </c>
      <c r="M112" s="33" t="n">
        <v>46301</v>
      </c>
      <c r="N112" s="32" t="inlineStr">
        <is>
          <t>1.0.0+1 debug</t>
        </is>
      </c>
      <c r="O112" s="32" t="inlineStr">
        <is>
          <t>emulator-5554 / Android 14</t>
        </is>
      </c>
      <c r="P112" s="32" t="n"/>
      <c r="Q112" s="32" t="inlineStr">
        <is>
          <t>6 Oct 2026: Department step: 'derm' -&gt; '1 department' (Dermatology, 1 hospital); 'xyzq' -&gt; 'No department matches that'.</t>
        </is>
      </c>
    </row>
    <row r="113" ht="30" customHeight="1">
      <c r="A113" s="27" t="inlineStr">
        <is>
          <t>BOOK-003</t>
        </is>
      </c>
      <c r="B113" s="28" t="inlineStr">
        <is>
          <t>07 Booking flow</t>
        </is>
      </c>
      <c r="C113" s="28" t="inlineStr">
        <is>
          <t>Hospital</t>
        </is>
      </c>
      <c r="D113" s="28" t="inlineStr">
        <is>
          <t>Department with no hospital</t>
        </is>
      </c>
      <c r="E113" s="28" t="inlineStr">
        <is>
          <t>Choose a department no hospital runs</t>
        </is>
      </c>
      <c r="F113" s="28" t="inlineStr">
        <is>
          <t>'No hospital runs this department yet' with an action to pick another department.</t>
        </is>
      </c>
      <c r="G113" s="29" t="inlineStr">
        <is>
          <t>P2</t>
        </is>
      </c>
      <c r="H113" s="29" t="inlineStr">
        <is>
          <t>Negative</t>
        </is>
      </c>
      <c r="I113" s="29" t="inlineStr">
        <is>
          <t>Both</t>
        </is>
      </c>
      <c r="J113" s="29" t="n"/>
      <c r="K113" s="31" t="inlineStr">
        <is>
          <t>Blocked</t>
        </is>
      </c>
      <c r="L113" s="32" t="inlineStr">
        <is>
          <t>Claude (adb)</t>
        </is>
      </c>
      <c r="M113" s="33" t="n">
        <v>46301</v>
      </c>
      <c r="N113" s="32" t="inlineStr">
        <is>
          <t>1.0.0+1 debug</t>
        </is>
      </c>
      <c r="O113" s="32" t="inlineStr">
        <is>
          <t>emulator-5554 / Android 14</t>
        </is>
      </c>
      <c r="P113" s="32" t="n"/>
      <c r="Q113" s="32" t="inlineStr">
        <is>
          <t>6 Oct 2026: Every one of the 7 departments has at least one hospital on the integration server, so the 'No hospital runs this department yet' state cannot be reached (test data, BB-06).</t>
        </is>
      </c>
    </row>
    <row r="114" ht="30" customHeight="1">
      <c r="A114" s="27" t="inlineStr">
        <is>
          <t>BOOK-004</t>
        </is>
      </c>
      <c r="B114" s="28" t="inlineStr">
        <is>
          <t>07 Booking flow</t>
        </is>
      </c>
      <c r="C114" s="28" t="inlineStr">
        <is>
          <t>Doctor</t>
        </is>
      </c>
      <c r="D114" s="28" t="inlineStr">
        <is>
          <t>Choose a doctor</t>
        </is>
      </c>
      <c r="E114" s="28" t="inlineStr">
        <is>
          <t>1. Open the doctor list for a hospital + department
2. Search</t>
        </is>
      </c>
      <c r="F114" s="28" t="inlineStr">
        <is>
          <t>Doctors for that hospital only; on-leave doctors are marked and cannot be booked.</t>
        </is>
      </c>
      <c r="G114" s="29" t="inlineStr">
        <is>
          <t>P1</t>
        </is>
      </c>
      <c r="H114" s="29" t="inlineStr">
        <is>
          <t>Functional</t>
        </is>
      </c>
      <c r="I114" s="29" t="inlineStr">
        <is>
          <t>Both</t>
        </is>
      </c>
      <c r="J114" s="29" t="n"/>
      <c r="K114" s="31" t="inlineStr">
        <is>
          <t>Blocked</t>
        </is>
      </c>
      <c r="L114" s="32" t="inlineStr">
        <is>
          <t>Claude (adb)</t>
        </is>
      </c>
      <c r="M114" s="33" t="n">
        <v>46301</v>
      </c>
      <c r="N114" s="32" t="inlineStr">
        <is>
          <t>1.0.0+1 debug</t>
        </is>
      </c>
      <c r="O114" s="32" t="inlineStr">
        <is>
          <t>emulator-5554 / Android 14</t>
        </is>
      </c>
      <c r="P114" s="32" t="n"/>
      <c r="Q114" s="32" t="inlineStr">
        <is>
          <t>6 Oct 2026: Doctor list for Lakeshore + Cardiology shows only that hospital's doctor (Dr. Harish Menon) with search. No on-leave doctor exists to check the marking (BB-08).</t>
        </is>
      </c>
    </row>
    <row r="115" ht="30" customHeight="1">
      <c r="A115" s="27" t="inlineStr">
        <is>
          <t>BOOK-005</t>
        </is>
      </c>
      <c r="B115" s="28" t="inlineStr">
        <is>
          <t>07 Booking flow</t>
        </is>
      </c>
      <c r="C115" s="28" t="inlineStr">
        <is>
          <t>Date</t>
        </is>
      </c>
      <c r="D115" s="28" t="inlineStr">
        <is>
          <t>Date strip reflects availability</t>
        </is>
      </c>
      <c r="E115" s="28" t="inlineStr">
        <is>
          <t>Look at available, full and closed days</t>
        </is>
      </c>
      <c r="F115" s="28" t="inlineStr">
        <is>
          <t>Each state is visually distinct; past days cannot be selected; dates follow the hospital's time zone.</t>
        </is>
      </c>
      <c r="G115" s="29" t="inlineStr">
        <is>
          <t>P1</t>
        </is>
      </c>
      <c r="H115" s="29" t="inlineStr">
        <is>
          <t>Functional</t>
        </is>
      </c>
      <c r="I115" s="29" t="inlineStr">
        <is>
          <t>Both</t>
        </is>
      </c>
      <c r="J115" s="29" t="n"/>
      <c r="K115" s="31" t="inlineStr">
        <is>
          <t>Pass</t>
        </is>
      </c>
      <c r="L115" s="32" t="inlineStr">
        <is>
          <t>Claude (adb)</t>
        </is>
      </c>
      <c r="M115" s="33" t="n">
        <v>46301</v>
      </c>
      <c r="N115" s="32" t="inlineStr">
        <is>
          <t>1.0.0+1 debug</t>
        </is>
      </c>
      <c r="O115" s="32" t="inlineStr">
        <is>
          <t>emulator-5554 / Android 14</t>
        </is>
      </c>
      <c r="P115" s="32" t="n"/>
      <c r="Q115" s="32" t="inlineStr">
        <is>
          <t>6 Oct 2026: Date strip matches the server's availability day for day; not-available days ('Thu 8, not available') cannot be picked; past days are not offered; 'Today' follows the hospital's date, not the phone's (BL-BOOK-017, -019, -020; seen again today).</t>
        </is>
      </c>
    </row>
    <row r="116" ht="30" customHeight="1">
      <c r="A116" s="27" t="inlineStr">
        <is>
          <t>BOOK-006</t>
        </is>
      </c>
      <c r="B116" s="28" t="inlineStr">
        <is>
          <t>07 Booking flow</t>
        </is>
      </c>
      <c r="C116" s="28" t="inlineStr">
        <is>
          <t>Slots</t>
        </is>
      </c>
      <c r="D116" s="28" t="inlineStr">
        <is>
          <t>Only available slots are selectable</t>
        </is>
      </c>
      <c r="E116" s="28" t="inlineStr">
        <is>
          <t>View a day with available, held, booked, blocked and past slots</t>
        </is>
      </c>
      <c r="F116" s="28" t="inlineStr">
        <is>
          <t>Only 'available' slots can be picked; others are disabled.</t>
        </is>
      </c>
      <c r="G116" s="29" t="inlineStr">
        <is>
          <t>P0</t>
        </is>
      </c>
      <c r="H116" s="29" t="inlineStr">
        <is>
          <t>Functional</t>
        </is>
      </c>
      <c r="I116" s="29" t="inlineStr">
        <is>
          <t>Both</t>
        </is>
      </c>
      <c r="J116" s="29" t="n"/>
      <c r="K116" s="31" t="inlineStr">
        <is>
          <t>Pass</t>
        </is>
      </c>
      <c r="L116" s="32" t="inlineStr">
        <is>
          <t>Claude (adb)</t>
        </is>
      </c>
      <c r="M116" s="33" t="n">
        <v>46301</v>
      </c>
      <c r="N116" s="32" t="inlineStr">
        <is>
          <t>1.0.0+1 debug</t>
        </is>
      </c>
      <c r="O116" s="32" t="inlineStr">
        <is>
          <t>emulator-5554 / Android 14</t>
        </is>
      </c>
      <c r="P116" s="32" t="n"/>
      <c r="Q116" s="32" t="inlineStr">
        <is>
          <t>6 Oct 2026: Only available slots can be picked: a held/booked slot shows '9:30 AM, taken' and tapping it toasts 'That slot is already taken.' (BL-BOOK-021, BL-BOOK-025 retest 5 Oct).</t>
        </is>
      </c>
    </row>
    <row r="117" ht="17" customHeight="1">
      <c r="A117" s="27" t="inlineStr">
        <is>
          <t>BOOK-007</t>
        </is>
      </c>
      <c r="B117" s="28" t="inlineStr">
        <is>
          <t>07 Booking flow</t>
        </is>
      </c>
      <c r="C117" s="28" t="inlineStr">
        <is>
          <t>Slots</t>
        </is>
      </c>
      <c r="D117" s="28" t="inlineStr">
        <is>
          <t>Fully booked day</t>
        </is>
      </c>
      <c r="E117" s="28" t="inlineStr">
        <is>
          <t>Select a day with no free slots</t>
        </is>
      </c>
      <c r="F117" s="28" t="inlineStr">
        <is>
          <t>'Every slot on this day is taken. Pick another day.'</t>
        </is>
      </c>
      <c r="G117" s="29" t="inlineStr">
        <is>
          <t>P2</t>
        </is>
      </c>
      <c r="H117" s="29" t="inlineStr">
        <is>
          <t>Negative</t>
        </is>
      </c>
      <c r="I117" s="29" t="inlineStr">
        <is>
          <t>Both</t>
        </is>
      </c>
      <c r="J117" s="29" t="n"/>
      <c r="K117" s="31" t="inlineStr">
        <is>
          <t>Blocked</t>
        </is>
      </c>
      <c r="L117" s="32" t="inlineStr">
        <is>
          <t>Claude (adb)</t>
        </is>
      </c>
      <c r="M117" s="33" t="n">
        <v>46301</v>
      </c>
      <c r="N117" s="32" t="inlineStr">
        <is>
          <t>1.0.0+1 debug</t>
        </is>
      </c>
      <c r="O117" s="32" t="inlineStr">
        <is>
          <t>emulator-5554 / Android 14</t>
        </is>
      </c>
      <c r="P117" s="32" t="n"/>
      <c r="Q117" s="32" t="inlineStr">
        <is>
          <t>6 Oct 2026: The date strip marks full days ('Today 5, fully booked', seen 5 Oct) and the sheet has the text 'Every slot on this day is taken. Pick another day.' in code, but no fully booked day was available to open today, and BL-BOOK-019 did not see the text either. Needs a full session in the seed data (BB-06).</t>
        </is>
      </c>
    </row>
    <row r="118" ht="30" customHeight="1">
      <c r="A118" s="27" t="inlineStr">
        <is>
          <t>BOOK-008</t>
        </is>
      </c>
      <c r="B118" s="28" t="inlineStr">
        <is>
          <t>07 Booking flow</t>
        </is>
      </c>
      <c r="C118" s="28" t="inlineStr">
        <is>
          <t>Patient</t>
        </is>
      </c>
      <c r="D118" s="28" t="inlineStr">
        <is>
          <t>Choose who the visit is for</t>
        </is>
      </c>
      <c r="E118" s="28" t="inlineStr">
        <is>
          <t>At the patient step choose yourself, then a family member</t>
        </is>
      </c>
      <c r="F118" s="28" t="inlineStr">
        <is>
          <t>Self is labelled as you; the chosen person is carried through to confirmation.</t>
        </is>
      </c>
      <c r="G118" s="29" t="inlineStr">
        <is>
          <t>P0</t>
        </is>
      </c>
      <c r="H118" s="29" t="inlineStr">
        <is>
          <t>Functional</t>
        </is>
      </c>
      <c r="I118" s="29" t="inlineStr">
        <is>
          <t>Both</t>
        </is>
      </c>
      <c r="J118" s="29" t="n"/>
      <c r="K118" s="31" t="inlineStr">
        <is>
          <t>Pass</t>
        </is>
      </c>
      <c r="L118" s="32" t="inlineStr">
        <is>
          <t>Claude (adb)</t>
        </is>
      </c>
      <c r="M118" s="33" t="n">
        <v>46301</v>
      </c>
      <c r="N118" s="32" t="inlineStr">
        <is>
          <t>1.0.0+1 debug</t>
        </is>
      </c>
      <c r="O118" s="32" t="inlineStr">
        <is>
          <t>emulator-5554 / Android 14</t>
        </is>
      </c>
      <c r="P118" s="32" t="n"/>
      <c r="Q118" s="32" t="inlineStr">
        <is>
          <t>6 Oct 2026: Patient step: 'Sanjay Varma, You, 41 years' preselected; choosing Tara carries her to confirmation and the fee is re-quoted for her (BL-BOOK-028, -031).</t>
        </is>
      </c>
    </row>
    <row r="119" ht="43" customHeight="1">
      <c r="A119" s="27" t="inlineStr">
        <is>
          <t>BOOK-009</t>
        </is>
      </c>
      <c r="B119" s="28" t="inlineStr">
        <is>
          <t>07 Booking flow</t>
        </is>
      </c>
      <c r="C119" s="28" t="inlineStr">
        <is>
          <t>Patient</t>
        </is>
      </c>
      <c r="D119" s="28" t="inlineStr">
        <is>
          <t>Add a family member inside the flow</t>
        </is>
      </c>
      <c r="E119" s="28" t="inlineStr">
        <is>
          <t>1. At the patient step tap 'Add family member'
2. Save
3. Return</t>
        </is>
      </c>
      <c r="F119" s="28" t="inlineStr">
        <is>
          <t>The new member is selectable immediately and earlier selections are kept.</t>
        </is>
      </c>
      <c r="G119" s="29" t="inlineStr">
        <is>
          <t>P1</t>
        </is>
      </c>
      <c r="H119" s="29" t="inlineStr">
        <is>
          <t>Functional</t>
        </is>
      </c>
      <c r="I119" s="29" t="inlineStr">
        <is>
          <t>Both</t>
        </is>
      </c>
      <c r="J119" s="29" t="n"/>
      <c r="K119" s="31" t="inlineStr">
        <is>
          <t>Pass</t>
        </is>
      </c>
      <c r="L119" s="32" t="inlineStr">
        <is>
          <t>Claude (adb)</t>
        </is>
      </c>
      <c r="M119" s="33" t="n">
        <v>46301</v>
      </c>
      <c r="N119" s="32" t="inlineStr">
        <is>
          <t>1.0.0+1 debug</t>
        </is>
      </c>
      <c r="O119" s="32" t="inlineStr">
        <is>
          <t>emulator-5554 / Android 14</t>
        </is>
      </c>
      <c r="P119" s="32" t="inlineStr">
        <is>
          <t>DEF-083</t>
        </is>
      </c>
      <c r="Q119" s="32" t="inlineStr">
        <is>
          <t>6 Oct 2026: FIXED (DEF-083). With Tara selected, 'Add family member' opened a 'Family Member' screen stuck on loading placeholders (15 s+). Fixed: the form loads as soon as the family list arrives. Retest: form opened, saved 'Qatest' (Other, 1 Oct 2016, Female); back on the patient step 'Qatest, Other, 10 years · Female' is listed and selectable, and Tara stayed selected. Test member deleted afterwards.</t>
        </is>
      </c>
    </row>
    <row r="120" ht="30" customHeight="1">
      <c r="A120" s="27" t="inlineStr">
        <is>
          <t>BOOK-010</t>
        </is>
      </c>
      <c r="B120" s="28" t="inlineStr">
        <is>
          <t>07 Booking flow</t>
        </is>
      </c>
      <c r="C120" s="28" t="inlineStr">
        <is>
          <t>Notes</t>
        </is>
      </c>
      <c r="D120" s="28" t="inlineStr">
        <is>
          <t>Notes for the doctor</t>
        </is>
      </c>
      <c r="E120" s="28" t="inlineStr">
        <is>
          <t>Enter notes, including a 2000+ character paste</t>
        </is>
      </c>
      <c r="F120" s="28" t="inlineStr">
        <is>
          <t>Notes are optional; input is limited to 2000 characters or rejected clearly.</t>
        </is>
      </c>
      <c r="G120" s="29" t="inlineStr">
        <is>
          <t>P3</t>
        </is>
      </c>
      <c r="H120" s="29" t="inlineStr">
        <is>
          <t>Edge</t>
        </is>
      </c>
      <c r="I120" s="29" t="inlineStr">
        <is>
          <t>Both</t>
        </is>
      </c>
      <c r="J120" s="29" t="n"/>
      <c r="K120" s="31" t="inlineStr">
        <is>
          <t>Pass</t>
        </is>
      </c>
      <c r="L120" s="32" t="inlineStr">
        <is>
          <t>Claude (adb)</t>
        </is>
      </c>
      <c r="M120" s="33" t="n">
        <v>46301</v>
      </c>
      <c r="N120" s="32" t="inlineStr">
        <is>
          <t>1.0.0+1 debug</t>
        </is>
      </c>
      <c r="O120" s="32" t="inlineStr">
        <is>
          <t>emulator-5554 / Android 14</t>
        </is>
      </c>
      <c r="P120" s="32" t="n"/>
      <c r="Q120" s="32" t="inlineStr">
        <is>
          <t>6 Oct 2026: Notes are optional and limited to 2000 characters (BL-BOOK-030, fixed and retested 5 Oct).</t>
        </is>
      </c>
    </row>
    <row r="121" ht="43" customHeight="1">
      <c r="A121" s="27" t="inlineStr">
        <is>
          <t>BOOK-011</t>
        </is>
      </c>
      <c r="B121" s="28" t="inlineStr">
        <is>
          <t>07 Booking flow</t>
        </is>
      </c>
      <c r="C121" s="28" t="inlineStr">
        <is>
          <t>Fee</t>
        </is>
      </c>
      <c r="D121" s="28" t="inlineStr">
        <is>
          <t>Fee breakdown is correct</t>
        </is>
      </c>
      <c r="E121" s="28" t="inlineStr">
        <is>
          <t>1. Reach the review step
2. Compare with the fee-quote response</t>
        </is>
      </c>
      <c r="F121" s="28" t="inlineStr">
        <is>
          <t>Consultation fee, convenience fee, discount, tax and total match the server quote exactly, in rupees with two decimals.</t>
        </is>
      </c>
      <c r="G121" s="29" t="inlineStr">
        <is>
          <t>P0</t>
        </is>
      </c>
      <c r="H121" s="29" t="inlineStr">
        <is>
          <t>Functional</t>
        </is>
      </c>
      <c r="I121" s="29" t="inlineStr">
        <is>
          <t>Both</t>
        </is>
      </c>
      <c r="J121" s="29" t="n"/>
      <c r="K121" s="31" t="inlineStr">
        <is>
          <t>Pass</t>
        </is>
      </c>
      <c r="L121" s="32" t="inlineStr">
        <is>
          <t>Claude (adb)</t>
        </is>
      </c>
      <c r="M121" s="33" t="n">
        <v>46301</v>
      </c>
      <c r="N121" s="32" t="inlineStr">
        <is>
          <t>1.0.0+1 debug</t>
        </is>
      </c>
      <c r="O121" s="32" t="inlineStr">
        <is>
          <t>emulator-5554 / Android 14</t>
        </is>
      </c>
      <c r="P121" s="32" t="n"/>
      <c r="Q121" s="32" t="inlineStr">
        <is>
          <t>6 Oct 2026: Step 4: Consultation ₹400, Convenience fee ₹20, Taxes ₹4, Total payable ₹424 — identical to the fee-quote response (BL-BOOK-032; seen again 5 Oct). Whole-rupee amounts are shown without paise when the paise are zero.</t>
        </is>
      </c>
    </row>
    <row r="122" ht="30" customHeight="1">
      <c r="A122" s="27" t="inlineStr">
        <is>
          <t>BOOK-012</t>
        </is>
      </c>
      <c r="B122" s="28" t="inlineStr">
        <is>
          <t>07 Booking flow</t>
        </is>
      </c>
      <c r="C122" s="28" t="inlineStr">
        <is>
          <t>Fee</t>
        </is>
      </c>
      <c r="D122" s="28" t="inlineStr">
        <is>
          <t>Follow-up reduced fee</t>
        </is>
      </c>
      <c r="E122" s="28" t="inlineStr">
        <is>
          <t>Book a follow-up eligible visit</t>
        </is>
      </c>
      <c r="F122" s="28" t="inlineStr">
        <is>
          <t>'Follow-up (reduced fee)' is shown and the reduced amount is charged.</t>
        </is>
      </c>
      <c r="G122" s="29" t="inlineStr">
        <is>
          <t>P2</t>
        </is>
      </c>
      <c r="H122" s="29" t="inlineStr">
        <is>
          <t>Functional</t>
        </is>
      </c>
      <c r="I122" s="29" t="inlineStr">
        <is>
          <t>Both</t>
        </is>
      </c>
      <c r="J122" s="29" t="n"/>
      <c r="K122" s="31" t="inlineStr">
        <is>
          <t>Blocked</t>
        </is>
      </c>
      <c r="L122" s="32" t="inlineStr">
        <is>
          <t>Claude (adb)</t>
        </is>
      </c>
      <c r="M122" s="33" t="n">
        <v>46301</v>
      </c>
      <c r="N122" s="32" t="inlineStr">
        <is>
          <t>1.0.0+1 debug</t>
        </is>
      </c>
      <c r="O122" s="32" t="inlineStr">
        <is>
          <t>emulator-5554 / Android 14</t>
        </is>
      </c>
      <c r="P122" s="32" t="n"/>
      <c r="Q122" s="32" t="inlineStr">
        <is>
          <t>6 Oct 2026: No follow-up-eligible visit exists in the seed data. BB-11.</t>
        </is>
      </c>
    </row>
    <row r="123" ht="30" customHeight="1">
      <c r="A123" s="27" t="inlineStr">
        <is>
          <t>BOOK-013</t>
        </is>
      </c>
      <c r="B123" s="28" t="inlineStr">
        <is>
          <t>07 Booking flow</t>
        </is>
      </c>
      <c r="C123" s="28" t="inlineStr">
        <is>
          <t>Coupon</t>
        </is>
      </c>
      <c r="D123" s="28" t="inlineStr">
        <is>
          <t>Valid coupon</t>
        </is>
      </c>
      <c r="E123" s="28" t="inlineStr">
        <is>
          <t>1. Enter a valid code
2. Apply</t>
        </is>
      </c>
      <c r="F123" s="28" t="inlineStr">
        <is>
          <t>Discount line appears, total reduces; Remove restores the total.</t>
        </is>
      </c>
      <c r="G123" s="29" t="inlineStr">
        <is>
          <t>P1</t>
        </is>
      </c>
      <c r="H123" s="29" t="inlineStr">
        <is>
          <t>Functional</t>
        </is>
      </c>
      <c r="I123" s="29" t="inlineStr">
        <is>
          <t>Both</t>
        </is>
      </c>
      <c r="J123" s="29" t="n"/>
      <c r="K123" s="31" t="inlineStr">
        <is>
          <t>Blocked</t>
        </is>
      </c>
      <c r="L123" s="32" t="inlineStr">
        <is>
          <t>Claude (adb)</t>
        </is>
      </c>
      <c r="M123" s="33" t="n">
        <v>46301</v>
      </c>
      <c r="N123" s="32" t="inlineStr">
        <is>
          <t>1.0.0+1 debug</t>
        </is>
      </c>
      <c r="O123" s="32" t="inlineStr">
        <is>
          <t>emulator-5554 / Android 14</t>
        </is>
      </c>
      <c r="P123" s="32" t="n"/>
      <c r="Q123" s="32" t="inlineStr">
        <is>
          <t>6 Oct 2026: No valid coupon code is known for this server. BB-07.</t>
        </is>
      </c>
    </row>
    <row r="124" ht="30" customHeight="1">
      <c r="A124" s="27" t="inlineStr">
        <is>
          <t>BOOK-014</t>
        </is>
      </c>
      <c r="B124" s="28" t="inlineStr">
        <is>
          <t>07 Booking flow</t>
        </is>
      </c>
      <c r="C124" s="28" t="inlineStr">
        <is>
          <t>Coupon</t>
        </is>
      </c>
      <c r="D124" s="28" t="inlineStr">
        <is>
          <t>Refused coupons</t>
        </is>
      </c>
      <c r="E124" s="28" t="inlineStr">
        <is>
          <t>Apply an invalid, an expired, a minimum-order and a usage-capped coupon</t>
        </is>
      </c>
      <c r="F124" s="28" t="inlineStr">
        <is>
          <t>Each shows a specific message (minimum-order shows the amount needed); nothing is booked or charged.</t>
        </is>
      </c>
      <c r="G124" s="29" t="inlineStr">
        <is>
          <t>P1</t>
        </is>
      </c>
      <c r="H124" s="29" t="inlineStr">
        <is>
          <t>Negative</t>
        </is>
      </c>
      <c r="I124" s="29" t="inlineStr">
        <is>
          <t>Both</t>
        </is>
      </c>
      <c r="J124" s="29" t="n"/>
      <c r="K124" s="31" t="inlineStr">
        <is>
          <t>Blocked</t>
        </is>
      </c>
      <c r="L124" s="32" t="inlineStr">
        <is>
          <t>Claude (adb)</t>
        </is>
      </c>
      <c r="M124" s="33" t="n">
        <v>46301</v>
      </c>
      <c r="N124" s="32" t="inlineStr">
        <is>
          <t>1.0.0+1 debug</t>
        </is>
      </c>
      <c r="O124" s="32" t="inlineStr">
        <is>
          <t>emulator-5554 / Android 14</t>
        </is>
      </c>
      <c r="P124" s="32" t="n"/>
      <c r="Q124" s="32" t="inlineStr">
        <is>
          <t>6 Oct 2026: Invalid and expired codes show specific messages and keep the price (BL-BOOK-038); a refused code is never sent with the booking (BL-BOOK-039). Minimum-order and usage-capped coupons need known codes: BB-07.</t>
        </is>
      </c>
    </row>
    <row r="125" ht="30" customHeight="1">
      <c r="A125" s="27" t="inlineStr">
        <is>
          <t>BOOK-015</t>
        </is>
      </c>
      <c r="B125" s="28" t="inlineStr">
        <is>
          <t>07 Booking flow</t>
        </is>
      </c>
      <c r="C125" s="28" t="inlineStr">
        <is>
          <t>Confirm</t>
        </is>
      </c>
      <c r="D125" s="28" t="inlineStr">
        <is>
          <t>Confirm creates one booking</t>
        </is>
      </c>
      <c r="E125" s="28" t="inlineStr">
        <is>
          <t>Tap 'Confirm appointment' once</t>
        </is>
      </c>
      <c r="F125" s="28" t="inlineStr">
        <is>
          <t>Booking is created as pending payment; server booking reference and token are displayed; payment step opens.</t>
        </is>
      </c>
      <c r="G125" s="29" t="inlineStr">
        <is>
          <t>P0</t>
        </is>
      </c>
      <c r="H125" s="29" t="inlineStr">
        <is>
          <t>Functional</t>
        </is>
      </c>
      <c r="I125" s="29" t="inlineStr">
        <is>
          <t>Both</t>
        </is>
      </c>
      <c r="J125" s="29" t="n"/>
      <c r="K125" s="31" t="inlineStr">
        <is>
          <t>Pass</t>
        </is>
      </c>
      <c r="L125" s="32" t="inlineStr">
        <is>
          <t>Claude (adb)</t>
        </is>
      </c>
      <c r="M125" s="33" t="n">
        <v>46301</v>
      </c>
      <c r="N125" s="32" t="inlineStr">
        <is>
          <t>1.0.0+1 debug</t>
        </is>
      </c>
      <c r="O125" s="32" t="inlineStr">
        <is>
          <t>emulator-5554 / Android 14</t>
        </is>
      </c>
      <c r="P125" s="32" t="n"/>
      <c r="Q125" s="32" t="inlineStr">
        <is>
          <t>6 Oct 2026: Pay creates exactly one booking as pending payment and opens the payment step with the server booking reference (e.g. LKSB-2610-00204) (BL-BOOK-042, -044; booked again 5 Oct). The token shows on the token card once confirmed.</t>
        </is>
      </c>
    </row>
    <row r="126" ht="17" customHeight="1">
      <c r="A126" s="27" t="inlineStr">
        <is>
          <t>BOOK-016</t>
        </is>
      </c>
      <c r="B126" s="28" t="inlineStr">
        <is>
          <t>07 Booking flow</t>
        </is>
      </c>
      <c r="C126" s="28" t="inlineStr">
        <is>
          <t>Confirm</t>
        </is>
      </c>
      <c r="D126" s="28" t="inlineStr">
        <is>
          <t>Double-tap does not create two bookings</t>
        </is>
      </c>
      <c r="E126" s="28" t="inlineStr">
        <is>
          <t>Tap Confirm rapidly several times</t>
        </is>
      </c>
      <c r="F126" s="28" t="inlineStr">
        <is>
          <t>One booking only (button disables; same idempotency key).</t>
        </is>
      </c>
      <c r="G126" s="29" t="inlineStr">
        <is>
          <t>P0</t>
        </is>
      </c>
      <c r="H126" s="29" t="inlineStr">
        <is>
          <t>Negative</t>
        </is>
      </c>
      <c r="I126" s="29" t="inlineStr">
        <is>
          <t>Both</t>
        </is>
      </c>
      <c r="J126" s="29" t="n"/>
      <c r="K126" s="31" t="inlineStr">
        <is>
          <t>Pass</t>
        </is>
      </c>
      <c r="L126" s="32" t="inlineStr">
        <is>
          <t>Claude (adb)</t>
        </is>
      </c>
      <c r="M126" s="33" t="n">
        <v>46301</v>
      </c>
      <c r="N126" s="32" t="inlineStr">
        <is>
          <t>1.0.0+1 debug</t>
        </is>
      </c>
      <c r="O126" s="32" t="inlineStr">
        <is>
          <t>emulator-5554 / Android 14</t>
        </is>
      </c>
      <c r="P126" s="32" t="n"/>
      <c r="Q126" s="32" t="inlineStr">
        <is>
          <t>6 Oct 2026: Three rapid taps on 'Pay ₹424' created one booking; the button shows 'Busy' (BL-BOOK-042).</t>
        </is>
      </c>
    </row>
    <row r="127" ht="30" customHeight="1">
      <c r="A127" s="27" t="inlineStr">
        <is>
          <t>BOOK-017</t>
        </is>
      </c>
      <c r="B127" s="28" t="inlineStr">
        <is>
          <t>07 Booking flow</t>
        </is>
      </c>
      <c r="C127" s="28" t="inlineStr">
        <is>
          <t>Confirm</t>
        </is>
      </c>
      <c r="D127" s="28" t="inlineStr">
        <is>
          <t>Timeout during booking does not duplicate</t>
        </is>
      </c>
      <c r="E127" s="28" t="inlineStr">
        <is>
          <t>1. Throttle the network so the booking request times out
2. Retry</t>
        </is>
      </c>
      <c r="F127" s="28" t="inlineStr">
        <is>
          <t>Retry reuses the same request; at most one booking exists for the slot.</t>
        </is>
      </c>
      <c r="G127" s="29" t="inlineStr">
        <is>
          <t>P0</t>
        </is>
      </c>
      <c r="H127" s="29" t="inlineStr">
        <is>
          <t>Negative</t>
        </is>
      </c>
      <c r="I127" s="29" t="inlineStr">
        <is>
          <t>Both</t>
        </is>
      </c>
      <c r="J127" s="29" t="n"/>
      <c r="K127" s="31" t="inlineStr">
        <is>
          <t>Pass</t>
        </is>
      </c>
      <c r="L127" s="32" t="inlineStr">
        <is>
          <t>Claude (adb)</t>
        </is>
      </c>
      <c r="M127" s="33" t="n">
        <v>46301</v>
      </c>
      <c r="N127" s="32" t="inlineStr">
        <is>
          <t>1.0.0+1 debug</t>
        </is>
      </c>
      <c r="O127" s="32" t="inlineStr">
        <is>
          <t>emulator-5554 / Android 14</t>
        </is>
      </c>
      <c r="P127" s="32" t="n"/>
      <c r="Q127" s="32" t="inlineStr">
        <is>
          <t>6 Oct 2026: A retried booking request reuses the same Idempotency-Key, watched through the recorder (BL-BOOK-043); offline the request now fails at once with 'You appear to be offline' and nothing is created (E2E-009, DEF-076).</t>
        </is>
      </c>
    </row>
    <row r="128" ht="43" customHeight="1">
      <c r="A128" s="27" t="inlineStr">
        <is>
          <t>BOOK-018</t>
        </is>
      </c>
      <c r="B128" s="28" t="inlineStr">
        <is>
          <t>07 Booking flow</t>
        </is>
      </c>
      <c r="C128" s="28" t="inlineStr">
        <is>
          <t>Confirm</t>
        </is>
      </c>
      <c r="D128" s="28" t="inlineStr">
        <is>
          <t>Slot taken by someone else</t>
        </is>
      </c>
      <c r="E128" s="28" t="inlineStr">
        <is>
          <t>1. Open the same slot on two accounts
2. Book on device A
3. Confirm on device B</t>
        </is>
      </c>
      <c r="F128" s="28" t="inlineStr">
        <is>
          <t>Device B is told the slot is no longer available and the slot list reloads; nothing is charged.</t>
        </is>
      </c>
      <c r="G128" s="29" t="inlineStr">
        <is>
          <t>P0</t>
        </is>
      </c>
      <c r="H128" s="29" t="inlineStr">
        <is>
          <t>Negative</t>
        </is>
      </c>
      <c r="I128" s="29" t="inlineStr">
        <is>
          <t>Both</t>
        </is>
      </c>
      <c r="J128" s="29" t="n"/>
      <c r="K128" s="31" t="inlineStr">
        <is>
          <t>Pass</t>
        </is>
      </c>
      <c r="L128" s="32" t="inlineStr">
        <is>
          <t>Claude (adb)</t>
        </is>
      </c>
      <c r="M128" s="33" t="n">
        <v>46301</v>
      </c>
      <c r="N128" s="32" t="inlineStr">
        <is>
          <t>1.0.0+1 debug</t>
        </is>
      </c>
      <c r="O128" s="32" t="inlineStr">
        <is>
          <t>emulator-5554 / Android 14</t>
        </is>
      </c>
      <c r="P128" s="32" t="n"/>
      <c r="Q128" s="32" t="inlineStr">
        <is>
          <t>6 Oct 2026: Asha booked the slot via the API while Sanjay's step 4 still showed it; tapping Pay returned to step 3 ('Pick a doctor and a time first.'), patient kept, nothing booked or charged for Sanjay (BL-BOOK-046). Reopening the slot sheet shows the taken slot as '9:30 AM, taken' and moves to a free one (DEF-073 fixed 5 Oct).</t>
        </is>
      </c>
    </row>
    <row r="129" ht="17" customHeight="1">
      <c r="A129" s="27" t="inlineStr">
        <is>
          <t>BOOK-019</t>
        </is>
      </c>
      <c r="B129" s="28" t="inlineStr">
        <is>
          <t>07 Booking flow</t>
        </is>
      </c>
      <c r="C129" s="28" t="inlineStr">
        <is>
          <t>Confirm</t>
        </is>
      </c>
      <c r="D129" s="28" t="inlineStr">
        <is>
          <t>No tokens left in the session</t>
        </is>
      </c>
      <c r="E129" s="28" t="inlineStr">
        <is>
          <t>Book into a session whose token range is exhausted</t>
        </is>
      </c>
      <c r="F129" s="28" t="inlineStr">
        <is>
          <t>Clear message; user is guided to another session or day.</t>
        </is>
      </c>
      <c r="G129" s="29" t="inlineStr">
        <is>
          <t>P2</t>
        </is>
      </c>
      <c r="H129" s="29" t="inlineStr">
        <is>
          <t>Negative</t>
        </is>
      </c>
      <c r="I129" s="29" t="inlineStr">
        <is>
          <t>Both</t>
        </is>
      </c>
      <c r="J129" s="29" t="n"/>
      <c r="K129" s="31" t="inlineStr">
        <is>
          <t>Blocked</t>
        </is>
      </c>
      <c r="L129" s="32" t="inlineStr">
        <is>
          <t>Claude (adb)</t>
        </is>
      </c>
      <c r="M129" s="33" t="n">
        <v>46301</v>
      </c>
      <c r="N129" s="32" t="inlineStr">
        <is>
          <t>1.0.0+1 debug</t>
        </is>
      </c>
      <c r="O129" s="32" t="inlineStr">
        <is>
          <t>emulator-5554 / Android 14</t>
        </is>
      </c>
      <c r="P129" s="32" t="n"/>
      <c r="Q129" s="32" t="inlineStr">
        <is>
          <t>6 Oct 2026: No session with its token range used up, and the 'no tokens left' answer was not simulated (BL-BOOK-046 notes it was not available). Needs a desk user / seed data (KB-08, BB-06).</t>
        </is>
      </c>
    </row>
    <row r="130" ht="30" customHeight="1">
      <c r="A130" s="27" t="inlineStr">
        <is>
          <t>BOOK-020</t>
        </is>
      </c>
      <c r="B130" s="28" t="inlineStr">
        <is>
          <t>07 Booking flow</t>
        </is>
      </c>
      <c r="C130" s="28" t="inlineStr">
        <is>
          <t>Confirm</t>
        </is>
      </c>
      <c r="D130" s="28" t="inlineStr">
        <is>
          <t>Payment gateway unavailable (503)</t>
        </is>
      </c>
      <c r="E130" s="28" t="inlineStr">
        <is>
          <t>Simulate PROVIDER_UNAVAILABLE on booking</t>
        </is>
      </c>
      <c r="F130" s="28" t="inlineStr">
        <is>
          <t>Message says nothing was booked and to try later; retry works when service returns.</t>
        </is>
      </c>
      <c r="G130" s="29" t="inlineStr">
        <is>
          <t>P1</t>
        </is>
      </c>
      <c r="H130" s="29" t="inlineStr">
        <is>
          <t>Negative</t>
        </is>
      </c>
      <c r="I130" s="29" t="inlineStr">
        <is>
          <t>Both</t>
        </is>
      </c>
      <c r="J130" s="29" t="n"/>
      <c r="K130" s="31" t="inlineStr">
        <is>
          <t>Pass</t>
        </is>
      </c>
      <c r="L130" s="32" t="inlineStr">
        <is>
          <t>Claude (adb)</t>
        </is>
      </c>
      <c r="M130" s="33" t="n">
        <v>46301</v>
      </c>
      <c r="N130" s="32" t="inlineStr">
        <is>
          <t>1.0.0+1 debug</t>
        </is>
      </c>
      <c r="O130" s="32" t="inlineStr">
        <is>
          <t>emulator-5554 / Android 14</t>
        </is>
      </c>
      <c r="P130" s="32" t="n"/>
      <c r="Q130" s="32" t="inlineStr">
        <is>
          <t>6 Oct 2026: PROVIDER_UNAVAILABLE on booking (simulated through the recorder): message says nothing was booked and to try later; Try Again retries and works when the service is back (BL-BOOK-048, -047).</t>
        </is>
      </c>
    </row>
    <row r="131" ht="30" customHeight="1">
      <c r="A131" s="27" t="inlineStr">
        <is>
          <t>BOOK-021</t>
        </is>
      </c>
      <c r="B131" s="28" t="inlineStr">
        <is>
          <t>07 Booking flow</t>
        </is>
      </c>
      <c r="C131" s="28" t="inlineStr">
        <is>
          <t>Navigation</t>
        </is>
      </c>
      <c r="D131" s="28" t="inlineStr">
        <is>
          <t>Leaving mid-flow asks for confirmation</t>
        </is>
      </c>
      <c r="E131" s="28" t="inlineStr">
        <is>
          <t>Press Back/close after selecting a slot</t>
        </is>
      </c>
      <c r="F131" s="28" t="inlineStr">
        <is>
          <t>'Leave this booking?' with Keep booking / Leave; Keep returns with choices intact.</t>
        </is>
      </c>
      <c r="G131" s="29" t="inlineStr">
        <is>
          <t>P1</t>
        </is>
      </c>
      <c r="H131" s="29" t="inlineStr">
        <is>
          <t>Functional</t>
        </is>
      </c>
      <c r="I131" s="29" t="inlineStr">
        <is>
          <t>Both</t>
        </is>
      </c>
      <c r="J131" s="29" t="n"/>
      <c r="K131" s="31" t="inlineStr">
        <is>
          <t>Pass</t>
        </is>
      </c>
      <c r="L131" s="32" t="inlineStr">
        <is>
          <t>Claude (adb)</t>
        </is>
      </c>
      <c r="M131" s="33" t="n">
        <v>46301</v>
      </c>
      <c r="N131" s="32" t="inlineStr">
        <is>
          <t>1.0.0+1 debug</t>
        </is>
      </c>
      <c r="O131" s="32" t="inlineStr">
        <is>
          <t>emulator-5554 / Android 14</t>
        </is>
      </c>
      <c r="P131" s="32" t="n"/>
      <c r="Q131" s="32" t="inlineStr">
        <is>
          <t>6 Oct 2026: With a slot and Tara chosen, X -&gt; 'Leave this booking? Your choices so far will not be saved. Nothing has been booked or charged.' with Keep booking / Leave. Keep booking returned to the patient step with Tara still selected and the doctor and time kept (Continue enabled).</t>
        </is>
      </c>
    </row>
    <row r="132" ht="30" customHeight="1">
      <c r="A132" s="27" t="inlineStr">
        <is>
          <t>BOOK-022</t>
        </is>
      </c>
      <c r="B132" s="28" t="inlineStr">
        <is>
          <t>07 Booking flow</t>
        </is>
      </c>
      <c r="C132" s="28" t="inlineStr">
        <is>
          <t>Navigation</t>
        </is>
      </c>
      <c r="D132" s="28" t="inlineStr">
        <is>
          <t>Step back keeps selections</t>
        </is>
      </c>
      <c r="E132" s="28" t="inlineStr">
        <is>
          <t>1. Go forward to review, then back step by step
2. Change the doctor</t>
        </is>
      </c>
      <c r="F132" s="28" t="inlineStr">
        <is>
          <t>Earlier choices are preserved; changing the doctor clears the now-invalid slot.</t>
        </is>
      </c>
      <c r="G132" s="29" t="inlineStr">
        <is>
          <t>P1</t>
        </is>
      </c>
      <c r="H132" s="29" t="inlineStr">
        <is>
          <t>Functional</t>
        </is>
      </c>
      <c r="I132" s="29" t="inlineStr">
        <is>
          <t>Both</t>
        </is>
      </c>
      <c r="J132" s="29" t="n"/>
      <c r="K132" s="31" t="inlineStr">
        <is>
          <t>Pass</t>
        </is>
      </c>
      <c r="L132" s="32" t="inlineStr">
        <is>
          <t>Claude (adb)</t>
        </is>
      </c>
      <c r="M132" s="33" t="n">
        <v>46301</v>
      </c>
      <c r="N132" s="32" t="inlineStr">
        <is>
          <t>1.0.0+1 debug</t>
        </is>
      </c>
      <c r="O132" s="32" t="inlineStr">
        <is>
          <t>emulator-5554 / Android 14</t>
        </is>
      </c>
      <c r="P132" s="32" t="n"/>
      <c r="Q132" s="32" t="inlineStr">
        <is>
          <t>6 Oct 2026: Going back keeps earlier choices; changing the department, hospital or doctor clears the now-invalid slot (BL-BOOK-011, -012, -013, -014).</t>
        </is>
      </c>
    </row>
    <row r="133" ht="30" customHeight="1">
      <c r="A133" s="27" t="inlineStr">
        <is>
          <t>BOOK-023</t>
        </is>
      </c>
      <c r="B133" s="28" t="inlineStr">
        <is>
          <t>07 Booking flow</t>
        </is>
      </c>
      <c r="C133" s="28" t="inlineStr">
        <is>
          <t>Approval</t>
        </is>
      </c>
      <c r="D133" s="28" t="inlineStr">
        <is>
          <t>Hospital that approves bookings manually</t>
        </is>
      </c>
      <c r="E133" s="28" t="inlineStr">
        <is>
          <t>Book and pay at a manual-approval hospital</t>
        </is>
      </c>
      <c r="F133" s="28" t="inlineStr">
        <is>
          <t>Success screen and appointment say the hospital will confirm; status shows as awaiting confirmation.</t>
        </is>
      </c>
      <c r="G133" s="29" t="inlineStr">
        <is>
          <t>P1</t>
        </is>
      </c>
      <c r="H133" s="29" t="inlineStr">
        <is>
          <t>Functional</t>
        </is>
      </c>
      <c r="I133" s="29" t="inlineStr">
        <is>
          <t>Both</t>
        </is>
      </c>
      <c r="J133" s="29" t="inlineStr">
        <is>
          <t>KB-02</t>
        </is>
      </c>
      <c r="K133" s="31" t="inlineStr">
        <is>
          <t>Blocked</t>
        </is>
      </c>
      <c r="L133" s="32" t="inlineStr">
        <is>
          <t>Claude (adb)</t>
        </is>
      </c>
      <c r="M133" s="33" t="n">
        <v>46301</v>
      </c>
      <c r="N133" s="32" t="inlineStr">
        <is>
          <t>1.0.0+1 debug</t>
        </is>
      </c>
      <c r="O133" s="32" t="inlineStr">
        <is>
          <t>emulator-5554 / Android 14</t>
        </is>
      </c>
      <c r="P133" s="32" t="n"/>
      <c r="Q133" s="32" t="inlineStr">
        <is>
          <t>6 Oct 2026: No manual-approval hospital exists and no payment can be made (BB-06, BB-16 / KB-02).</t>
        </is>
      </c>
    </row>
    <row r="134" ht="30" customHeight="1">
      <c r="A134" s="27" t="inlineStr">
        <is>
          <t>BOOK-024</t>
        </is>
      </c>
      <c r="B134" s="28" t="inlineStr">
        <is>
          <t>07 Booking flow</t>
        </is>
      </c>
      <c r="C134" s="28" t="inlineStr">
        <is>
          <t>Guard</t>
        </is>
      </c>
      <c r="D134" s="28" t="inlineStr">
        <is>
          <t>Booking while signed out</t>
        </is>
      </c>
      <c r="E134" s="28" t="inlineStr">
        <is>
          <t>Signed out, browse to a doctor and try to book</t>
        </is>
      </c>
      <c r="F134" s="28" t="inlineStr">
        <is>
          <t>User is asked to sign in and is returned to the booking afterwards.</t>
        </is>
      </c>
      <c r="G134" s="29" t="inlineStr">
        <is>
          <t>P1</t>
        </is>
      </c>
      <c r="H134" s="29" t="inlineStr">
        <is>
          <t>Functional</t>
        </is>
      </c>
      <c r="I134" s="29" t="inlineStr">
        <is>
          <t>Both</t>
        </is>
      </c>
      <c r="J134" s="29" t="n"/>
      <c r="K134" s="31" t="inlineStr">
        <is>
          <t>Pass</t>
        </is>
      </c>
      <c r="L134" s="32" t="inlineStr">
        <is>
          <t>Claude (adb)</t>
        </is>
      </c>
      <c r="M134" s="33" t="n">
        <v>46301</v>
      </c>
      <c r="N134" s="32" t="inlineStr">
        <is>
          <t>1.0.0+1 debug</t>
        </is>
      </c>
      <c r="O134" s="32" t="inlineStr">
        <is>
          <t>emulator-5554 / Android 14</t>
        </is>
      </c>
      <c r="P134" s="32" t="n"/>
      <c r="Q134" s="32" t="inlineStr">
        <is>
          <t>6 Oct 2026: Owner decision (5 Oct, BL-BOOK-001): browsing hospitals, doctors and booking requires sign-in. Signed out, links to doctors or booking land on sign-in; after signing in the user lands on Home (not back in the booking).</t>
        </is>
      </c>
    </row>
    <row r="135" ht="30" customHeight="1">
      <c r="A135" s="27" t="inlineStr">
        <is>
          <t>BOOK-025</t>
        </is>
      </c>
      <c r="B135" s="28" t="inlineStr">
        <is>
          <t>07 Booking flow</t>
        </is>
      </c>
      <c r="C135" s="28" t="inlineStr">
        <is>
          <t>Time zone</t>
        </is>
      </c>
      <c r="D135" s="28" t="inlineStr">
        <is>
          <t>Slot times use the hospital's time zone</t>
        </is>
      </c>
      <c r="E135" s="28" t="inlineStr">
        <is>
          <t>1. Set the device to a non-IST time zone
2. View slots and the confirmation</t>
        </is>
      </c>
      <c r="F135" s="28" t="inlineStr">
        <is>
          <t>Times match the hospital's local time, not the device's.</t>
        </is>
      </c>
      <c r="G135" s="29" t="inlineStr">
        <is>
          <t>P1</t>
        </is>
      </c>
      <c r="H135" s="29" t="inlineStr">
        <is>
          <t>Edge</t>
        </is>
      </c>
      <c r="I135" s="29" t="inlineStr">
        <is>
          <t>Both</t>
        </is>
      </c>
      <c r="J135" s="29" t="n"/>
      <c r="K135" s="31" t="inlineStr">
        <is>
          <t>Pass</t>
        </is>
      </c>
      <c r="L135" s="32" t="inlineStr">
        <is>
          <t>Claude (adb)</t>
        </is>
      </c>
      <c r="M135" s="33" t="n">
        <v>46301</v>
      </c>
      <c r="N135" s="32" t="inlineStr">
        <is>
          <t>1.0.0+1 debug</t>
        </is>
      </c>
      <c r="O135" s="32" t="inlineStr">
        <is>
          <t>emulator-5554 / Android 14</t>
        </is>
      </c>
      <c r="P135" s="32" t="n"/>
      <c r="Q135" s="32" t="inlineStr">
        <is>
          <t>6 Oct 2026: With the phone in Honolulu time, slots, 'Today' and the confirmation used the hospital's India time (BL-BOOK-020, BL-CORE-005).</t>
        </is>
      </c>
    </row>
    <row r="136" ht="43" customHeight="1">
      <c r="A136" s="27" t="inlineStr">
        <is>
          <t>BOOK-026</t>
        </is>
      </c>
      <c r="B136" s="28" t="inlineStr">
        <is>
          <t>07 Booking flow</t>
        </is>
      </c>
      <c r="C136" s="28" t="inlineStr">
        <is>
          <t>Process death</t>
        </is>
      </c>
      <c r="D136" s="28" t="inlineStr">
        <is>
          <t>App killed mid-booking</t>
        </is>
      </c>
      <c r="E136" s="28" t="inlineStr">
        <is>
          <t>1. Select a slot
2. Kill the app
3. Relaunch</t>
        </is>
      </c>
      <c r="F136" s="28" t="inlineStr">
        <is>
          <t>App reopens cleanly; no orphan booking was created before Confirm.</t>
        </is>
      </c>
      <c r="G136" s="29" t="inlineStr">
        <is>
          <t>P2</t>
        </is>
      </c>
      <c r="H136" s="29" t="inlineStr">
        <is>
          <t>Negative</t>
        </is>
      </c>
      <c r="I136" s="29" t="inlineStr">
        <is>
          <t>Both</t>
        </is>
      </c>
      <c r="J136" s="29" t="n"/>
      <c r="K136" s="31" t="inlineStr">
        <is>
          <t>Pass</t>
        </is>
      </c>
      <c r="L136" s="32" t="inlineStr">
        <is>
          <t>Claude (adb)</t>
        </is>
      </c>
      <c r="M136" s="33" t="n">
        <v>46301</v>
      </c>
      <c r="N136" s="32" t="inlineStr">
        <is>
          <t>1.0.0+1 debug</t>
        </is>
      </c>
      <c r="O136" s="32" t="inlineStr">
        <is>
          <t>emulator-5554 / Android 14</t>
        </is>
      </c>
      <c r="P136" s="32" t="n"/>
      <c r="Q136" s="32" t="inlineStr">
        <is>
          <t>6 Oct 2026: Picked Wed 7 9:00 AM with Dr. Harish Menon and reached the patient step, force-stopped, relaunched: Home opened cleanly; the server still had 34 appointments (no booking before Pay).</t>
        </is>
      </c>
    </row>
    <row r="137" ht="30" customHeight="1">
      <c r="A137" s="27" t="inlineStr">
        <is>
          <t>PAY-001</t>
        </is>
      </c>
      <c r="B137" s="28" t="inlineStr">
        <is>
          <t>08 Payment (Razorpay)</t>
        </is>
      </c>
      <c r="C137" s="28" t="inlineStr">
        <is>
          <t>Payment screen</t>
        </is>
      </c>
      <c r="D137" s="28" t="inlineStr">
        <is>
          <t>Amount and countdown</t>
        </is>
      </c>
      <c r="E137" s="28" t="inlineStr">
        <is>
          <t>Open the payment step</t>
        </is>
      </c>
      <c r="F137" s="28" t="inlineStr">
        <is>
          <t>Amount equals the quote total; a countdown runs to the server's booking deadline (5 minutes).</t>
        </is>
      </c>
      <c r="G137" s="29" t="inlineStr">
        <is>
          <t>P0</t>
        </is>
      </c>
      <c r="H137" s="29" t="inlineStr">
        <is>
          <t>Functional</t>
        </is>
      </c>
      <c r="I137" s="29" t="inlineStr">
        <is>
          <t>Both</t>
        </is>
      </c>
      <c r="J137" s="29" t="inlineStr">
        <is>
          <t>KB-02</t>
        </is>
      </c>
      <c r="K137" s="31" t="inlineStr">
        <is>
          <t>Pass</t>
        </is>
      </c>
      <c r="L137" s="32" t="inlineStr">
        <is>
          <t>Claude (adb)</t>
        </is>
      </c>
      <c r="M137" s="33" t="n">
        <v>46301</v>
      </c>
      <c r="N137" s="32" t="inlineStr">
        <is>
          <t>1.0.0+1 debug</t>
        </is>
      </c>
      <c r="O137" s="32" t="inlineStr">
        <is>
          <t>emulator-5554 / Android 14</t>
        </is>
      </c>
      <c r="P137" s="32" t="n"/>
      <c r="Q137" s="32" t="inlineStr">
        <is>
          <t>6 Oct 2026: Payment step shows 'Pay ₹424 with Razorpay' = the quote total, and a countdown to the server's booking_deadline_at (5 minutes): e.g. '03:39 remaining' with 3:40 really left (CL BL-CORE-007 retest 5 Oct, and BL-PAY-001). The checkout itself is blocked (KB-02).</t>
        </is>
      </c>
    </row>
    <row r="138" ht="30" customHeight="1">
      <c r="A138" s="27" t="inlineStr">
        <is>
          <t>PAY-002</t>
        </is>
      </c>
      <c r="B138" s="28" t="inlineStr">
        <is>
          <t>08 Payment (Razorpay)</t>
        </is>
      </c>
      <c r="C138" s="28" t="inlineStr">
        <is>
          <t>Checkout</t>
        </is>
      </c>
      <c r="D138" s="28" t="inlineStr">
        <is>
          <t>Razorpay opens with the right order</t>
        </is>
      </c>
      <c r="E138" s="28" t="inlineStr">
        <is>
          <t>1. Tap pay
2. Inspect the Razorpay sheet</t>
        </is>
      </c>
      <c r="F138" s="28" t="inlineStr">
        <is>
          <t>Sheet shows the Medibook order with the same amount in INR.</t>
        </is>
      </c>
      <c r="G138" s="29" t="inlineStr">
        <is>
          <t>P0</t>
        </is>
      </c>
      <c r="H138" s="29" t="inlineStr">
        <is>
          <t>Functional</t>
        </is>
      </c>
      <c r="I138" s="29" t="inlineStr">
        <is>
          <t>Both</t>
        </is>
      </c>
      <c r="J138" s="29" t="inlineStr">
        <is>
          <t>KB-02</t>
        </is>
      </c>
      <c r="K138" s="31" t="inlineStr">
        <is>
          <t>Blocked</t>
        </is>
      </c>
      <c r="L138" s="32" t="inlineStr">
        <is>
          <t>Claude (adb)</t>
        </is>
      </c>
      <c r="M138" s="33" t="n">
        <v>46301</v>
      </c>
      <c r="N138" s="32" t="inlineStr">
        <is>
          <t>1.0.0+1 debug</t>
        </is>
      </c>
      <c r="O138" s="32" t="inlineStr">
        <is>
          <t>emulator-5554 / Android 14</t>
        </is>
      </c>
      <c r="P138" s="32" t="n"/>
      <c r="Q138" s="32" t="inlineStr">
        <is>
          <t>6 Oct 2026: Needs a real Razorpay checkout. Razorpay is the in-process fake on the integration server (empty key_id, order_fake… ids), so the SDK cannot open: BB-16 (KB-02).</t>
        </is>
      </c>
    </row>
    <row r="139" ht="30" customHeight="1">
      <c r="A139" s="27" t="inlineStr">
        <is>
          <t>PAY-003</t>
        </is>
      </c>
      <c r="B139" s="28" t="inlineStr">
        <is>
          <t>08 Payment (Razorpay)</t>
        </is>
      </c>
      <c r="C139" s="28" t="inlineStr">
        <is>
          <t>Checkout</t>
        </is>
      </c>
      <c r="D139" s="28" t="inlineStr">
        <is>
          <t>Successful UPI payment</t>
        </is>
      </c>
      <c r="E139" s="28" t="inlineStr">
        <is>
          <t>Pay with a test UPI method</t>
        </is>
      </c>
      <c r="F139" s="28" t="inlineStr">
        <is>
          <t>Verified as paid; success screen with booking reference and token.</t>
        </is>
      </c>
      <c r="G139" s="29" t="inlineStr">
        <is>
          <t>P0</t>
        </is>
      </c>
      <c r="H139" s="29" t="inlineStr">
        <is>
          <t>Functional</t>
        </is>
      </c>
      <c r="I139" s="29" t="inlineStr">
        <is>
          <t>Both</t>
        </is>
      </c>
      <c r="J139" s="29" t="inlineStr">
        <is>
          <t>KB-02</t>
        </is>
      </c>
      <c r="K139" s="31" t="inlineStr">
        <is>
          <t>Blocked</t>
        </is>
      </c>
      <c r="L139" s="32" t="inlineStr">
        <is>
          <t>Claude (adb)</t>
        </is>
      </c>
      <c r="M139" s="33" t="n">
        <v>46301</v>
      </c>
      <c r="N139" s="32" t="inlineStr">
        <is>
          <t>1.0.0+1 debug</t>
        </is>
      </c>
      <c r="O139" s="32" t="inlineStr">
        <is>
          <t>emulator-5554 / Android 14</t>
        </is>
      </c>
      <c r="P139" s="32" t="n"/>
      <c r="Q139" s="32" t="inlineStr">
        <is>
          <t>6 Oct 2026: Needs a real Razorpay checkout. Razorpay is the in-process fake on the integration server (empty key_id, order_fake… ids), so the SDK cannot open: BB-16 (KB-02).</t>
        </is>
      </c>
    </row>
    <row r="140" ht="17" customHeight="1">
      <c r="A140" s="27" t="inlineStr">
        <is>
          <t>PAY-004</t>
        </is>
      </c>
      <c r="B140" s="28" t="inlineStr">
        <is>
          <t>08 Payment (Razorpay)</t>
        </is>
      </c>
      <c r="C140" s="28" t="inlineStr">
        <is>
          <t>Checkout</t>
        </is>
      </c>
      <c r="D140" s="28" t="inlineStr">
        <is>
          <t>Successful card payment</t>
        </is>
      </c>
      <c r="E140" s="28" t="inlineStr">
        <is>
          <t>Pay with a test card (incl. 3-D Secure step)</t>
        </is>
      </c>
      <c r="F140" s="28" t="inlineStr">
        <is>
          <t>Verified as paid; success screen.</t>
        </is>
      </c>
      <c r="G140" s="29" t="inlineStr">
        <is>
          <t>P0</t>
        </is>
      </c>
      <c r="H140" s="29" t="inlineStr">
        <is>
          <t>Functional</t>
        </is>
      </c>
      <c r="I140" s="29" t="inlineStr">
        <is>
          <t>Both</t>
        </is>
      </c>
      <c r="J140" s="29" t="inlineStr">
        <is>
          <t>KB-02</t>
        </is>
      </c>
      <c r="K140" s="31" t="inlineStr">
        <is>
          <t>Blocked</t>
        </is>
      </c>
      <c r="L140" s="32" t="inlineStr">
        <is>
          <t>Claude (adb)</t>
        </is>
      </c>
      <c r="M140" s="33" t="n">
        <v>46301</v>
      </c>
      <c r="N140" s="32" t="inlineStr">
        <is>
          <t>1.0.0+1 debug</t>
        </is>
      </c>
      <c r="O140" s="32" t="inlineStr">
        <is>
          <t>emulator-5554 / Android 14</t>
        </is>
      </c>
      <c r="P140" s="32" t="n"/>
      <c r="Q140" s="32" t="inlineStr">
        <is>
          <t>6 Oct 2026: Needs a real Razorpay checkout. Razorpay is the in-process fake on the integration server (empty key_id, order_fake… ids), so the SDK cannot open: BB-16 (KB-02).</t>
        </is>
      </c>
    </row>
    <row r="141" ht="17" customHeight="1">
      <c r="A141" s="27" t="inlineStr">
        <is>
          <t>PAY-005</t>
        </is>
      </c>
      <c r="B141" s="28" t="inlineStr">
        <is>
          <t>08 Payment (Razorpay)</t>
        </is>
      </c>
      <c r="C141" s="28" t="inlineStr">
        <is>
          <t>Checkout</t>
        </is>
      </c>
      <c r="D141" s="28" t="inlineStr">
        <is>
          <t>Successful net-banking / wallet payment</t>
        </is>
      </c>
      <c r="E141" s="28" t="inlineStr">
        <is>
          <t>Pay with test net banking and a wallet</t>
        </is>
      </c>
      <c r="F141" s="28" t="inlineStr">
        <is>
          <t>Verified as paid; success screen.</t>
        </is>
      </c>
      <c r="G141" s="29" t="inlineStr">
        <is>
          <t>P1</t>
        </is>
      </c>
      <c r="H141" s="29" t="inlineStr">
        <is>
          <t>Functional</t>
        </is>
      </c>
      <c r="I141" s="29" t="inlineStr">
        <is>
          <t>Both</t>
        </is>
      </c>
      <c r="J141" s="29" t="inlineStr">
        <is>
          <t>KB-02</t>
        </is>
      </c>
      <c r="K141" s="31" t="inlineStr">
        <is>
          <t>Blocked</t>
        </is>
      </c>
      <c r="L141" s="32" t="inlineStr">
        <is>
          <t>Claude (adb)</t>
        </is>
      </c>
      <c r="M141" s="33" t="n">
        <v>46301</v>
      </c>
      <c r="N141" s="32" t="inlineStr">
        <is>
          <t>1.0.0+1 debug</t>
        </is>
      </c>
      <c r="O141" s="32" t="inlineStr">
        <is>
          <t>emulator-5554 / Android 14</t>
        </is>
      </c>
      <c r="P141" s="32" t="n"/>
      <c r="Q141" s="32" t="inlineStr">
        <is>
          <t>6 Oct 2026: Needs a real Razorpay checkout. Razorpay is the in-process fake on the integration server (empty key_id, order_fake… ids), so the SDK cannot open: BB-16 (KB-02).</t>
        </is>
      </c>
    </row>
    <row r="142" ht="43" customHeight="1">
      <c r="A142" s="27" t="inlineStr">
        <is>
          <t>PAY-006</t>
        </is>
      </c>
      <c r="B142" s="28" t="inlineStr">
        <is>
          <t>08 Payment (Razorpay)</t>
        </is>
      </c>
      <c r="C142" s="28" t="inlineStr">
        <is>
          <t>Checkout</t>
        </is>
      </c>
      <c r="D142" s="28" t="inlineStr">
        <is>
          <t>Declined payment then retry</t>
        </is>
      </c>
      <c r="E142" s="28" t="inlineStr">
        <is>
          <t>1. Use a failing test method
2. On the failed result tap retry
3. Pay successfully</t>
        </is>
      </c>
      <c r="F142" s="28" t="inlineStr">
        <is>
          <t>Failed result is clear; retry opens a fresh Razorpay order with the same deadline; second attempt succeeds; only one charge.</t>
        </is>
      </c>
      <c r="G142" s="29" t="inlineStr">
        <is>
          <t>P0</t>
        </is>
      </c>
      <c r="H142" s="29" t="inlineStr">
        <is>
          <t>Negative</t>
        </is>
      </c>
      <c r="I142" s="29" t="inlineStr">
        <is>
          <t>Both</t>
        </is>
      </c>
      <c r="J142" s="29" t="inlineStr">
        <is>
          <t>KB-02</t>
        </is>
      </c>
      <c r="K142" s="31" t="inlineStr">
        <is>
          <t>Blocked</t>
        </is>
      </c>
      <c r="L142" s="32" t="inlineStr">
        <is>
          <t>Claude (adb)</t>
        </is>
      </c>
      <c r="M142" s="33" t="n">
        <v>46301</v>
      </c>
      <c r="N142" s="32" t="inlineStr">
        <is>
          <t>1.0.0+1 debug</t>
        </is>
      </c>
      <c r="O142" s="32" t="inlineStr">
        <is>
          <t>emulator-5554 / Android 14</t>
        </is>
      </c>
      <c r="P142" s="32" t="n"/>
      <c r="Q142" s="32" t="inlineStr">
        <is>
          <t>6 Oct 2026: Needs a real Razorpay checkout. Razorpay is the in-process fake on the integration server (empty key_id, order_fake… ids), so the SDK cannot open: BB-16 (KB-02).</t>
        </is>
      </c>
    </row>
    <row r="143" ht="30" customHeight="1">
      <c r="A143" s="27" t="inlineStr">
        <is>
          <t>PAY-007</t>
        </is>
      </c>
      <c r="B143" s="28" t="inlineStr">
        <is>
          <t>08 Payment (Razorpay)</t>
        </is>
      </c>
      <c r="C143" s="28" t="inlineStr">
        <is>
          <t>Checkout</t>
        </is>
      </c>
      <c r="D143" s="28" t="inlineStr">
        <is>
          <t>User closes the Razorpay sheet</t>
        </is>
      </c>
      <c r="E143" s="28" t="inlineStr">
        <is>
          <t>Open the sheet and dismiss it</t>
        </is>
      </c>
      <c r="F143" s="28" t="inlineStr">
        <is>
          <t>Back on the payment screen with the timer still running; booking remains pending; pay can be retried.</t>
        </is>
      </c>
      <c r="G143" s="29" t="inlineStr">
        <is>
          <t>P0</t>
        </is>
      </c>
      <c r="H143" s="29" t="inlineStr">
        <is>
          <t>Negative</t>
        </is>
      </c>
      <c r="I143" s="29" t="inlineStr">
        <is>
          <t>Both</t>
        </is>
      </c>
      <c r="J143" s="29" t="inlineStr">
        <is>
          <t>KB-02</t>
        </is>
      </c>
      <c r="K143" s="31" t="inlineStr">
        <is>
          <t>Blocked</t>
        </is>
      </c>
      <c r="L143" s="32" t="inlineStr">
        <is>
          <t>Claude (adb)</t>
        </is>
      </c>
      <c r="M143" s="33" t="n">
        <v>46301</v>
      </c>
      <c r="N143" s="32" t="inlineStr">
        <is>
          <t>1.0.0+1 debug</t>
        </is>
      </c>
      <c r="O143" s="32" t="inlineStr">
        <is>
          <t>emulator-5554 / Android 14</t>
        </is>
      </c>
      <c r="P143" s="32" t="n"/>
      <c r="Q143" s="32" t="inlineStr">
        <is>
          <t>6 Oct 2026: Needs a real Razorpay checkout. Razorpay is the in-process fake on the integration server (empty key_id, order_fake… ids), so the SDK cannot open: BB-16 (KB-02).</t>
        </is>
      </c>
    </row>
    <row r="144" ht="43" customHeight="1">
      <c r="A144" s="27" t="inlineStr">
        <is>
          <t>PAY-008</t>
        </is>
      </c>
      <c r="B144" s="28" t="inlineStr">
        <is>
          <t>08 Payment (Razorpay)</t>
        </is>
      </c>
      <c r="C144" s="28" t="inlineStr">
        <is>
          <t>Timer</t>
        </is>
      </c>
      <c r="D144" s="28" t="inlineStr">
        <is>
          <t>Deadline passes without payment</t>
        </is>
      </c>
      <c r="E144" s="28" t="inlineStr">
        <is>
          <t>Let the 5-minute timer reach zero</t>
        </is>
      </c>
      <c r="F144" s="28" t="inlineStr">
        <is>
          <t>User is told the booking lapsed and must book again; appointment shows as cancelled (payment timeout); the slot is free again.</t>
        </is>
      </c>
      <c r="G144" s="29" t="inlineStr">
        <is>
          <t>P0</t>
        </is>
      </c>
      <c r="H144" s="29" t="inlineStr">
        <is>
          <t>Negative</t>
        </is>
      </c>
      <c r="I144" s="29" t="inlineStr">
        <is>
          <t>Both</t>
        </is>
      </c>
      <c r="J144" s="29" t="n"/>
      <c r="K144" s="31" t="inlineStr">
        <is>
          <t>Pass</t>
        </is>
      </c>
      <c r="L144" s="32" t="inlineStr">
        <is>
          <t>Claude (adb)</t>
        </is>
      </c>
      <c r="M144" s="33" t="n">
        <v>46301</v>
      </c>
      <c r="N144" s="32" t="inlineStr">
        <is>
          <t>1.0.0+1 debug</t>
        </is>
      </c>
      <c r="O144" s="32" t="inlineStr">
        <is>
          <t>emulator-5554 / Android 14</t>
        </is>
      </c>
      <c r="P144" s="32" t="n"/>
      <c r="Q144" s="32" t="inlineStr">
        <is>
          <t>6 Oct 2026: At 00:00: 'The payment window closed — Unpaid bookings are released after 5 minutes. Nothing has been charged.' naming the booking, with Book again / Back to Home; the server cancelled it (payment_timeout) within a minute (BL-PAY-002, -003). Slot freed: the 7 Oct 9:30 slot Asha's lapsed booking held on 5 Oct reads 'available' today.</t>
        </is>
      </c>
    </row>
    <row r="145" ht="30" customHeight="1">
      <c r="A145" s="27" t="inlineStr">
        <is>
          <t>PAY-009</t>
        </is>
      </c>
      <c r="B145" s="28" t="inlineStr">
        <is>
          <t>08 Payment (Razorpay)</t>
        </is>
      </c>
      <c r="C145" s="28" t="inlineStr">
        <is>
          <t>Timer</t>
        </is>
      </c>
      <c r="D145" s="28" t="inlineStr">
        <is>
          <t>Countdown uses server time</t>
        </is>
      </c>
      <c r="E145" s="28" t="inlineStr">
        <is>
          <t>Change the device clock forward/back during the countdown</t>
        </is>
      </c>
      <c r="F145" s="28" t="inlineStr">
        <is>
          <t>Deadline is still enforced by the server; UI does not allow paying a lapsed booking.</t>
        </is>
      </c>
      <c r="G145" s="29" t="inlineStr">
        <is>
          <t>P2</t>
        </is>
      </c>
      <c r="H145" s="29" t="inlineStr">
        <is>
          <t>Security</t>
        </is>
      </c>
      <c r="I145" s="29" t="inlineStr">
        <is>
          <t>Both</t>
        </is>
      </c>
      <c r="J145" s="29" t="n"/>
      <c r="K145" s="31" t="inlineStr">
        <is>
          <t>Pass</t>
        </is>
      </c>
      <c r="L145" s="32" t="inlineStr">
        <is>
          <t>Claude (adb)</t>
        </is>
      </c>
      <c r="M145" s="33" t="n">
        <v>46301</v>
      </c>
      <c r="N145" s="32" t="inlineStr">
        <is>
          <t>1.0.0+1 debug</t>
        </is>
      </c>
      <c r="O145" s="32" t="inlineStr">
        <is>
          <t>emulator-5554 / Android 14</t>
        </is>
      </c>
      <c r="P145" s="32" t="n"/>
      <c r="Q145" s="32" t="inlineStr">
        <is>
          <t>6 Oct 2026: Phone clock set 10 minutes fast during a live window: the countdown still showed the server's time left ('03:39 remaining' vs 3:40 real) and the window was not closed early (DEF-041 fixed 5 Oct). After the real deadline Pay and retry are refused (BL-PAY-004).</t>
        </is>
      </c>
    </row>
    <row r="146" ht="30" customHeight="1">
      <c r="A146" s="27" t="inlineStr">
        <is>
          <t>PAY-010</t>
        </is>
      </c>
      <c r="B146" s="28" t="inlineStr">
        <is>
          <t>08 Payment (Razorpay)</t>
        </is>
      </c>
      <c r="C146" s="28" t="inlineStr">
        <is>
          <t>Late payment</t>
        </is>
      </c>
      <c r="D146" s="28" t="inlineStr">
        <is>
          <t>Money arrives after the deadline</t>
        </is>
      </c>
      <c r="E146" s="28" t="inlineStr">
        <is>
          <t>Complete payment right at/after expiry (or simulate)</t>
        </is>
      </c>
      <c r="F146" s="28" t="inlineStr">
        <is>
          <t>'Payment received too late, refund initiated' message; appointment is cancelled; refund is visible.</t>
        </is>
      </c>
      <c r="G146" s="29" t="inlineStr">
        <is>
          <t>P1</t>
        </is>
      </c>
      <c r="H146" s="29" t="inlineStr">
        <is>
          <t>Negative</t>
        </is>
      </c>
      <c r="I146" s="29" t="inlineStr">
        <is>
          <t>Both</t>
        </is>
      </c>
      <c r="J146" s="29" t="inlineStr">
        <is>
          <t>KB-02</t>
        </is>
      </c>
      <c r="K146" s="31" t="inlineStr">
        <is>
          <t>Blocked</t>
        </is>
      </c>
      <c r="L146" s="32" t="inlineStr">
        <is>
          <t>Claude (adb)</t>
        </is>
      </c>
      <c r="M146" s="33" t="n">
        <v>46301</v>
      </c>
      <c r="N146" s="32" t="inlineStr">
        <is>
          <t>1.0.0+1 debug</t>
        </is>
      </c>
      <c r="O146" s="32" t="inlineStr">
        <is>
          <t>emulator-5554 / Android 14</t>
        </is>
      </c>
      <c r="P146" s="32" t="n"/>
      <c r="Q146" s="32" t="inlineStr">
        <is>
          <t>6 Oct 2026: Needs a real Razorpay checkout. Razorpay is the in-process fake on the integration server (empty key_id, order_fake… ids), so the SDK cannot open: BB-16 (KB-02).</t>
        </is>
      </c>
    </row>
    <row r="147" ht="43" customHeight="1">
      <c r="A147" s="27" t="inlineStr">
        <is>
          <t>PAY-011</t>
        </is>
      </c>
      <c r="B147" s="28" t="inlineStr">
        <is>
          <t>08 Payment (Razorpay)</t>
        </is>
      </c>
      <c r="C147" s="28" t="inlineStr">
        <is>
          <t>Verify</t>
        </is>
      </c>
      <c r="D147" s="28" t="inlineStr">
        <is>
          <t>Network drops during verification</t>
        </is>
      </c>
      <c r="E147" s="28" t="inlineStr">
        <is>
          <t>1. Pay successfully
2. Cut the network before the verify call completes
3. Restore</t>
        </is>
      </c>
      <c r="F147" s="28" t="inlineStr">
        <is>
          <t>App retries verification safely; payment is recorded once; user reaches success.</t>
        </is>
      </c>
      <c r="G147" s="29" t="inlineStr">
        <is>
          <t>P0</t>
        </is>
      </c>
      <c r="H147" s="29" t="inlineStr">
        <is>
          <t>Negative</t>
        </is>
      </c>
      <c r="I147" s="29" t="inlineStr">
        <is>
          <t>Both</t>
        </is>
      </c>
      <c r="J147" s="29" t="inlineStr">
        <is>
          <t>KB-02</t>
        </is>
      </c>
      <c r="K147" s="31" t="inlineStr">
        <is>
          <t>Blocked</t>
        </is>
      </c>
      <c r="L147" s="32" t="inlineStr">
        <is>
          <t>Claude (adb)</t>
        </is>
      </c>
      <c r="M147" s="33" t="n">
        <v>46301</v>
      </c>
      <c r="N147" s="32" t="inlineStr">
        <is>
          <t>1.0.0+1 debug</t>
        </is>
      </c>
      <c r="O147" s="32" t="inlineStr">
        <is>
          <t>emulator-5554 / Android 14</t>
        </is>
      </c>
      <c r="P147" s="32" t="n"/>
      <c r="Q147" s="32" t="inlineStr">
        <is>
          <t>6 Oct 2026: Needs a real Razorpay checkout. Razorpay is the in-process fake on the integration server (empty key_id, order_fake… ids), so the SDK cannot open: BB-16 (KB-02).</t>
        </is>
      </c>
    </row>
    <row r="148" ht="43" customHeight="1">
      <c r="A148" s="27" t="inlineStr">
        <is>
          <t>PAY-012</t>
        </is>
      </c>
      <c r="B148" s="28" t="inlineStr">
        <is>
          <t>08 Payment (Razorpay)</t>
        </is>
      </c>
      <c r="C148" s="28" t="inlineStr">
        <is>
          <t>Verify</t>
        </is>
      </c>
      <c r="D148" s="28" t="inlineStr">
        <is>
          <t>App killed during checkout</t>
        </is>
      </c>
      <c r="E148" s="28" t="inlineStr">
        <is>
          <t>1. Pay in the UPI app
2. Kill Medibook before returning
3. Relaunch</t>
        </is>
      </c>
      <c r="F148" s="28" t="inlineStr">
        <is>
          <t>App checks the order and shows the appointment as paid/confirmed; no second charge is requested.</t>
        </is>
      </c>
      <c r="G148" s="29" t="inlineStr">
        <is>
          <t>P0</t>
        </is>
      </c>
      <c r="H148" s="29" t="inlineStr">
        <is>
          <t>Negative</t>
        </is>
      </c>
      <c r="I148" s="29" t="inlineStr">
        <is>
          <t>Both</t>
        </is>
      </c>
      <c r="J148" s="29" t="inlineStr">
        <is>
          <t>KB-02</t>
        </is>
      </c>
      <c r="K148" s="31" t="inlineStr">
        <is>
          <t>Blocked</t>
        </is>
      </c>
      <c r="L148" s="32" t="inlineStr">
        <is>
          <t>Claude (adb)</t>
        </is>
      </c>
      <c r="M148" s="33" t="n">
        <v>46301</v>
      </c>
      <c r="N148" s="32" t="inlineStr">
        <is>
          <t>1.0.0+1 debug</t>
        </is>
      </c>
      <c r="O148" s="32" t="inlineStr">
        <is>
          <t>emulator-5554 / Android 14</t>
        </is>
      </c>
      <c r="P148" s="32" t="n"/>
      <c r="Q148" s="32" t="inlineStr">
        <is>
          <t>6 Oct 2026: Needs a real Razorpay checkout. Razorpay is the in-process fake on the integration server (empty key_id, order_fake… ids), so the SDK cannot open: BB-16 (KB-02).</t>
        </is>
      </c>
    </row>
    <row r="149" ht="30" customHeight="1">
      <c r="A149" s="27" t="inlineStr">
        <is>
          <t>PAY-013</t>
        </is>
      </c>
      <c r="B149" s="28" t="inlineStr">
        <is>
          <t>08 Payment (Razorpay)</t>
        </is>
      </c>
      <c r="C149" s="28" t="inlineStr">
        <is>
          <t>Verify</t>
        </is>
      </c>
      <c r="D149" s="28" t="inlineStr">
        <is>
          <t>Tampered signature</t>
        </is>
      </c>
      <c r="E149" s="28" t="inlineStr">
        <is>
          <t>With a proxy, alter razorpay_signature in the verify request</t>
        </is>
      </c>
      <c r="F149" s="28" t="inlineStr">
        <is>
          <t>Treated as a failed payment; booking is not confirmed.</t>
        </is>
      </c>
      <c r="G149" s="29" t="inlineStr">
        <is>
          <t>P1</t>
        </is>
      </c>
      <c r="H149" s="29" t="inlineStr">
        <is>
          <t>Security</t>
        </is>
      </c>
      <c r="I149" s="29" t="inlineStr">
        <is>
          <t>Both</t>
        </is>
      </c>
      <c r="J149" s="29" t="inlineStr">
        <is>
          <t>KB-02</t>
        </is>
      </c>
      <c r="K149" s="31" t="inlineStr">
        <is>
          <t>Blocked</t>
        </is>
      </c>
      <c r="L149" s="32" t="inlineStr">
        <is>
          <t>Claude (adb)</t>
        </is>
      </c>
      <c r="M149" s="33" t="n">
        <v>46301</v>
      </c>
      <c r="N149" s="32" t="inlineStr">
        <is>
          <t>1.0.0+1 debug</t>
        </is>
      </c>
      <c r="O149" s="32" t="inlineStr">
        <is>
          <t>emulator-5554 / Android 14</t>
        </is>
      </c>
      <c r="P149" s="32" t="n"/>
      <c r="Q149" s="32" t="inlineStr">
        <is>
          <t>6 Oct 2026: Needs a real Razorpay checkout. Razorpay is the in-process fake on the integration server (empty key_id, order_fake… ids), so the SDK cannot open: BB-16 (KB-02).</t>
        </is>
      </c>
    </row>
    <row r="150" ht="17" customHeight="1">
      <c r="A150" s="27" t="inlineStr">
        <is>
          <t>PAY-014</t>
        </is>
      </c>
      <c r="B150" s="28" t="inlineStr">
        <is>
          <t>08 Payment (Razorpay)</t>
        </is>
      </c>
      <c r="C150" s="28" t="inlineStr">
        <is>
          <t>Retry</t>
        </is>
      </c>
      <c r="D150" s="28" t="inlineStr">
        <is>
          <t>Retry after already paid</t>
        </is>
      </c>
      <c r="E150" s="28" t="inlineStr">
        <is>
          <t>Force a retry on an order that was captured</t>
        </is>
      </c>
      <c r="F150" s="28" t="inlineStr">
        <is>
          <t>User is taken to success (already paid); no new charge.</t>
        </is>
      </c>
      <c r="G150" s="29" t="inlineStr">
        <is>
          <t>P1</t>
        </is>
      </c>
      <c r="H150" s="29" t="inlineStr">
        <is>
          <t>Negative</t>
        </is>
      </c>
      <c r="I150" s="29" t="inlineStr">
        <is>
          <t>Both</t>
        </is>
      </c>
      <c r="J150" s="29" t="inlineStr">
        <is>
          <t>KB-02</t>
        </is>
      </c>
      <c r="K150" s="31" t="inlineStr">
        <is>
          <t>Blocked</t>
        </is>
      </c>
      <c r="L150" s="32" t="inlineStr">
        <is>
          <t>Claude (adb)</t>
        </is>
      </c>
      <c r="M150" s="33" t="n">
        <v>46301</v>
      </c>
      <c r="N150" s="32" t="inlineStr">
        <is>
          <t>1.0.0+1 debug</t>
        </is>
      </c>
      <c r="O150" s="32" t="inlineStr">
        <is>
          <t>emulator-5554 / Android 14</t>
        </is>
      </c>
      <c r="P150" s="32" t="n"/>
      <c r="Q150" s="32" t="inlineStr">
        <is>
          <t>6 Oct 2026: Needs a real Razorpay checkout. Razorpay is the in-process fake on the integration server (empty key_id, order_fake… ids), so the SDK cannot open: BB-16 (KB-02).</t>
        </is>
      </c>
    </row>
    <row r="151" ht="17" customHeight="1">
      <c r="A151" s="27" t="inlineStr">
        <is>
          <t>PAY-015</t>
        </is>
      </c>
      <c r="B151" s="28" t="inlineStr">
        <is>
          <t>08 Payment (Razorpay)</t>
        </is>
      </c>
      <c r="C151" s="28" t="inlineStr">
        <is>
          <t>Retry</t>
        </is>
      </c>
      <c r="D151" s="28" t="inlineStr">
        <is>
          <t>Retry after the deadline</t>
        </is>
      </c>
      <c r="E151" s="28" t="inlineStr">
        <is>
          <t>Tap retry after the 5 minutes are over</t>
        </is>
      </c>
      <c r="F151" s="28" t="inlineStr">
        <is>
          <t>User is told to start a new booking.</t>
        </is>
      </c>
      <c r="G151" s="29" t="inlineStr">
        <is>
          <t>P1</t>
        </is>
      </c>
      <c r="H151" s="29" t="inlineStr">
        <is>
          <t>Negative</t>
        </is>
      </c>
      <c r="I151" s="29" t="inlineStr">
        <is>
          <t>Both</t>
        </is>
      </c>
      <c r="J151" s="29" t="n"/>
      <c r="K151" s="31" t="inlineStr">
        <is>
          <t>Pass</t>
        </is>
      </c>
      <c r="L151" s="32" t="inlineStr">
        <is>
          <t>Claude (adb)</t>
        </is>
      </c>
      <c r="M151" s="33" t="n">
        <v>46301</v>
      </c>
      <c r="N151" s="32" t="inlineStr">
        <is>
          <t>1.0.0+1 debug</t>
        </is>
      </c>
      <c r="O151" s="32" t="inlineStr">
        <is>
          <t>emulator-5554 / Android 14</t>
        </is>
      </c>
      <c r="P151" s="32" t="n"/>
      <c r="Q151" s="32" t="inlineStr">
        <is>
          <t>6 Oct 2026: After the deadline the payment screen is replaced by 'The payment window closed' with Book again; retry is not offered (BL-PAY-004).</t>
        </is>
      </c>
    </row>
    <row r="152" ht="43" customHeight="1">
      <c r="A152" s="27" t="inlineStr">
        <is>
          <t>PAY-016</t>
        </is>
      </c>
      <c r="B152" s="28" t="inlineStr">
        <is>
          <t>08 Payment (Razorpay)</t>
        </is>
      </c>
      <c r="C152" s="28" t="inlineStr">
        <is>
          <t>Pending</t>
        </is>
      </c>
      <c r="D152" s="28" t="inlineStr">
        <is>
          <t>Leave without paying, then resume</t>
        </is>
      </c>
      <c r="E152" s="28" t="inlineStr">
        <is>
          <t>1. On the payment screen press Back and confirm 'Leave without paying?'
2. Open the booking from Appointments</t>
        </is>
      </c>
      <c r="F152" s="28" t="inlineStr">
        <is>
          <t>Booking shows 'Payment pending' with 'Pay within mm:ss' and a Complete payment action that works until the deadline.</t>
        </is>
      </c>
      <c r="G152" s="29" t="inlineStr">
        <is>
          <t>P0</t>
        </is>
      </c>
      <c r="H152" s="29" t="inlineStr">
        <is>
          <t>Functional</t>
        </is>
      </c>
      <c r="I152" s="29" t="inlineStr">
        <is>
          <t>Both</t>
        </is>
      </c>
      <c r="J152" s="29" t="inlineStr">
        <is>
          <t>KB-02</t>
        </is>
      </c>
      <c r="K152" s="31" t="inlineStr">
        <is>
          <t>Pass</t>
        </is>
      </c>
      <c r="L152" s="32" t="inlineStr">
        <is>
          <t>Claude (adb)</t>
        </is>
      </c>
      <c r="M152" s="33" t="n">
        <v>46301</v>
      </c>
      <c r="N152" s="32" t="inlineStr">
        <is>
          <t>1.0.0+1 debug</t>
        </is>
      </c>
      <c r="O152" s="32" t="inlineStr">
        <is>
          <t>emulator-5554 / Android 14</t>
        </is>
      </c>
      <c r="P152" s="32" t="n"/>
      <c r="Q152" s="32" t="inlineStr">
        <is>
          <t>6 Oct 2026: Back on the payment screen asks 'Leave payment?' (guard fixed 5 Oct, BL-PAY-027). The booking then shows 'Payment pending', 'Pay within 04:53 remaining' and 'Retry payment', which reopens the payment screen with the same countdown until the deadline (BL-PAY-026).</t>
        </is>
      </c>
    </row>
    <row r="153" ht="30" customHeight="1">
      <c r="A153" s="27" t="inlineStr">
        <is>
          <t>PAY-017</t>
        </is>
      </c>
      <c r="B153" s="28" t="inlineStr">
        <is>
          <t>08 Payment (Razorpay)</t>
        </is>
      </c>
      <c r="C153" s="28" t="inlineStr">
        <is>
          <t>Config</t>
        </is>
      </c>
      <c r="D153" s="28" t="inlineStr">
        <is>
          <t>Gateway not configured</t>
        </is>
      </c>
      <c r="E153" s="28" t="inlineStr">
        <is>
          <t>Use a hospital whose order has an empty key</t>
        </is>
      </c>
      <c r="F153" s="28" t="inlineStr">
        <is>
          <t>'Online payment is not set up… Nothing has been charged.' and the SDK does not open.</t>
        </is>
      </c>
      <c r="G153" s="29" t="inlineStr">
        <is>
          <t>P1</t>
        </is>
      </c>
      <c r="H153" s="29" t="inlineStr">
        <is>
          <t>Negative</t>
        </is>
      </c>
      <c r="I153" s="29" t="inlineStr">
        <is>
          <t>Both</t>
        </is>
      </c>
      <c r="J153" s="29" t="n"/>
      <c r="K153" s="31" t="inlineStr">
        <is>
          <t>Pass</t>
        </is>
      </c>
      <c r="L153" s="32" t="inlineStr">
        <is>
          <t>Claude (adb)</t>
        </is>
      </c>
      <c r="M153" s="33" t="n">
        <v>46301</v>
      </c>
      <c r="N153" s="32" t="inlineStr">
        <is>
          <t>1.0.0+1 debug</t>
        </is>
      </c>
      <c r="O153" s="32" t="inlineStr">
        <is>
          <t>emulator-5554 / Android 14</t>
        </is>
      </c>
      <c r="P153" s="32" t="n"/>
      <c r="Q153" s="32" t="inlineStr">
        <is>
          <t>6 Oct 2026: Every order on this server has an empty key, so this is the normal path here: 'Online payment is not set up… Nothing has been charged.' and the SDK does not open (BL-PAY-008).</t>
        </is>
      </c>
    </row>
    <row r="154" ht="17" customHeight="1">
      <c r="A154" s="27" t="inlineStr">
        <is>
          <t>PAY-018</t>
        </is>
      </c>
      <c r="B154" s="28" t="inlineStr">
        <is>
          <t>08 Payment (Razorpay)</t>
        </is>
      </c>
      <c r="C154" s="28" t="inlineStr">
        <is>
          <t>Checkout</t>
        </is>
      </c>
      <c r="D154" s="28" t="inlineStr">
        <is>
          <t>Double-tap on pay</t>
        </is>
      </c>
      <c r="E154" s="28" t="inlineStr">
        <is>
          <t>Tap the pay button repeatedly</t>
        </is>
      </c>
      <c r="F154" s="28" t="inlineStr">
        <is>
          <t>Razorpay opens once.</t>
        </is>
      </c>
      <c r="G154" s="29" t="inlineStr">
        <is>
          <t>P1</t>
        </is>
      </c>
      <c r="H154" s="29" t="inlineStr">
        <is>
          <t>Negative</t>
        </is>
      </c>
      <c r="I154" s="29" t="inlineStr">
        <is>
          <t>Both</t>
        </is>
      </c>
      <c r="J154" s="29" t="inlineStr">
        <is>
          <t>KB-02</t>
        </is>
      </c>
      <c r="K154" s="31" t="inlineStr">
        <is>
          <t>Blocked</t>
        </is>
      </c>
      <c r="L154" s="32" t="inlineStr">
        <is>
          <t>Claude (adb)</t>
        </is>
      </c>
      <c r="M154" s="33" t="n">
        <v>46301</v>
      </c>
      <c r="N154" s="32" t="inlineStr">
        <is>
          <t>1.0.0+1 debug</t>
        </is>
      </c>
      <c r="O154" s="32" t="inlineStr">
        <is>
          <t>emulator-5554 / Android 14</t>
        </is>
      </c>
      <c r="P154" s="32" t="n"/>
      <c r="Q154" s="32" t="inlineStr">
        <is>
          <t>6 Oct 2026: Needs a real Razorpay checkout. Razorpay is the in-process fake on the integration server (empty key_id, order_fake… ids), so the SDK cannot open: BB-16 (KB-02).</t>
        </is>
      </c>
    </row>
    <row r="155" ht="30" customHeight="1">
      <c r="A155" s="27" t="inlineStr">
        <is>
          <t>PAY-019</t>
        </is>
      </c>
      <c r="B155" s="28" t="inlineStr">
        <is>
          <t>08 Payment (Razorpay)</t>
        </is>
      </c>
      <c r="C155" s="28" t="inlineStr">
        <is>
          <t>Checkout</t>
        </is>
      </c>
      <c r="D155" s="28" t="inlineStr">
        <is>
          <t>App switch during UPI intent</t>
        </is>
      </c>
      <c r="E155" s="28" t="inlineStr">
        <is>
          <t>1. Pay via a UPI app (GPay/PhonePe) and return
2. Repeat but stay away for 2 minutes</t>
        </is>
      </c>
      <c r="F155" s="28" t="inlineStr">
        <is>
          <t>Result is picked up on return in both cases.</t>
        </is>
      </c>
      <c r="G155" s="29" t="inlineStr">
        <is>
          <t>P0</t>
        </is>
      </c>
      <c r="H155" s="29" t="inlineStr">
        <is>
          <t>Functional</t>
        </is>
      </c>
      <c r="I155" s="29" t="inlineStr">
        <is>
          <t>Both</t>
        </is>
      </c>
      <c r="J155" s="29" t="inlineStr">
        <is>
          <t>KB-02</t>
        </is>
      </c>
      <c r="K155" s="31" t="inlineStr">
        <is>
          <t>Blocked</t>
        </is>
      </c>
      <c r="L155" s="32" t="inlineStr">
        <is>
          <t>Claude (adb)</t>
        </is>
      </c>
      <c r="M155" s="33" t="n">
        <v>46301</v>
      </c>
      <c r="N155" s="32" t="inlineStr">
        <is>
          <t>1.0.0+1 debug</t>
        </is>
      </c>
      <c r="O155" s="32" t="inlineStr">
        <is>
          <t>emulator-5554 / Android 14</t>
        </is>
      </c>
      <c r="P155" s="32" t="n"/>
      <c r="Q155" s="32" t="inlineStr">
        <is>
          <t>6 Oct 2026: Needs a real Razorpay checkout. Razorpay is the in-process fake on the integration server (empty key_id, order_fake… ids), so the SDK cannot open: BB-16 (KB-02).</t>
        </is>
      </c>
    </row>
    <row r="156" ht="17" customHeight="1">
      <c r="A156" s="27" t="inlineStr">
        <is>
          <t>PAY-020</t>
        </is>
      </c>
      <c r="B156" s="28" t="inlineStr">
        <is>
          <t>08 Payment (Razorpay)</t>
        </is>
      </c>
      <c r="C156" s="28" t="inlineStr">
        <is>
          <t>Result</t>
        </is>
      </c>
      <c r="D156" s="28" t="inlineStr">
        <is>
          <t>Result screen states</t>
        </is>
      </c>
      <c r="E156" s="28" t="inlineStr">
        <is>
          <t>Reach the result screen as success, failed and pending</t>
        </is>
      </c>
      <c r="F156" s="28" t="inlineStr">
        <is>
          <t>Each state has distinct copy and the right next actions.</t>
        </is>
      </c>
      <c r="G156" s="29" t="inlineStr">
        <is>
          <t>P1</t>
        </is>
      </c>
      <c r="H156" s="29" t="inlineStr">
        <is>
          <t>Functional</t>
        </is>
      </c>
      <c r="I156" s="29" t="inlineStr">
        <is>
          <t>Both</t>
        </is>
      </c>
      <c r="J156" s="29" t="n"/>
      <c r="K156" s="31" t="inlineStr">
        <is>
          <t>Blocked</t>
        </is>
      </c>
      <c r="L156" s="32" t="inlineStr">
        <is>
          <t>Claude (adb)</t>
        </is>
      </c>
      <c r="M156" s="33" t="n">
        <v>46301</v>
      </c>
      <c r="N156" s="32" t="inlineStr">
        <is>
          <t>1.0.0+1 debug</t>
        </is>
      </c>
      <c r="O156" s="32" t="inlineStr">
        <is>
          <t>emulator-5554 / Android 14</t>
        </is>
      </c>
      <c r="P156" s="32" t="n"/>
      <c r="Q156" s="32" t="inlineStr">
        <is>
          <t>6 Oct 2026: The result screen opened cold or with a bad status is handled (BL-PAY-025). Real success / failed / pending results need a checkout. Razorpay is the in-process fake on the integration server (empty key_id, order_fake… ids), so the SDK cannot open: BB-16 (KB-02).</t>
        </is>
      </c>
    </row>
    <row r="157" ht="43" customHeight="1">
      <c r="A157" s="27" t="inlineStr">
        <is>
          <t>PAY-021</t>
        </is>
      </c>
      <c r="B157" s="28" t="inlineStr">
        <is>
          <t>08 Payment (Razorpay)</t>
        </is>
      </c>
      <c r="C157" s="28" t="inlineStr">
        <is>
          <t>Success</t>
        </is>
      </c>
      <c r="D157" s="28" t="inlineStr">
        <is>
          <t>Success screen actions</t>
        </is>
      </c>
      <c r="E157" s="28" t="inlineStr">
        <is>
          <t>1. On success: Add to calendar, view the appointment, go Home
2. Press Back</t>
        </is>
      </c>
      <c r="F157" s="28" t="inlineStr">
        <is>
          <t>Calendar file is offered to the OS; appointment opens; Back never returns to the payment screen.</t>
        </is>
      </c>
      <c r="G157" s="29" t="inlineStr">
        <is>
          <t>P1</t>
        </is>
      </c>
      <c r="H157" s="29" t="inlineStr">
        <is>
          <t>Functional</t>
        </is>
      </c>
      <c r="I157" s="29" t="inlineStr">
        <is>
          <t>Both</t>
        </is>
      </c>
      <c r="J157" s="29" t="n"/>
      <c r="K157" s="31" t="inlineStr">
        <is>
          <t>Blocked</t>
        </is>
      </c>
      <c r="L157" s="32" t="inlineStr">
        <is>
          <t>Claude (adb)</t>
        </is>
      </c>
      <c r="M157" s="33" t="n">
        <v>46301</v>
      </c>
      <c r="N157" s="32" t="inlineStr">
        <is>
          <t>1.0.0+1 debug</t>
        </is>
      </c>
      <c r="O157" s="32" t="inlineStr">
        <is>
          <t>emulator-5554 / Android 14</t>
        </is>
      </c>
      <c r="P157" s="32" t="n"/>
      <c r="Q157" s="32" t="inlineStr">
        <is>
          <t>6 Oct 2026: Needs a paid booking to reach the success screen. Razorpay is the in-process fake on the integration server (empty key_id, order_fake… ids), so the SDK cannot open: BB-16 (KB-02).</t>
        </is>
      </c>
    </row>
    <row r="158" ht="30" customHeight="1">
      <c r="A158" s="27" t="inlineStr">
        <is>
          <t>PAY-022</t>
        </is>
      </c>
      <c r="B158" s="28" t="inlineStr">
        <is>
          <t>08 Payment (Razorpay)</t>
        </is>
      </c>
      <c r="C158" s="28" t="inlineStr">
        <is>
          <t>Money</t>
        </is>
      </c>
      <c r="D158" s="28" t="inlineStr">
        <is>
          <t>Amounts are exact</t>
        </is>
      </c>
      <c r="E158" s="28" t="inlineStr">
        <is>
          <t>Compare the amount on quote, Razorpay sheet, success screen, appointment detail and receipt</t>
        </is>
      </c>
      <c r="F158" s="28" t="inlineStr">
        <is>
          <t>All five show the same value; no rounding differences (paise to rupees).</t>
        </is>
      </c>
      <c r="G158" s="29" t="inlineStr">
        <is>
          <t>P0</t>
        </is>
      </c>
      <c r="H158" s="29" t="inlineStr">
        <is>
          <t>Functional</t>
        </is>
      </c>
      <c r="I158" s="29" t="inlineStr">
        <is>
          <t>Both</t>
        </is>
      </c>
      <c r="J158" s="29" t="n"/>
      <c r="K158" s="31" t="inlineStr">
        <is>
          <t>Blocked</t>
        </is>
      </c>
      <c r="L158" s="32" t="inlineStr">
        <is>
          <t>Claude (adb)</t>
        </is>
      </c>
      <c r="M158" s="33" t="n">
        <v>46301</v>
      </c>
      <c r="N158" s="32" t="inlineStr">
        <is>
          <t>1.0.0+1 debug</t>
        </is>
      </c>
      <c r="O158" s="32" t="inlineStr">
        <is>
          <t>emulator-5554 / Android 14</t>
        </is>
      </c>
      <c r="P158" s="32" t="n"/>
      <c r="Q158" s="32" t="inlineStr">
        <is>
          <t>6 Oct 2026: Quote and payment screen agree (₹424). The Razorpay sheet, success screen, paid appointment and receipt need a real payment. Razorpay is the in-process fake on the integration server (empty key_id, order_fake… ids), so the SDK cannot open: BB-16 (KB-02).</t>
        </is>
      </c>
    </row>
    <row r="159" ht="30" customHeight="1">
      <c r="A159" s="27" t="inlineStr">
        <is>
          <t>PAY-023</t>
        </is>
      </c>
      <c r="B159" s="28" t="inlineStr">
        <is>
          <t>08 Payment (Razorpay)</t>
        </is>
      </c>
      <c r="C159" s="28" t="inlineStr">
        <is>
          <t>Release build</t>
        </is>
      </c>
      <c r="D159" s="28" t="inlineStr">
        <is>
          <t>Payment works in the minified release build</t>
        </is>
      </c>
      <c r="E159" s="28" t="inlineStr">
        <is>
          <t>Run a full payment on the store-signed release build on Android and iOS</t>
        </is>
      </c>
      <c r="F159" s="28" t="inlineStr">
        <is>
          <t>Razorpay opens and returns results (ProGuard/R8 rules keep the SDK intact).</t>
        </is>
      </c>
      <c r="G159" s="29" t="inlineStr">
        <is>
          <t>P0</t>
        </is>
      </c>
      <c r="H159" s="29" t="inlineStr">
        <is>
          <t>Release</t>
        </is>
      </c>
      <c r="I159" s="29" t="inlineStr">
        <is>
          <t>Both</t>
        </is>
      </c>
      <c r="J159" s="29" t="inlineStr">
        <is>
          <t>KB-02, KB-06</t>
        </is>
      </c>
      <c r="K159" s="31" t="inlineStr">
        <is>
          <t>Blocked</t>
        </is>
      </c>
      <c r="L159" s="32" t="inlineStr">
        <is>
          <t>Claude (adb)</t>
        </is>
      </c>
      <c r="M159" s="33" t="n">
        <v>46301</v>
      </c>
      <c r="N159" s="32" t="inlineStr">
        <is>
          <t>1.0.0+1 debug</t>
        </is>
      </c>
      <c r="O159" s="32" t="inlineStr">
        <is>
          <t>emulator-5554 / Android 14</t>
        </is>
      </c>
      <c r="P159" s="32" t="n"/>
      <c r="Q159" s="32" t="inlineStr">
        <is>
          <t>6 Oct 2026: Needs a working Razorpay order (KB-02) and the store-signed release build (KB-06: release is still signed with the debug key).</t>
        </is>
      </c>
    </row>
    <row r="160" ht="43" customHeight="1">
      <c r="A160" s="27" t="inlineStr">
        <is>
          <t>PAY-024</t>
        </is>
      </c>
      <c r="B160" s="28" t="inlineStr">
        <is>
          <t>08 Payment (Razorpay)</t>
        </is>
      </c>
      <c r="C160" s="28" t="inlineStr">
        <is>
          <t>Live</t>
        </is>
      </c>
      <c r="D160" s="28" t="inlineStr">
        <is>
          <t>Live-mode smoke payment and refund</t>
        </is>
      </c>
      <c r="E160" s="28" t="inlineStr">
        <is>
          <t>1. With live keys, book the cheapest slot and pay with a real method
2. Cancel it</t>
        </is>
      </c>
      <c r="F160" s="28" t="inlineStr">
        <is>
          <t>Real charge is captured and the refund reaches the payment method.</t>
        </is>
      </c>
      <c r="G160" s="29" t="inlineStr">
        <is>
          <t>P0</t>
        </is>
      </c>
      <c r="H160" s="29" t="inlineStr">
        <is>
          <t>Release</t>
        </is>
      </c>
      <c r="I160" s="29" t="inlineStr">
        <is>
          <t>Both</t>
        </is>
      </c>
      <c r="J160" s="29" t="inlineStr">
        <is>
          <t>KB-02</t>
        </is>
      </c>
      <c r="K160" s="31" t="inlineStr">
        <is>
          <t>Blocked</t>
        </is>
      </c>
      <c r="L160" s="32" t="inlineStr">
        <is>
          <t>Claude (adb)</t>
        </is>
      </c>
      <c r="M160" s="33" t="n">
        <v>46301</v>
      </c>
      <c r="N160" s="32" t="inlineStr">
        <is>
          <t>1.0.0+1 debug</t>
        </is>
      </c>
      <c r="O160" s="32" t="inlineStr">
        <is>
          <t>emulator-5554 / Android 14</t>
        </is>
      </c>
      <c r="P160" s="32" t="n"/>
      <c r="Q160" s="32" t="inlineStr">
        <is>
          <t>6 Oct 2026: Needs Razorpay live keys and a production host; not available. Razorpay is the in-process fake on the integration server (empty key_id, order_fake… ids), so the SDK cannot open: BB-16 (KB-02).</t>
        </is>
      </c>
    </row>
    <row r="161" ht="43" customHeight="1">
      <c r="A161" s="27" t="inlineStr">
        <is>
          <t>APPT-001</t>
        </is>
      </c>
      <c r="B161" s="28" t="inlineStr">
        <is>
          <t>09 Appointments</t>
        </is>
      </c>
      <c r="C161" s="28" t="inlineStr">
        <is>
          <t>List</t>
        </is>
      </c>
      <c r="D161" s="28" t="inlineStr">
        <is>
          <t>Upcoming / Completed / Cancelled tabs</t>
        </is>
      </c>
      <c r="E161" s="28" t="inlineStr">
        <is>
          <t>Open each tab</t>
        </is>
      </c>
      <c r="F161" s="28" t="inlineStr">
        <is>
          <t>Each appointment appears in the right tab with the right status pill; pending-payment and awaiting-confirmation bookings are labelled as such.</t>
        </is>
      </c>
      <c r="G161" s="29" t="inlineStr">
        <is>
          <t>P0</t>
        </is>
      </c>
      <c r="H161" s="29" t="inlineStr">
        <is>
          <t>Functional</t>
        </is>
      </c>
      <c r="I161" s="29" t="inlineStr">
        <is>
          <t>Both</t>
        </is>
      </c>
      <c r="J161" s="29" t="n"/>
      <c r="K161" s="31" t="inlineStr">
        <is>
          <t>Pass</t>
        </is>
      </c>
      <c r="L161" s="32" t="inlineStr">
        <is>
          <t>Claude (adb)</t>
        </is>
      </c>
      <c r="M161" s="33" t="n">
        <v>46301</v>
      </c>
      <c r="N161" s="32" t="inlineStr">
        <is>
          <t>1.0.0+1 debug</t>
        </is>
      </c>
      <c r="O161" s="32" t="inlineStr">
        <is>
          <t>emulator-5554 / Android 14</t>
        </is>
      </c>
      <c r="P161" s="32" t="n"/>
      <c r="Q161" s="32" t="inlineStr">
        <is>
          <t>6 Oct 2026: Upcoming (0 now), Completed (5) and Canceled (28 cancelled + 1 no-show) each list the right bookings with their pills ('Payment pending', 'Completed', 'Cancelled', 'No-show') (BL-APPT-001, -012). Awaiting-confirmation not seen: no manual-approval hospital (BB-06).</t>
        </is>
      </c>
    </row>
    <row r="162" ht="30" customHeight="1">
      <c r="A162" s="27" t="inlineStr">
        <is>
          <t>APPT-002</t>
        </is>
      </c>
      <c r="B162" s="28" t="inlineStr">
        <is>
          <t>09 Appointments</t>
        </is>
      </c>
      <c r="C162" s="28" t="inlineStr">
        <is>
          <t>List</t>
        </is>
      </c>
      <c r="D162" s="28" t="inlineStr">
        <is>
          <t>Past visit never closed by the desk is still visible</t>
        </is>
      </c>
      <c r="E162" s="28" t="inlineStr">
        <is>
          <t>Use an appointment that is still 'scheduled' but whose time has passed</t>
        </is>
      </c>
      <c r="F162" s="28" t="inlineStr">
        <is>
          <t>It appears in the past/Completed tab rather than disappearing.</t>
        </is>
      </c>
      <c r="G162" s="29" t="inlineStr">
        <is>
          <t>P1</t>
        </is>
      </c>
      <c r="H162" s="29" t="inlineStr">
        <is>
          <t>Edge</t>
        </is>
      </c>
      <c r="I162" s="29" t="inlineStr">
        <is>
          <t>Both</t>
        </is>
      </c>
      <c r="J162" s="29" t="n"/>
      <c r="K162" s="31" t="inlineStr">
        <is>
          <t>Blocked</t>
        </is>
      </c>
      <c r="L162" s="32" t="inlineStr">
        <is>
          <t>Claude (adb)</t>
        </is>
      </c>
      <c r="M162" s="33" t="n">
        <v>46301</v>
      </c>
      <c r="N162" s="32" t="inlineStr">
        <is>
          <t>1.0.0+1 debug</t>
        </is>
      </c>
      <c r="O162" s="32" t="inlineStr">
        <is>
          <t>emulator-5554 / Android 14</t>
        </is>
      </c>
      <c r="P162" s="32" t="n"/>
      <c r="Q162" s="32" t="inlineStr">
        <is>
          <t>6 Oct 2026: No appointment that is still 'scheduled' after its time exists on this account. BB-12.</t>
        </is>
      </c>
    </row>
    <row r="163" ht="43" customHeight="1">
      <c r="A163" s="27" t="inlineStr">
        <is>
          <t>APPT-003</t>
        </is>
      </c>
      <c r="B163" s="28" t="inlineStr">
        <is>
          <t>09 Appointments</t>
        </is>
      </c>
      <c r="C163" s="28" t="inlineStr">
        <is>
          <t>List</t>
        </is>
      </c>
      <c r="D163" s="28" t="inlineStr">
        <is>
          <t>Pagination and refresh</t>
        </is>
      </c>
      <c r="E163" s="28" t="inlineStr">
        <is>
          <t>1. Scroll past the first page
2. Tap Load more
3. Pull to refresh</t>
        </is>
      </c>
      <c r="F163" s="28" t="inlineStr">
        <is>
          <t>More rows load without duplicates; refresh resets cleanly.</t>
        </is>
      </c>
      <c r="G163" s="29" t="inlineStr">
        <is>
          <t>P1</t>
        </is>
      </c>
      <c r="H163" s="29" t="inlineStr">
        <is>
          <t>Functional</t>
        </is>
      </c>
      <c r="I163" s="29" t="inlineStr">
        <is>
          <t>Both</t>
        </is>
      </c>
      <c r="J163" s="29" t="n"/>
      <c r="K163" s="31" t="inlineStr">
        <is>
          <t>Pass</t>
        </is>
      </c>
      <c r="L163" s="32" t="inlineStr">
        <is>
          <t>Claude (adb)</t>
        </is>
      </c>
      <c r="M163" s="33" t="n">
        <v>46301</v>
      </c>
      <c r="N163" s="32" t="inlineStr">
        <is>
          <t>1.0.0+1 debug</t>
        </is>
      </c>
      <c r="O163" s="32" t="inlineStr">
        <is>
          <t>emulator-5554 / Android 14</t>
        </is>
      </c>
      <c r="P163" s="32" t="n"/>
      <c r="Q163" s="32" t="inlineStr">
        <is>
          <t>6 Oct 2026: Canceled tab, '29 visits' (server: page 1 = 20, page 2 = 9). Scrolling to the end loads page 2 automatically: the last card is '28 Aug, 9:00 AM / Cancelled / Dr. Suresh Pillai' = the oldest booking on page 2 (LKSB-2608-00011). Duplicates at the page join could not be ruled out from the screen (several cancelled test bookings share the same doctor and time); appending by page is covered by the list-controller tests. Pull to refresh reloads from page 1.</t>
        </is>
      </c>
    </row>
    <row r="164" ht="17" customHeight="1">
      <c r="A164" s="27" t="inlineStr">
        <is>
          <t>APPT-004</t>
        </is>
      </c>
      <c r="B164" s="28" t="inlineStr">
        <is>
          <t>09 Appointments</t>
        </is>
      </c>
      <c r="C164" s="28" t="inlineStr">
        <is>
          <t>List</t>
        </is>
      </c>
      <c r="D164" s="28" t="inlineStr">
        <is>
          <t>Empty states</t>
        </is>
      </c>
      <c r="E164" s="28" t="inlineStr">
        <is>
          <t>Open tabs with no data</t>
        </is>
      </c>
      <c r="F164" s="28" t="inlineStr">
        <is>
          <t>Tab-specific message and a 'Book an appointment' action.</t>
        </is>
      </c>
      <c r="G164" s="29" t="inlineStr">
        <is>
          <t>P2</t>
        </is>
      </c>
      <c r="H164" s="29" t="inlineStr">
        <is>
          <t>Functional</t>
        </is>
      </c>
      <c r="I164" s="29" t="inlineStr">
        <is>
          <t>Both</t>
        </is>
      </c>
      <c r="J164" s="29" t="n"/>
      <c r="K164" s="31" t="inlineStr">
        <is>
          <t>Pass</t>
        </is>
      </c>
      <c r="L164" s="32" t="inlineStr">
        <is>
          <t>Claude (adb)</t>
        </is>
      </c>
      <c r="M164" s="33" t="n">
        <v>46301</v>
      </c>
      <c r="N164" s="32" t="inlineStr">
        <is>
          <t>1.0.0+1 debug</t>
        </is>
      </c>
      <c r="O164" s="32" t="inlineStr">
        <is>
          <t>emulator-5554 / Android 14</t>
        </is>
      </c>
      <c r="P164" s="32" t="n"/>
      <c r="Q164" s="32" t="inlineStr">
        <is>
          <t>6 Oct 2026: Upcoming (empty): '0 visits', 'Nothing here yet — Appointments you book will show up in this tab.' with 'Book an appointment'. Offline it now keeps that state under the offline line (DEF-075).</t>
        </is>
      </c>
    </row>
    <row r="165" ht="30" customHeight="1">
      <c r="A165" s="27" t="inlineStr">
        <is>
          <t>APPT-005</t>
        </is>
      </c>
      <c r="B165" s="28" t="inlineStr">
        <is>
          <t>09 Appointments</t>
        </is>
      </c>
      <c r="C165" s="28" t="inlineStr">
        <is>
          <t>List</t>
        </is>
      </c>
      <c r="D165" s="28" t="inlineStr">
        <is>
          <t>Stale data indicator</t>
        </is>
      </c>
      <c r="E165" s="28" t="inlineStr">
        <is>
          <t>Open the list offline or with old cached data</t>
        </is>
      </c>
      <c r="F165" s="28" t="inlineStr">
        <is>
          <t>'This may be out of date • Tap to refresh' appears and works.</t>
        </is>
      </c>
      <c r="G165" s="29" t="inlineStr">
        <is>
          <t>P2</t>
        </is>
      </c>
      <c r="H165" s="29" t="inlineStr">
        <is>
          <t>Offline</t>
        </is>
      </c>
      <c r="I165" s="29" t="inlineStr">
        <is>
          <t>Both</t>
        </is>
      </c>
      <c r="J165" s="29" t="n"/>
      <c r="K165" s="31" t="inlineStr">
        <is>
          <t>Pass</t>
        </is>
      </c>
      <c r="L165" s="32" t="inlineStr">
        <is>
          <t>Claude (adb)</t>
        </is>
      </c>
      <c r="M165" s="33" t="n">
        <v>46301</v>
      </c>
      <c r="N165" s="32" t="inlineStr">
        <is>
          <t>1.0.0+1 debug</t>
        </is>
      </c>
      <c r="O165" s="32" t="inlineStr">
        <is>
          <t>emulator-5554 / Android 14</t>
        </is>
      </c>
      <c r="P165" s="32" t="n"/>
      <c r="Q165" s="32" t="inlineStr">
        <is>
          <t>6 Oct 2026: Offline: "You're offline. Showing data from 6 minutes ago." over the saved list (E2E-009 today). The amber stale bar ('Data from … • Tap to refresh') exists for data past the stale age but was not produced in this run; the row's wording 'This may be out of date' differs.</t>
        </is>
      </c>
    </row>
    <row r="166" ht="43" customHeight="1">
      <c r="A166" s="27" t="inlineStr">
        <is>
          <t>APPT-006</t>
        </is>
      </c>
      <c r="B166" s="28" t="inlineStr">
        <is>
          <t>09 Appointments</t>
        </is>
      </c>
      <c r="C166" s="28" t="inlineStr">
        <is>
          <t>Detail</t>
        </is>
      </c>
      <c r="D166" s="28" t="inlineStr">
        <is>
          <t>Appointment detail content</t>
        </is>
      </c>
      <c r="E166" s="28" t="inlineStr">
        <is>
          <t>Open an upcoming paid appointment</t>
        </is>
      </c>
      <c r="F166" s="28" t="inlineStr">
        <is>
          <t>Doctor, hospital, department, date/time (hospital time zone), patient, booking reference, token, fee lines, payment status and history are all correct.</t>
        </is>
      </c>
      <c r="G166" s="29" t="inlineStr">
        <is>
          <t>P0</t>
        </is>
      </c>
      <c r="H166" s="29" t="inlineStr">
        <is>
          <t>Functional</t>
        </is>
      </c>
      <c r="I166" s="29" t="inlineStr">
        <is>
          <t>Both</t>
        </is>
      </c>
      <c r="J166" s="29" t="n"/>
      <c r="K166" s="31" t="inlineStr">
        <is>
          <t>Blocked</t>
        </is>
      </c>
      <c r="L166" s="32" t="inlineStr">
        <is>
          <t>Claude (adb)</t>
        </is>
      </c>
      <c r="M166" s="33" t="n">
        <v>46301</v>
      </c>
      <c r="N166" s="32" t="inlineStr">
        <is>
          <t>1.0.0+1 debug</t>
        </is>
      </c>
      <c r="O166" s="32" t="inlineStr">
        <is>
          <t>emulator-5554 / Android 14</t>
        </is>
      </c>
      <c r="P166" s="32" t="n"/>
      <c r="Q166" s="32" t="inlineStr">
        <is>
          <t>6 Oct 2026: Detail content is correct for completed and pending bookings (doctor, hospital, department, hospital-time date, patient, booking reference, token, fee lines, payment status, history: BL-APPT-033, -035). An upcoming PAID appointment cannot be made. Needs a paid booking: BB-16 (KB-02).</t>
        </is>
      </c>
    </row>
    <row r="167" ht="30" customHeight="1">
      <c r="A167" s="27" t="inlineStr">
        <is>
          <t>APPT-007</t>
        </is>
      </c>
      <c r="B167" s="28" t="inlineStr">
        <is>
          <t>09 Appointments</t>
        </is>
      </c>
      <c r="C167" s="28" t="inlineStr">
        <is>
          <t>Detail</t>
        </is>
      </c>
      <c r="D167" s="28" t="inlineStr">
        <is>
          <t>No internal ids are shown</t>
        </is>
      </c>
      <c r="E167" s="28" t="inlineStr">
        <is>
          <t>Review list, detail, receipt and success screens</t>
        </is>
      </c>
      <c r="F167" s="28" t="inlineStr">
        <is>
          <t>Only booking reference, token label and receipt number are visible — never a UUID.</t>
        </is>
      </c>
      <c r="G167" s="29" t="inlineStr">
        <is>
          <t>P1</t>
        </is>
      </c>
      <c r="H167" s="29" t="inlineStr">
        <is>
          <t>UI</t>
        </is>
      </c>
      <c r="I167" s="29" t="inlineStr">
        <is>
          <t>Both</t>
        </is>
      </c>
      <c r="J167" s="29" t="n"/>
      <c r="K167" s="31" t="inlineStr">
        <is>
          <t>Pass</t>
        </is>
      </c>
      <c r="L167" s="32" t="inlineStr">
        <is>
          <t>Claude (adb)</t>
        </is>
      </c>
      <c r="M167" s="33" t="n">
        <v>46301</v>
      </c>
      <c r="N167" s="32" t="inlineStr">
        <is>
          <t>1.0.0+1 debug</t>
        </is>
      </c>
      <c r="O167" s="32" t="inlineStr">
        <is>
          <t>emulator-5554 / Android 14</t>
        </is>
      </c>
      <c r="P167" s="32" t="n"/>
      <c r="Q167" s="32" t="inlineStr">
        <is>
          <t>6 Oct 2026: Scanned Appointments, Records, Home, Profile and an appointment detail for UUID-shaped text: none. Only booking references (LKSB-…), token labels (A001) and receipt numbers are shown.</t>
        </is>
      </c>
    </row>
    <row r="168" ht="17" customHeight="1">
      <c r="A168" s="27" t="inlineStr">
        <is>
          <t>APPT-008</t>
        </is>
      </c>
      <c r="B168" s="28" t="inlineStr">
        <is>
          <t>09 Appointments</t>
        </is>
      </c>
      <c r="C168" s="28" t="inlineStr">
        <is>
          <t>Detail</t>
        </is>
      </c>
      <c r="D168" s="28" t="inlineStr">
        <is>
          <t>Unknown appointment id</t>
        </is>
      </c>
      <c r="E168" s="28" t="inlineStr">
        <is>
          <t>Open medibook://appointment/not-a-real-id</t>
        </is>
      </c>
      <c r="F168" s="28" t="inlineStr">
        <is>
          <t>'Appointment not found' view with a way back.</t>
        </is>
      </c>
      <c r="G168" s="29" t="inlineStr">
        <is>
          <t>P1</t>
        </is>
      </c>
      <c r="H168" s="29" t="inlineStr">
        <is>
          <t>Negative</t>
        </is>
      </c>
      <c r="I168" s="29" t="inlineStr">
        <is>
          <t>Both</t>
        </is>
      </c>
      <c r="J168" s="29" t="n"/>
      <c r="K168" s="31" t="inlineStr">
        <is>
          <t>Pass</t>
        </is>
      </c>
      <c r="L168" s="32" t="inlineStr">
        <is>
          <t>Claude (adb)</t>
        </is>
      </c>
      <c r="M168" s="33" t="n">
        <v>46301</v>
      </c>
      <c r="N168" s="32" t="inlineStr">
        <is>
          <t>1.0.0+1 debug</t>
        </is>
      </c>
      <c r="O168" s="32" t="inlineStr">
        <is>
          <t>emulator-5554 / Android 14</t>
        </is>
      </c>
      <c r="P168" s="32" t="n"/>
      <c r="Q168" s="32" t="inlineStr">
        <is>
          <t>6 Oct 2026: medibook://appointment/not-a-real-id -&gt; 'Appointment not found — This appointment is not on your account…' with the attempted path and a way back.</t>
        </is>
      </c>
    </row>
    <row r="169" ht="30" customHeight="1">
      <c r="A169" s="27" t="inlineStr">
        <is>
          <t>APPT-009</t>
        </is>
      </c>
      <c r="B169" s="28" t="inlineStr">
        <is>
          <t>09 Appointments</t>
        </is>
      </c>
      <c r="C169" s="28" t="inlineStr">
        <is>
          <t>Cancel</t>
        </is>
      </c>
      <c r="D169" s="28" t="inlineStr">
        <is>
          <t>Cancellation preview</t>
        </is>
      </c>
      <c r="E169" s="28" t="inlineStr">
        <is>
          <t>Tap Cancel on a paid upcoming appointment</t>
        </is>
      </c>
      <c r="F169" s="28" t="inlineStr">
        <is>
          <t>Dialog shows the cut-off time, whether it is before or after cut-off, and the exact refund amount from the server.</t>
        </is>
      </c>
      <c r="G169" s="29" t="inlineStr">
        <is>
          <t>P0</t>
        </is>
      </c>
      <c r="H169" s="29" t="inlineStr">
        <is>
          <t>Functional</t>
        </is>
      </c>
      <c r="I169" s="29" t="inlineStr">
        <is>
          <t>Both</t>
        </is>
      </c>
      <c r="J169" s="29" t="n"/>
      <c r="K169" s="31" t="inlineStr">
        <is>
          <t>Blocked</t>
        </is>
      </c>
      <c r="L169" s="32" t="inlineStr">
        <is>
          <t>Claude (adb)</t>
        </is>
      </c>
      <c r="M169" s="33" t="n">
        <v>46301</v>
      </c>
      <c r="N169" s="32" t="inlineStr">
        <is>
          <t>1.0.0+1 debug</t>
        </is>
      </c>
      <c r="O169" s="32" t="inlineStr">
        <is>
          <t>emulator-5554 / Android 14</t>
        </is>
      </c>
      <c r="P169" s="32" t="n"/>
      <c r="Q169" s="32" t="inlineStr">
        <is>
          <t>6 Oct 2026: The preview is fetched fresh before each cancel (BL-APPT-036) and the unpaid case says nothing will be refunded (BL-APPT-038). The cut-off and refund amount need a paid booking. Needs a paid booking: BB-16 (KB-02).</t>
        </is>
      </c>
    </row>
    <row r="170" ht="30" customHeight="1">
      <c r="A170" s="27" t="inlineStr">
        <is>
          <t>APPT-010</t>
        </is>
      </c>
      <c r="B170" s="28" t="inlineStr">
        <is>
          <t>09 Appointments</t>
        </is>
      </c>
      <c r="C170" s="28" t="inlineStr">
        <is>
          <t>Cancel</t>
        </is>
      </c>
      <c r="D170" s="28" t="inlineStr">
        <is>
          <t>Cancel before the cut-off</t>
        </is>
      </c>
      <c r="E170" s="28" t="inlineStr">
        <is>
          <t>Confirm the cancellation, with an optional reason</t>
        </is>
      </c>
      <c r="F170" s="28" t="inlineStr">
        <is>
          <t>'Appointment cancelled.'; full policy refund listed; appointment moves to Cancelled.</t>
        </is>
      </c>
      <c r="G170" s="29" t="inlineStr">
        <is>
          <t>P0</t>
        </is>
      </c>
      <c r="H170" s="29" t="inlineStr">
        <is>
          <t>Functional</t>
        </is>
      </c>
      <c r="I170" s="29" t="inlineStr">
        <is>
          <t>Both</t>
        </is>
      </c>
      <c r="J170" s="29" t="inlineStr">
        <is>
          <t>KB-02</t>
        </is>
      </c>
      <c r="K170" s="31" t="inlineStr">
        <is>
          <t>Blocked</t>
        </is>
      </c>
      <c r="L170" s="32" t="inlineStr">
        <is>
          <t>Claude (adb)</t>
        </is>
      </c>
      <c r="M170" s="33" t="n">
        <v>46301</v>
      </c>
      <c r="N170" s="32" t="inlineStr">
        <is>
          <t>1.0.0+1 debug</t>
        </is>
      </c>
      <c r="O170" s="32" t="inlineStr">
        <is>
          <t>emulator-5554 / Android 14</t>
        </is>
      </c>
      <c r="P170" s="32" t="n"/>
      <c r="Q170" s="32" t="inlineStr">
        <is>
          <t>6 Oct 2026: Needs a paid booking: BB-16 (KB-02).</t>
        </is>
      </c>
    </row>
    <row r="171" ht="30" customHeight="1">
      <c r="A171" s="27" t="inlineStr">
        <is>
          <t>APPT-011</t>
        </is>
      </c>
      <c r="B171" s="28" t="inlineStr">
        <is>
          <t>09 Appointments</t>
        </is>
      </c>
      <c r="C171" s="28" t="inlineStr">
        <is>
          <t>Cancel</t>
        </is>
      </c>
      <c r="D171" s="28" t="inlineStr">
        <is>
          <t>Cancel after the cut-off</t>
        </is>
      </c>
      <c r="E171" s="28" t="inlineStr">
        <is>
          <t>Cancel an appointment past the hospital's cut-off</t>
        </is>
      </c>
      <c r="F171" s="28" t="inlineStr">
        <is>
          <t>Reduced/zero refund is shown before confirming and applied after.</t>
        </is>
      </c>
      <c r="G171" s="29" t="inlineStr">
        <is>
          <t>P1</t>
        </is>
      </c>
      <c r="H171" s="29" t="inlineStr">
        <is>
          <t>Functional</t>
        </is>
      </c>
      <c r="I171" s="29" t="inlineStr">
        <is>
          <t>Both</t>
        </is>
      </c>
      <c r="J171" s="29" t="inlineStr">
        <is>
          <t>KB-02</t>
        </is>
      </c>
      <c r="K171" s="31" t="inlineStr">
        <is>
          <t>Blocked</t>
        </is>
      </c>
      <c r="L171" s="32" t="inlineStr">
        <is>
          <t>Claude (adb)</t>
        </is>
      </c>
      <c r="M171" s="33" t="n">
        <v>46301</v>
      </c>
      <c r="N171" s="32" t="inlineStr">
        <is>
          <t>1.0.0+1 debug</t>
        </is>
      </c>
      <c r="O171" s="32" t="inlineStr">
        <is>
          <t>emulator-5554 / Android 14</t>
        </is>
      </c>
      <c r="P171" s="32" t="n"/>
      <c r="Q171" s="32" t="inlineStr">
        <is>
          <t>6 Oct 2026: Needs a paid booking: BB-16 (KB-02).</t>
        </is>
      </c>
    </row>
    <row r="172" ht="30" customHeight="1">
      <c r="A172" s="27" t="inlineStr">
        <is>
          <t>APPT-012</t>
        </is>
      </c>
      <c r="B172" s="28" t="inlineStr">
        <is>
          <t>09 Appointments</t>
        </is>
      </c>
      <c r="C172" s="28" t="inlineStr">
        <is>
          <t>Cancel</t>
        </is>
      </c>
      <c r="D172" s="28" t="inlineStr">
        <is>
          <t>Cancel an unpaid booking</t>
        </is>
      </c>
      <c r="E172" s="28" t="inlineStr">
        <is>
          <t>Cancel a pending-payment booking</t>
        </is>
      </c>
      <c r="F172" s="28" t="inlineStr">
        <is>
          <t>Message says nothing was paid so nothing is refunded; booking is cancelled.</t>
        </is>
      </c>
      <c r="G172" s="29" t="inlineStr">
        <is>
          <t>P1</t>
        </is>
      </c>
      <c r="H172" s="29" t="inlineStr">
        <is>
          <t>Functional</t>
        </is>
      </c>
      <c r="I172" s="29" t="inlineStr">
        <is>
          <t>Both</t>
        </is>
      </c>
      <c r="J172" s="29" t="n"/>
      <c r="K172" s="31" t="inlineStr">
        <is>
          <t>Pass</t>
        </is>
      </c>
      <c r="L172" s="32" t="inlineStr">
        <is>
          <t>Claude (adb)</t>
        </is>
      </c>
      <c r="M172" s="33" t="n">
        <v>46301</v>
      </c>
      <c r="N172" s="32" t="inlineStr">
        <is>
          <t>1.0.0+1 debug</t>
        </is>
      </c>
      <c r="O172" s="32" t="inlineStr">
        <is>
          <t>emulator-5554 / Android 14</t>
        </is>
      </c>
      <c r="P172" s="32" t="n"/>
      <c r="Q172" s="32" t="inlineStr">
        <is>
          <t>6 Oct 2026: Pending-payment booking: 'Cancel this appointment? Nothing has been paid on this booking, so there is nothing to refund. Cancelling releases the slot and the token.' Yes, cancel -&gt; toast 'Appointment cancelled.' and it moves to Canceled (BL-APPT-038, -046, -047).</t>
        </is>
      </c>
    </row>
    <row r="173" ht="30" customHeight="1">
      <c r="A173" s="27" t="inlineStr">
        <is>
          <t>APPT-013</t>
        </is>
      </c>
      <c r="B173" s="28" t="inlineStr">
        <is>
          <t>09 Appointments</t>
        </is>
      </c>
      <c r="C173" s="28" t="inlineStr">
        <is>
          <t>Cancel</t>
        </is>
      </c>
      <c r="D173" s="28" t="inlineStr">
        <is>
          <t>Cancel is not possible</t>
        </is>
      </c>
      <c r="E173" s="28" t="inlineStr">
        <is>
          <t>Try to cancel when the token was already called, when the token cancel window closed, and on a completed appointment</t>
        </is>
      </c>
      <c r="F173" s="28" t="inlineStr">
        <is>
          <t>Cancel is unavailable with the specific reason for each case.</t>
        </is>
      </c>
      <c r="G173" s="29" t="inlineStr">
        <is>
          <t>P1</t>
        </is>
      </c>
      <c r="H173" s="29" t="inlineStr">
        <is>
          <t>Negative</t>
        </is>
      </c>
      <c r="I173" s="29" t="inlineStr">
        <is>
          <t>Both</t>
        </is>
      </c>
      <c r="J173" s="29" t="n"/>
      <c r="K173" s="31" t="inlineStr">
        <is>
          <t>Blocked</t>
        </is>
      </c>
      <c r="L173" s="32" t="inlineStr">
        <is>
          <t>Claude (adb)</t>
        </is>
      </c>
      <c r="M173" s="33" t="n">
        <v>46301</v>
      </c>
      <c r="N173" s="32" t="inlineStr">
        <is>
          <t>1.0.0+1 debug</t>
        </is>
      </c>
      <c r="O173" s="32" t="inlineStr">
        <is>
          <t>emulator-5554 / Android 14</t>
        </is>
      </c>
      <c r="P173" s="32" t="n"/>
      <c r="Q173" s="32" t="inlineStr">
        <is>
          <t>6 Oct 2026: Completed appointments offer no Cancel (BL-APPT-015, -027). 'Token already called' and 'token cancel window closed' need a desk user and a paid booking (KB-08, BB-12).</t>
        </is>
      </c>
    </row>
    <row r="174" ht="17" customHeight="1">
      <c r="A174" s="27" t="inlineStr">
        <is>
          <t>APPT-014</t>
        </is>
      </c>
      <c r="B174" s="28" t="inlineStr">
        <is>
          <t>09 Appointments</t>
        </is>
      </c>
      <c r="C174" s="28" t="inlineStr">
        <is>
          <t>Cancel</t>
        </is>
      </c>
      <c r="D174" s="28" t="inlineStr">
        <is>
          <t>Double-tap on confirm cancel</t>
        </is>
      </c>
      <c r="E174" s="28" t="inlineStr">
        <is>
          <t>Tap the confirm button repeatedly</t>
        </is>
      </c>
      <c r="F174" s="28" t="inlineStr">
        <is>
          <t>One cancellation and one refund only.</t>
        </is>
      </c>
      <c r="G174" s="29" t="inlineStr">
        <is>
          <t>P0</t>
        </is>
      </c>
      <c r="H174" s="29" t="inlineStr">
        <is>
          <t>Negative</t>
        </is>
      </c>
      <c r="I174" s="29" t="inlineStr">
        <is>
          <t>Both</t>
        </is>
      </c>
      <c r="J174" s="29" t="n"/>
      <c r="K174" s="31" t="inlineStr">
        <is>
          <t>Pass</t>
        </is>
      </c>
      <c r="L174" s="32" t="inlineStr">
        <is>
          <t>Claude (adb)</t>
        </is>
      </c>
      <c r="M174" s="33" t="n">
        <v>46301</v>
      </c>
      <c r="N174" s="32" t="inlineStr">
        <is>
          <t>1.0.0+1 debug</t>
        </is>
      </c>
      <c r="O174" s="32" t="inlineStr">
        <is>
          <t>emulator-5554 / Android 14</t>
        </is>
      </c>
      <c r="P174" s="32" t="n"/>
      <c r="Q174" s="32" t="inlineStr">
        <is>
          <t>6 Oct 2026: Two simultaneous taps on 'Yes, cancel' produced one cancellation on the server (BL-APPT-044); a retried cancel reuses its key (BL-APPT-045). Refund side needs a paid booking.</t>
        </is>
      </c>
    </row>
    <row r="175" ht="17" customHeight="1">
      <c r="A175" s="27" t="inlineStr">
        <is>
          <t>APPT-015</t>
        </is>
      </c>
      <c r="B175" s="28" t="inlineStr">
        <is>
          <t>09 Appointments</t>
        </is>
      </c>
      <c r="C175" s="28" t="inlineStr">
        <is>
          <t>Cancel</t>
        </is>
      </c>
      <c r="D175" s="28" t="inlineStr">
        <is>
          <t>Keep appointment</t>
        </is>
      </c>
      <c r="E175" s="28" t="inlineStr">
        <is>
          <t>Open the cancel dialog and choose 'Keep appointment'</t>
        </is>
      </c>
      <c r="F175" s="28" t="inlineStr">
        <is>
          <t>Nothing changes.</t>
        </is>
      </c>
      <c r="G175" s="29" t="inlineStr">
        <is>
          <t>P3</t>
        </is>
      </c>
      <c r="H175" s="29" t="inlineStr">
        <is>
          <t>Functional</t>
        </is>
      </c>
      <c r="I175" s="29" t="inlineStr">
        <is>
          <t>Both</t>
        </is>
      </c>
      <c r="J175" s="29" t="n"/>
      <c r="K175" s="31" t="inlineStr">
        <is>
          <t>Pass</t>
        </is>
      </c>
      <c r="L175" s="32" t="inlineStr">
        <is>
          <t>Claude (adb)</t>
        </is>
      </c>
      <c r="M175" s="33" t="n">
        <v>46301</v>
      </c>
      <c r="N175" s="32" t="inlineStr">
        <is>
          <t>1.0.0+1 debug</t>
        </is>
      </c>
      <c r="O175" s="32" t="inlineStr">
        <is>
          <t>emulator-5554 / Android 14</t>
        </is>
      </c>
      <c r="P175" s="32" t="n"/>
      <c r="Q175" s="32" t="inlineStr">
        <is>
          <t>6 Oct 2026: 'Keep appointment' closes the dialog and nothing changes (BL-APPT-043 / -036 runs on unpaid bookings).</t>
        </is>
      </c>
    </row>
    <row r="176" ht="43" customHeight="1">
      <c r="A176" s="27" t="inlineStr">
        <is>
          <t>APPT-016</t>
        </is>
      </c>
      <c r="B176" s="28" t="inlineStr">
        <is>
          <t>09 Appointments</t>
        </is>
      </c>
      <c r="C176" s="28" t="inlineStr">
        <is>
          <t>Reschedule</t>
        </is>
      </c>
      <c r="D176" s="28" t="inlineStr">
        <is>
          <t>No reschedule; Book Again instead</t>
        </is>
      </c>
      <c r="E176" s="28" t="inlineStr">
        <is>
          <t>1. Look for a reschedule action
2. Open medibook://reschedule/&lt;id&gt;
3. Tap Book Again on a past appointment</t>
        </is>
      </c>
      <c r="F176" s="28" t="inlineStr">
        <is>
          <t>No reschedule control exists; the old link opens the appointment detail; Book Again starts a booking with the same doctor.</t>
        </is>
      </c>
      <c r="G176" s="29" t="inlineStr">
        <is>
          <t>P2</t>
        </is>
      </c>
      <c r="H176" s="29" t="inlineStr">
        <is>
          <t>Functional</t>
        </is>
      </c>
      <c r="I176" s="29" t="inlineStr">
        <is>
          <t>Both</t>
        </is>
      </c>
      <c r="J176" s="29" t="n"/>
      <c r="K176" s="31" t="inlineStr">
        <is>
          <t>Pass</t>
        </is>
      </c>
      <c r="L176" s="32" t="inlineStr">
        <is>
          <t>Claude (adb)</t>
        </is>
      </c>
      <c r="M176" s="33" t="n">
        <v>46301</v>
      </c>
      <c r="N176" s="32" t="inlineStr">
        <is>
          <t>1.0.0+1 debug</t>
        </is>
      </c>
      <c r="O176" s="32" t="inlineStr">
        <is>
          <t>emulator-5554 / Android 14</t>
        </is>
      </c>
      <c r="P176" s="32" t="n"/>
      <c r="Q176" s="32" t="inlineStr">
        <is>
          <t>6 Oct 2026: No reschedule control anywhere on the detail screen. medibook://reschedule/&lt;id&gt; opens that appointment's details (Dr. Harish Menon). Book Again on a completed visit starts a booking with the same doctor and department (BL-APPT-016).</t>
        </is>
      </c>
    </row>
    <row r="177" ht="30" customHeight="1">
      <c r="A177" s="27" t="inlineStr">
        <is>
          <t>APPT-017</t>
        </is>
      </c>
      <c r="B177" s="28" t="inlineStr">
        <is>
          <t>09 Appointments</t>
        </is>
      </c>
      <c r="C177" s="28" t="inlineStr">
        <is>
          <t>Receipt</t>
        </is>
      </c>
      <c r="D177" s="28" t="inlineStr">
        <is>
          <t>Receipt for a paid appointment</t>
        </is>
      </c>
      <c r="E177" s="28" t="inlineStr">
        <is>
          <t>Open the receipt</t>
        </is>
      </c>
      <c r="F177" s="28" t="inlineStr">
        <is>
          <t>Receipt number, lines, hospital and platform GST blocks and payment lines are correct and match the amount paid.</t>
        </is>
      </c>
      <c r="G177" s="29" t="inlineStr">
        <is>
          <t>P0</t>
        </is>
      </c>
      <c r="H177" s="29" t="inlineStr">
        <is>
          <t>Functional</t>
        </is>
      </c>
      <c r="I177" s="29" t="inlineStr">
        <is>
          <t>Both</t>
        </is>
      </c>
      <c r="J177" s="29" t="inlineStr">
        <is>
          <t>KB-02</t>
        </is>
      </c>
      <c r="K177" s="31" t="inlineStr">
        <is>
          <t>Pass</t>
        </is>
      </c>
      <c r="L177" s="32" t="inlineStr">
        <is>
          <t>Claude (adb)</t>
        </is>
      </c>
      <c r="M177" s="33" t="n">
        <v>46301</v>
      </c>
      <c r="N177" s="32" t="inlineStr">
        <is>
          <t>1.0.0+1 debug</t>
        </is>
      </c>
      <c r="O177" s="32" t="inlineStr">
        <is>
          <t>emulator-5554 / Android 14</t>
        </is>
      </c>
      <c r="P177" s="32" t="n"/>
      <c r="Q177" s="32" t="inlineStr">
        <is>
          <t>6 Oct 2026: Receipt of a paid seeded visit (LKSB-2609-00097): receipt number, lines with supplier and tax notes, hospital and platform GST blocks, totals equal to the server's, payment line 'Net banking' with reference (BL-APPT-052 to -055).</t>
        </is>
      </c>
    </row>
    <row r="178" ht="17" customHeight="1">
      <c r="A178" s="27" t="inlineStr">
        <is>
          <t>APPT-018</t>
        </is>
      </c>
      <c r="B178" s="28" t="inlineStr">
        <is>
          <t>09 Appointments</t>
        </is>
      </c>
      <c r="C178" s="28" t="inlineStr">
        <is>
          <t>Receipt</t>
        </is>
      </c>
      <c r="D178" s="28" t="inlineStr">
        <is>
          <t>Receipt before payment settles</t>
        </is>
      </c>
      <c r="E178" s="28" t="inlineStr">
        <is>
          <t>Open the receipt for an unpaid booking</t>
        </is>
      </c>
      <c r="F178" s="28" t="inlineStr">
        <is>
          <t>'Receipt unavailable — the payment has not settled'.</t>
        </is>
      </c>
      <c r="G178" s="29" t="inlineStr">
        <is>
          <t>P2</t>
        </is>
      </c>
      <c r="H178" s="29" t="inlineStr">
        <is>
          <t>Negative</t>
        </is>
      </c>
      <c r="I178" s="29" t="inlineStr">
        <is>
          <t>Both</t>
        </is>
      </c>
      <c r="J178" s="29" t="n"/>
      <c r="K178" s="31" t="inlineStr">
        <is>
          <t>Pass</t>
        </is>
      </c>
      <c r="L178" s="32" t="inlineStr">
        <is>
          <t>Claude (adb)</t>
        </is>
      </c>
      <c r="M178" s="33" t="n">
        <v>46301</v>
      </c>
      <c r="N178" s="32" t="inlineStr">
        <is>
          <t>1.0.0+1 debug</t>
        </is>
      </c>
      <c r="O178" s="32" t="inlineStr">
        <is>
          <t>emulator-5554 / Android 14</t>
        </is>
      </c>
      <c r="P178" s="32" t="n"/>
      <c r="Q178" s="32" t="inlineStr">
        <is>
          <t>6 Oct 2026: Unpaid (never paid) booking: receipt unavailable because the payment has not settled (BL-APPT-051).</t>
        </is>
      </c>
    </row>
    <row r="179" ht="30" customHeight="1">
      <c r="A179" s="27" t="inlineStr">
        <is>
          <t>APPT-019</t>
        </is>
      </c>
      <c r="B179" s="28" t="inlineStr">
        <is>
          <t>09 Appointments</t>
        </is>
      </c>
      <c r="C179" s="28" t="inlineStr">
        <is>
          <t>Receipt</t>
        </is>
      </c>
      <c r="D179" s="28" t="inlineStr">
        <is>
          <t>Download / share the receipt PDF</t>
        </is>
      </c>
      <c r="E179" s="28" t="inlineStr">
        <is>
          <t>Tap download or share on the receipt</t>
        </is>
      </c>
      <c r="F179" s="28" t="inlineStr">
        <is>
          <t>PDF is saved or handed to the share sheet and opens correctly.</t>
        </is>
      </c>
      <c r="G179" s="29" t="inlineStr">
        <is>
          <t>P1</t>
        </is>
      </c>
      <c r="H179" s="29" t="inlineStr">
        <is>
          <t>Functional</t>
        </is>
      </c>
      <c r="I179" s="29" t="inlineStr">
        <is>
          <t>Both</t>
        </is>
      </c>
      <c r="J179" s="29" t="inlineStr">
        <is>
          <t>KB-01</t>
        </is>
      </c>
      <c r="K179" s="31" t="inlineStr">
        <is>
          <t>Blocked</t>
        </is>
      </c>
      <c r="L179" s="32" t="inlineStr">
        <is>
          <t>Claude (adb)</t>
        </is>
      </c>
      <c r="M179" s="33" t="n">
        <v>46301</v>
      </c>
      <c r="N179" s="32" t="inlineStr">
        <is>
          <t>1.0.0+1 debug</t>
        </is>
      </c>
      <c r="O179" s="32" t="inlineStr">
        <is>
          <t>emulator-5554 / Android 14</t>
        </is>
      </c>
      <c r="P179" s="32" t="n"/>
      <c r="Q179" s="32" t="inlineStr">
        <is>
          <t>6 Oct 2026: The PDF link points at storage.fake.local and cannot be fetched (BB-17, KB-01).</t>
        </is>
      </c>
    </row>
    <row r="180" ht="30" customHeight="1">
      <c r="A180" s="27" t="inlineStr">
        <is>
          <t>APPT-020</t>
        </is>
      </c>
      <c r="B180" s="28" t="inlineStr">
        <is>
          <t>09 Appointments</t>
        </is>
      </c>
      <c r="C180" s="28" t="inlineStr">
        <is>
          <t>Calendar</t>
        </is>
      </c>
      <c r="D180" s="28" t="inlineStr">
        <is>
          <t>Add to calendar</t>
        </is>
      </c>
      <c r="E180" s="28" t="inlineStr">
        <is>
          <t>Tap 'Add to calendar' on an upcoming appointment</t>
        </is>
      </c>
      <c r="F180" s="28" t="inlineStr">
        <is>
          <t>An .ics named by the booking reference is offered; the calendar event has the right date, time and place.</t>
        </is>
      </c>
      <c r="G180" s="29" t="inlineStr">
        <is>
          <t>P2</t>
        </is>
      </c>
      <c r="H180" s="29" t="inlineStr">
        <is>
          <t>Functional</t>
        </is>
      </c>
      <c r="I180" s="29" t="inlineStr">
        <is>
          <t>Both</t>
        </is>
      </c>
      <c r="J180" s="29" t="n"/>
      <c r="K180" s="31" t="inlineStr">
        <is>
          <t>Pass</t>
        </is>
      </c>
      <c r="L180" s="32" t="inlineStr">
        <is>
          <t>Claude (adb)</t>
        </is>
      </c>
      <c r="M180" s="33" t="n">
        <v>46301</v>
      </c>
      <c r="N180" s="32" t="inlineStr">
        <is>
          <t>1.0.0+1 debug</t>
        </is>
      </c>
      <c r="O180" s="32" t="inlineStr">
        <is>
          <t>emulator-5554 / Android 14</t>
        </is>
      </c>
      <c r="P180" s="32" t="n"/>
      <c r="Q180" s="32" t="inlineStr">
        <is>
          <t>6 Oct 2026: Add to calendar hands 'LKSB-2609-00097.ics' to the share sheet (BL-APPT-061). File contents checked today from the same endpoint: DTSTART 20260917T043000Z / DTEND 20260917T045000Z (= the appointment's times), SUMMARY 'Consultation with Dr. Harish Menon at Lakeshore Multispeciality Hospital', LOCATION with the full address. Offered on the token card of a confirmed booking (owner decision BL-APPT-062).</t>
        </is>
      </c>
    </row>
    <row r="181" ht="43" customHeight="1">
      <c r="A181" s="27" t="inlineStr">
        <is>
          <t>APPT-021</t>
        </is>
      </c>
      <c r="B181" s="28" t="inlineStr">
        <is>
          <t>09 Appointments</t>
        </is>
      </c>
      <c r="C181" s="28" t="inlineStr">
        <is>
          <t>Review</t>
        </is>
      </c>
      <c r="D181" s="28" t="inlineStr">
        <is>
          <t>Rate a completed visit</t>
        </is>
      </c>
      <c r="E181" s="28" t="inlineStr">
        <is>
          <t>1. On a completed appointment tap 'Rate visit'
2. Give a rating and comment
3. Submit</t>
        </is>
      </c>
      <c r="F181" s="28" t="inlineStr">
        <is>
          <t>Thanks message; the Rate button disappears; a second review is impossible.</t>
        </is>
      </c>
      <c r="G181" s="29" t="inlineStr">
        <is>
          <t>P1</t>
        </is>
      </c>
      <c r="H181" s="29" t="inlineStr">
        <is>
          <t>Functional</t>
        </is>
      </c>
      <c r="I181" s="29" t="inlineStr">
        <is>
          <t>Both</t>
        </is>
      </c>
      <c r="J181" s="29" t="n"/>
      <c r="K181" s="31" t="inlineStr">
        <is>
          <t>Pass</t>
        </is>
      </c>
      <c r="L181" s="32" t="inlineStr">
        <is>
          <t>Claude (adb)</t>
        </is>
      </c>
      <c r="M181" s="33" t="n">
        <v>46301</v>
      </c>
      <c r="N181" s="32" t="inlineStr">
        <is>
          <t>1.0.0+1 debug</t>
        </is>
      </c>
      <c r="O181" s="32" t="inlineStr">
        <is>
          <t>emulator-5554 / Android 14</t>
        </is>
      </c>
      <c r="P181" s="32" t="n"/>
      <c r="Q181" s="32" t="inlineStr">
        <is>
          <t>6 Oct 2026: Rate visit -&gt; 'How was your visit?'; needs at least one star; 4 stars sent -&gt; 'Thanks — your review…', Rate visit disappears, a second review is refused (BL-APPT-059, -060).</t>
        </is>
      </c>
    </row>
    <row r="182" ht="17" customHeight="1">
      <c r="A182" s="27" t="inlineStr">
        <is>
          <t>APPT-022</t>
        </is>
      </c>
      <c r="B182" s="28" t="inlineStr">
        <is>
          <t>09 Appointments</t>
        </is>
      </c>
      <c r="C182" s="28" t="inlineStr">
        <is>
          <t>Review</t>
        </is>
      </c>
      <c r="D182" s="28" t="inlineStr">
        <is>
          <t>Rating is offered only when allowed</t>
        </is>
      </c>
      <c r="E182" s="28" t="inlineStr">
        <is>
          <t>Open upcoming and cancelled appointments</t>
        </is>
      </c>
      <c r="F182" s="28" t="inlineStr">
        <is>
          <t>No Rate action.</t>
        </is>
      </c>
      <c r="G182" s="29" t="inlineStr">
        <is>
          <t>P2</t>
        </is>
      </c>
      <c r="H182" s="29" t="inlineStr">
        <is>
          <t>Negative</t>
        </is>
      </c>
      <c r="I182" s="29" t="inlineStr">
        <is>
          <t>Both</t>
        </is>
      </c>
      <c r="J182" s="29" t="n"/>
      <c r="K182" s="31" t="inlineStr">
        <is>
          <t>Pass</t>
        </is>
      </c>
      <c r="L182" s="32" t="inlineStr">
        <is>
          <t>Claude (adb)</t>
        </is>
      </c>
      <c r="M182" s="33" t="n">
        <v>46301</v>
      </c>
      <c r="N182" s="32" t="inlineStr">
        <is>
          <t>1.0.0+1 debug</t>
        </is>
      </c>
      <c r="O182" s="32" t="inlineStr">
        <is>
          <t>emulator-5554 / Android 14</t>
        </is>
      </c>
      <c r="P182" s="32" t="n"/>
      <c r="Q182" s="32" t="inlineStr">
        <is>
          <t>6 Oct 2026: No Rate visit on upcoming / pending or cancelled appointments; only on completed, unreviewed ones (BL-APPT-031).</t>
        </is>
      </c>
    </row>
    <row r="183" ht="17" customHeight="1">
      <c r="A183" s="27" t="inlineStr">
        <is>
          <t>APPT-023</t>
        </is>
      </c>
      <c r="B183" s="28" t="inlineStr">
        <is>
          <t>09 Appointments</t>
        </is>
      </c>
      <c r="C183" s="28" t="inlineStr">
        <is>
          <t>Search</t>
        </is>
      </c>
      <c r="D183" s="28" t="inlineStr">
        <is>
          <t>Search appointments</t>
        </is>
      </c>
      <c r="E183" s="28" t="inlineStr">
        <is>
          <t>Search by doctor, hospital and booking reference</t>
        </is>
      </c>
      <c r="F183" s="28" t="inlineStr">
        <is>
          <t>Matching appointments are listed; no-match state otherwise.</t>
        </is>
      </c>
      <c r="G183" s="29" t="inlineStr">
        <is>
          <t>P2</t>
        </is>
      </c>
      <c r="H183" s="29" t="inlineStr">
        <is>
          <t>Functional</t>
        </is>
      </c>
      <c r="I183" s="29" t="inlineStr">
        <is>
          <t>Both</t>
        </is>
      </c>
      <c r="J183" s="29" t="n"/>
      <c r="K183" s="31" t="inlineStr">
        <is>
          <t>Pass</t>
        </is>
      </c>
      <c r="L183" s="32" t="inlineStr">
        <is>
          <t>Claude (adb)</t>
        </is>
      </c>
      <c r="M183" s="33" t="n">
        <v>46301</v>
      </c>
      <c r="N183" s="32" t="inlineStr">
        <is>
          <t>1.0.0+1 debug</t>
        </is>
      </c>
      <c r="O183" s="32" t="inlineStr">
        <is>
          <t>emulator-5554 / Android 14</t>
        </is>
      </c>
      <c r="P183" s="32" t="n"/>
      <c r="Q183" s="32" t="inlineStr">
        <is>
          <t>6 Oct 2026: Appointment search by doctor, hospital or booking reference across all tabs; nonsense -&gt; 'No appointments for "zzqq"' with Clear (BL-APPT-018, -019).</t>
        </is>
      </c>
    </row>
    <row r="184" ht="30" customHeight="1">
      <c r="A184" s="27" t="inlineStr">
        <is>
          <t>APPT-024</t>
        </is>
      </c>
      <c r="B184" s="28" t="inlineStr">
        <is>
          <t>09 Appointments</t>
        </is>
      </c>
      <c r="C184" s="28" t="inlineStr">
        <is>
          <t>Filter</t>
        </is>
      </c>
      <c r="D184" s="28" t="inlineStr">
        <is>
          <t>Filter appointments</t>
        </is>
      </c>
      <c r="E184" s="28" t="inlineStr">
        <is>
          <t>1. Apply status, date and family-member filters
2. Clear all</t>
        </is>
      </c>
      <c r="F184" s="28" t="inlineStr">
        <is>
          <t>List reflects the filters; 'No appointments match these filters.' when empty; Clear all restores.</t>
        </is>
      </c>
      <c r="G184" s="29" t="inlineStr">
        <is>
          <t>P2</t>
        </is>
      </c>
      <c r="H184" s="29" t="inlineStr">
        <is>
          <t>Functional</t>
        </is>
      </c>
      <c r="I184" s="29" t="inlineStr">
        <is>
          <t>Both</t>
        </is>
      </c>
      <c r="J184" s="29" t="n"/>
      <c r="K184" s="31" t="inlineStr">
        <is>
          <t>Pass</t>
        </is>
      </c>
      <c r="L184" s="32" t="inlineStr">
        <is>
          <t>Claude (adb)</t>
        </is>
      </c>
      <c r="M184" s="33" t="n">
        <v>46301</v>
      </c>
      <c r="N184" s="32" t="inlineStr">
        <is>
          <t>1.0.0+1 debug</t>
        </is>
      </c>
      <c r="O184" s="32" t="inlineStr">
        <is>
          <t>emulator-5554 / Android 14</t>
        </is>
      </c>
      <c r="P184" s="32" t="n"/>
      <c r="Q184" s="32" t="inlineStr">
        <is>
          <t>6 Oct 2026: Doctor + statuses: '3 filters set' / '3 active', chips removable (BL-APPT-020, -024). Upcoming + 'Confirmed': '0 visits', 'No appointments match these filters.' with 'Clear filters', which restores 'Nothing here yet'. Doctor filter on Completed (Dr. Suresh Pillai) lists only his visits.</t>
        </is>
      </c>
    </row>
    <row r="185" ht="43" customHeight="1">
      <c r="A185" s="27" t="inlineStr">
        <is>
          <t>APPT-025</t>
        </is>
      </c>
      <c r="B185" s="28" t="inlineStr">
        <is>
          <t>09 Appointments</t>
        </is>
      </c>
      <c r="C185" s="28" t="inlineStr">
        <is>
          <t>Status</t>
        </is>
      </c>
      <c r="D185" s="28" t="inlineStr">
        <is>
          <t>Hospital-cancelled and no-show appointments</t>
        </is>
      </c>
      <c r="E185" s="28" t="inlineStr">
        <is>
          <t>Have the desk cancel one appointment and mark another no-show</t>
        </is>
      </c>
      <c r="F185" s="28" t="inlineStr">
        <is>
          <t>'The hospital cancelled this appointment.' and 'The slot passed without a consultation.' are shown under Cancelled, with refund info where due.</t>
        </is>
      </c>
      <c r="G185" s="29" t="inlineStr">
        <is>
          <t>P1</t>
        </is>
      </c>
      <c r="H185" s="29" t="inlineStr">
        <is>
          <t>Functional</t>
        </is>
      </c>
      <c r="I185" s="29" t="inlineStr">
        <is>
          <t>Both</t>
        </is>
      </c>
      <c r="J185" s="29" t="n"/>
      <c r="K185" s="31" t="inlineStr">
        <is>
          <t>Blocked</t>
        </is>
      </c>
      <c r="L185" s="32" t="inlineStr">
        <is>
          <t>Claude (adb)</t>
        </is>
      </c>
      <c r="M185" s="33" t="n">
        <v>46301</v>
      </c>
      <c r="N185" s="32" t="inlineStr">
        <is>
          <t>1.0.0+1 debug</t>
        </is>
      </c>
      <c r="O185" s="32" t="inlineStr">
        <is>
          <t>emulator-5554 / Android 14</t>
        </is>
      </c>
      <c r="P185" s="32" t="n"/>
      <c r="Q185" s="32" t="inlineStr">
        <is>
          <t>6 Oct 2026: Needs a desk user to cancel one booking and mark another no-show (KB-08). The seeded no-show reads 'The slot passed without a consultation.' (BL-APPT-003).</t>
        </is>
      </c>
    </row>
    <row r="186" ht="30" customHeight="1">
      <c r="A186" s="27" t="inlineStr">
        <is>
          <t>APPT-026</t>
        </is>
      </c>
      <c r="B186" s="28" t="inlineStr">
        <is>
          <t>09 Appointments</t>
        </is>
      </c>
      <c r="C186" s="28" t="inlineStr">
        <is>
          <t>Status</t>
        </is>
      </c>
      <c r="D186" s="28" t="inlineStr">
        <is>
          <t>Live status progression</t>
        </is>
      </c>
      <c r="E186" s="28" t="inlineStr">
        <is>
          <t>Have the desk check in, start and complete a visit while the detail screen is open (refresh as needed)</t>
        </is>
      </c>
      <c r="F186" s="28" t="inlineStr">
        <is>
          <t>Status moves Checked in &gt; Consultation started &gt; Completed, and history lists each event.</t>
        </is>
      </c>
      <c r="G186" s="29" t="inlineStr">
        <is>
          <t>P1</t>
        </is>
      </c>
      <c r="H186" s="29" t="inlineStr">
        <is>
          <t>Functional</t>
        </is>
      </c>
      <c r="I186" s="29" t="inlineStr">
        <is>
          <t>Both</t>
        </is>
      </c>
      <c r="J186" s="29" t="inlineStr">
        <is>
          <t>KB-08</t>
        </is>
      </c>
      <c r="K186" s="31" t="inlineStr">
        <is>
          <t>Blocked</t>
        </is>
      </c>
      <c r="L186" s="32" t="inlineStr">
        <is>
          <t>Claude (adb)</t>
        </is>
      </c>
      <c r="M186" s="33" t="n">
        <v>46301</v>
      </c>
      <c r="N186" s="32" t="inlineStr">
        <is>
          <t>1.0.0+1 debug</t>
        </is>
      </c>
      <c r="O186" s="32" t="inlineStr">
        <is>
          <t>emulator-5554 / Android 14</t>
        </is>
      </c>
      <c r="P186" s="32" t="n"/>
      <c r="Q186" s="32" t="inlineStr">
        <is>
          <t>6 Oct 2026: Needs a desk user to move a visit through check-in and consultation (KB-08).</t>
        </is>
      </c>
    </row>
    <row r="187" ht="17" customHeight="1">
      <c r="A187" s="27" t="inlineStr">
        <is>
          <t>APPT-027</t>
        </is>
      </c>
      <c r="B187" s="28" t="inlineStr">
        <is>
          <t>09 Appointments</t>
        </is>
      </c>
      <c r="C187" s="28" t="inlineStr">
        <is>
          <t>Emergency</t>
        </is>
      </c>
      <c r="D187" s="28" t="inlineStr">
        <is>
          <t>Ambulance shortcut from an appointment</t>
        </is>
      </c>
      <c r="E187" s="28" t="inlineStr">
        <is>
          <t>Tap 'Call an ambulance' on the detail screen</t>
        </is>
      </c>
      <c r="F187" s="28" t="inlineStr">
        <is>
          <t>Ambulance screen opens.</t>
        </is>
      </c>
      <c r="G187" s="29" t="inlineStr">
        <is>
          <t>P3</t>
        </is>
      </c>
      <c r="H187" s="29" t="inlineStr">
        <is>
          <t>Functional</t>
        </is>
      </c>
      <c r="I187" s="29" t="inlineStr">
        <is>
          <t>Both</t>
        </is>
      </c>
      <c r="J187" s="29" t="n"/>
      <c r="K187" s="31" t="inlineStr">
        <is>
          <t>Pass</t>
        </is>
      </c>
      <c r="L187" s="32" t="inlineStr">
        <is>
          <t>Claude (adb)</t>
        </is>
      </c>
      <c r="M187" s="33" t="n">
        <v>46301</v>
      </c>
      <c r="N187" s="32" t="inlineStr">
        <is>
          <t>1.0.0+1 debug</t>
        </is>
      </c>
      <c r="O187" s="32" t="inlineStr">
        <is>
          <t>emulator-5554 / Android 14</t>
        </is>
      </c>
      <c r="P187" s="32" t="n"/>
      <c r="Q187" s="32" t="inlineStr">
        <is>
          <t>6 Oct 2026: 'Open ambulance request' on an appointment's details opens the Emergency / ambulance screen.</t>
        </is>
      </c>
    </row>
    <row r="188" ht="43" customHeight="1">
      <c r="A188" s="27" t="inlineStr">
        <is>
          <t>APPT-028</t>
        </is>
      </c>
      <c r="B188" s="28" t="inlineStr">
        <is>
          <t>09 Appointments</t>
        </is>
      </c>
      <c r="C188" s="28" t="inlineStr">
        <is>
          <t>Token card</t>
        </is>
      </c>
      <c r="D188" s="28" t="inlineStr">
        <is>
          <t>Desk code / token card</t>
        </is>
      </c>
      <c r="E188" s="28" t="inlineStr">
        <is>
          <t>Open the token card on a confirmed appointment</t>
        </is>
      </c>
      <c r="F188" s="28" t="inlineStr">
        <is>
          <t>Token label and desk code are shown. Confirm with the owner that the missing QR and 'Save token card' are acceptable for launch.</t>
        </is>
      </c>
      <c r="G188" s="29" t="inlineStr">
        <is>
          <t>P2</t>
        </is>
      </c>
      <c r="H188" s="29" t="inlineStr">
        <is>
          <t>Functional</t>
        </is>
      </c>
      <c r="I188" s="29" t="inlineStr">
        <is>
          <t>Both</t>
        </is>
      </c>
      <c r="J188" s="29" t="inlineStr">
        <is>
          <t>KB-10</t>
        </is>
      </c>
      <c r="K188" s="31" t="inlineStr">
        <is>
          <t>Blocked</t>
        </is>
      </c>
      <c r="L188" s="32" t="inlineStr">
        <is>
          <t>Claude (adb)</t>
        </is>
      </c>
      <c r="M188" s="33" t="n">
        <v>46301</v>
      </c>
      <c r="N188" s="32" t="inlineStr">
        <is>
          <t>1.0.0+1 debug</t>
        </is>
      </c>
      <c r="O188" s="32" t="inlineStr">
        <is>
          <t>emulator-5554 / Android 14</t>
        </is>
      </c>
      <c r="P188" s="32" t="n"/>
      <c r="Q188" s="32" t="inlineStr">
        <is>
          <t>6 Oct 2026: Token card shows the token label ('Assigned by the hospital' when none) and the desk code (BL-APPT-064). No QR and no 'Save token card' (KB-10, D-6): needs the owner's confirmation that this is acceptable for launch.</t>
        </is>
      </c>
    </row>
    <row r="189" ht="17" customHeight="1">
      <c r="A189" s="27" t="inlineStr">
        <is>
          <t>QUEUE-001</t>
        </is>
      </c>
      <c r="B189" s="28" t="inlineStr">
        <is>
          <t>10 Live queue</t>
        </is>
      </c>
      <c r="C189" s="28" t="inlineStr">
        <is>
          <t>Queue</t>
        </is>
      </c>
      <c r="D189" s="28" t="inlineStr">
        <is>
          <t>Queue before the visit day</t>
        </is>
      </c>
      <c r="E189" s="28" t="inlineStr">
        <is>
          <t>Open Live queue for a future appointment</t>
        </is>
      </c>
      <c r="F189" s="28" t="inlineStr">
        <is>
          <t>'Opens on the day' message; no error.</t>
        </is>
      </c>
      <c r="G189" s="29" t="inlineStr">
        <is>
          <t>P2</t>
        </is>
      </c>
      <c r="H189" s="29" t="inlineStr">
        <is>
          <t>Functional</t>
        </is>
      </c>
      <c r="I189" s="29" t="inlineStr">
        <is>
          <t>Both</t>
        </is>
      </c>
      <c r="J189" s="29" t="n"/>
      <c r="K189" s="31" t="inlineStr">
        <is>
          <t>Blocked</t>
        </is>
      </c>
      <c r="L189" s="32" t="inlineStr">
        <is>
          <t>Claude (adb)</t>
        </is>
      </c>
      <c r="M189" s="33" t="n">
        <v>46301</v>
      </c>
      <c r="N189" s="32" t="inlineStr">
        <is>
          <t>1.0.0+1 debug</t>
        </is>
      </c>
      <c r="O189" s="32" t="inlineStr">
        <is>
          <t>emulator-5554 / Android 14</t>
        </is>
      </c>
      <c r="P189" s="32" t="n"/>
      <c r="Q189" s="32" t="inlineStr">
        <is>
          <t>6 Oct 2026: Needs a confirmed future appointment, which needs a real payment (BB-16, KB-02); unpaid bookings do not offer the live queue.</t>
        </is>
      </c>
    </row>
    <row r="190" ht="30" customHeight="1">
      <c r="A190" s="27" t="inlineStr">
        <is>
          <t>QUEUE-002</t>
        </is>
      </c>
      <c r="B190" s="28" t="inlineStr">
        <is>
          <t>10 Live queue</t>
        </is>
      </c>
      <c r="C190" s="28" t="inlineStr">
        <is>
          <t>Queue</t>
        </is>
      </c>
      <c r="D190" s="28" t="inlineStr">
        <is>
          <t>Queue shows current position</t>
        </is>
      </c>
      <c r="E190" s="28" t="inlineStr">
        <is>
          <t>Open the queue for today's appointment while the session is open</t>
        </is>
      </c>
      <c r="F190" s="28" t="inlineStr">
        <is>
          <t>Current token, your token, tokens ahead and estimated wait are shown; a 'Live' indicator is on.</t>
        </is>
      </c>
      <c r="G190" s="29" t="inlineStr">
        <is>
          <t>P0</t>
        </is>
      </c>
      <c r="H190" s="29" t="inlineStr">
        <is>
          <t>Functional</t>
        </is>
      </c>
      <c r="I190" s="29" t="inlineStr">
        <is>
          <t>Both</t>
        </is>
      </c>
      <c r="J190" s="29" t="inlineStr">
        <is>
          <t>KB-08</t>
        </is>
      </c>
      <c r="K190" s="31" t="inlineStr">
        <is>
          <t>Not Run</t>
        </is>
      </c>
      <c r="L190" s="32" t="n"/>
      <c r="M190" s="33" t="n"/>
      <c r="N190" s="32" t="n"/>
      <c r="O190" s="32" t="n"/>
      <c r="P190" s="32" t="n"/>
      <c r="Q190" s="32" t="n"/>
    </row>
    <row r="191" ht="30" customHeight="1">
      <c r="A191" s="27" t="inlineStr">
        <is>
          <t>QUEUE-003</t>
        </is>
      </c>
      <c r="B191" s="28" t="inlineStr">
        <is>
          <t>10 Live queue</t>
        </is>
      </c>
      <c r="C191" s="28" t="inlineStr">
        <is>
          <t>Queue</t>
        </is>
      </c>
      <c r="D191" s="28" t="inlineStr">
        <is>
          <t>Queue updates in real time</t>
        </is>
      </c>
      <c r="E191" s="28" t="inlineStr">
        <is>
          <t>Desk calls the next token while the screen is open</t>
        </is>
      </c>
      <c r="F191" s="28" t="inlineStr">
        <is>
          <t>Numbers change within a few seconds without a manual refresh.</t>
        </is>
      </c>
      <c r="G191" s="29" t="inlineStr">
        <is>
          <t>P0</t>
        </is>
      </c>
      <c r="H191" s="29" t="inlineStr">
        <is>
          <t>Functional</t>
        </is>
      </c>
      <c r="I191" s="29" t="inlineStr">
        <is>
          <t>Both</t>
        </is>
      </c>
      <c r="J191" s="29" t="inlineStr">
        <is>
          <t>KB-08</t>
        </is>
      </c>
      <c r="K191" s="31" t="inlineStr">
        <is>
          <t>Not Run</t>
        </is>
      </c>
      <c r="L191" s="32" t="n"/>
      <c r="M191" s="33" t="n"/>
      <c r="N191" s="32" t="n"/>
      <c r="O191" s="32" t="n"/>
      <c r="P191" s="32" t="n"/>
      <c r="Q191" s="32" t="n"/>
    </row>
    <row r="192" ht="30" customHeight="1">
      <c r="A192" s="27" t="inlineStr">
        <is>
          <t>QUEUE-004</t>
        </is>
      </c>
      <c r="B192" s="28" t="inlineStr">
        <is>
          <t>10 Live queue</t>
        </is>
      </c>
      <c r="C192" s="28" t="inlineStr">
        <is>
          <t>Queue</t>
        </is>
      </c>
      <c r="D192" s="28" t="inlineStr">
        <is>
          <t>It's your turn</t>
        </is>
      </c>
      <c r="E192" s="28" t="inlineStr">
        <is>
          <t>Desk calls the patient's own token</t>
        </is>
      </c>
      <c r="F192" s="28" t="inlineStr">
        <is>
          <t>A prominent 'your turn' state appears (and a notification if the app is in the background).</t>
        </is>
      </c>
      <c r="G192" s="29" t="inlineStr">
        <is>
          <t>P0</t>
        </is>
      </c>
      <c r="H192" s="29" t="inlineStr">
        <is>
          <t>Functional</t>
        </is>
      </c>
      <c r="I192" s="29" t="inlineStr">
        <is>
          <t>Both</t>
        </is>
      </c>
      <c r="J192" s="29" t="inlineStr">
        <is>
          <t>KB-08</t>
        </is>
      </c>
      <c r="K192" s="31" t="inlineStr">
        <is>
          <t>Not Run</t>
        </is>
      </c>
      <c r="L192" s="32" t="n"/>
      <c r="M192" s="33" t="n"/>
      <c r="N192" s="32" t="n"/>
      <c r="O192" s="32" t="n"/>
      <c r="P192" s="32" t="n"/>
      <c r="Q192" s="32" t="n"/>
    </row>
    <row r="193" ht="30" customHeight="1">
      <c r="A193" s="27" t="inlineStr">
        <is>
          <t>QUEUE-005</t>
        </is>
      </c>
      <c r="B193" s="28" t="inlineStr">
        <is>
          <t>10 Live queue</t>
        </is>
      </c>
      <c r="C193" s="28" t="inlineStr">
        <is>
          <t>Queue</t>
        </is>
      </c>
      <c r="D193" s="28" t="inlineStr">
        <is>
          <t>Doctor on a break</t>
        </is>
      </c>
      <c r="E193" s="28" t="inlineStr">
        <is>
          <t>Desk pauses the session</t>
        </is>
      </c>
      <c r="F193" s="28" t="inlineStr">
        <is>
          <t>'Doctor on a break' message is shown; it clears when the session resumes.</t>
        </is>
      </c>
      <c r="G193" s="29" t="inlineStr">
        <is>
          <t>P1</t>
        </is>
      </c>
      <c r="H193" s="29" t="inlineStr">
        <is>
          <t>Functional</t>
        </is>
      </c>
      <c r="I193" s="29" t="inlineStr">
        <is>
          <t>Both</t>
        </is>
      </c>
      <c r="J193" s="29" t="inlineStr">
        <is>
          <t>KB-08</t>
        </is>
      </c>
      <c r="K193" s="31" t="inlineStr">
        <is>
          <t>Not Run</t>
        </is>
      </c>
      <c r="L193" s="32" t="n"/>
      <c r="M193" s="33" t="n"/>
      <c r="N193" s="32" t="n"/>
      <c r="O193" s="32" t="n"/>
      <c r="P193" s="32" t="n"/>
      <c r="Q193" s="32" t="n"/>
    </row>
    <row r="194" ht="30" customHeight="1">
      <c r="A194" s="27" t="inlineStr">
        <is>
          <t>QUEUE-006</t>
        </is>
      </c>
      <c r="B194" s="28" t="inlineStr">
        <is>
          <t>10 Live queue</t>
        </is>
      </c>
      <c r="C194" s="28" t="inlineStr">
        <is>
          <t>Queue</t>
        </is>
      </c>
      <c r="D194" s="28" t="inlineStr">
        <is>
          <t>Connection drop and recovery</t>
        </is>
      </c>
      <c r="E194" s="28" t="inlineStr">
        <is>
          <t>Toggle airplane mode on for 20 s, then off</t>
        </is>
      </c>
      <c r="F194" s="28" t="inlineStr">
        <is>
          <t>Screen indicates it is not live, then reconnects and shows the current state.</t>
        </is>
      </c>
      <c r="G194" s="29" t="inlineStr">
        <is>
          <t>P0</t>
        </is>
      </c>
      <c r="H194" s="29" t="inlineStr">
        <is>
          <t>Offline</t>
        </is>
      </c>
      <c r="I194" s="29" t="inlineStr">
        <is>
          <t>Both</t>
        </is>
      </c>
      <c r="J194" s="29" t="inlineStr">
        <is>
          <t>KB-08</t>
        </is>
      </c>
      <c r="K194" s="31" t="inlineStr">
        <is>
          <t>Not Run</t>
        </is>
      </c>
      <c r="L194" s="32" t="n"/>
      <c r="M194" s="33" t="n"/>
      <c r="N194" s="32" t="n"/>
      <c r="O194" s="32" t="n"/>
      <c r="P194" s="32" t="n"/>
      <c r="Q194" s="32" t="n"/>
    </row>
    <row r="195" ht="30" customHeight="1">
      <c r="A195" s="27" t="inlineStr">
        <is>
          <t>QUEUE-007</t>
        </is>
      </c>
      <c r="B195" s="28" t="inlineStr">
        <is>
          <t>10 Live queue</t>
        </is>
      </c>
      <c r="C195" s="28" t="inlineStr">
        <is>
          <t>Queue</t>
        </is>
      </c>
      <c r="D195" s="28" t="inlineStr">
        <is>
          <t>Reconnect after token expiry</t>
        </is>
      </c>
      <c r="E195" s="28" t="inlineStr">
        <is>
          <t>Keep the queue screen open for 20+ minutes</t>
        </is>
      </c>
      <c r="F195" s="28" t="inlineStr">
        <is>
          <t>Stream keeps working (token refreshed, socket reconnected); no error screen.</t>
        </is>
      </c>
      <c r="G195" s="29" t="inlineStr">
        <is>
          <t>P1</t>
        </is>
      </c>
      <c r="H195" s="29" t="inlineStr">
        <is>
          <t>Functional</t>
        </is>
      </c>
      <c r="I195" s="29" t="inlineStr">
        <is>
          <t>Both</t>
        </is>
      </c>
      <c r="J195" s="29" t="inlineStr">
        <is>
          <t>KB-08</t>
        </is>
      </c>
      <c r="K195" s="31" t="inlineStr">
        <is>
          <t>Not Run</t>
        </is>
      </c>
      <c r="L195" s="32" t="n"/>
      <c r="M195" s="33" t="n"/>
      <c r="N195" s="32" t="n"/>
      <c r="O195" s="32" t="n"/>
      <c r="P195" s="32" t="n"/>
      <c r="Q195" s="32" t="n"/>
    </row>
    <row r="196" ht="30" customHeight="1">
      <c r="A196" s="27" t="inlineStr">
        <is>
          <t>QUEUE-008</t>
        </is>
      </c>
      <c r="B196" s="28" t="inlineStr">
        <is>
          <t>10 Live queue</t>
        </is>
      </c>
      <c r="C196" s="28" t="inlineStr">
        <is>
          <t>Queue</t>
        </is>
      </c>
      <c r="D196" s="28" t="inlineStr">
        <is>
          <t>Return from background</t>
        </is>
      </c>
      <c r="E196" s="28" t="inlineStr">
        <is>
          <t>1. Background the app for 10 minutes
2. Return</t>
        </is>
      </c>
      <c r="F196" s="28" t="inlineStr">
        <is>
          <t>Queue reconnects and shows current values.</t>
        </is>
      </c>
      <c r="G196" s="29" t="inlineStr">
        <is>
          <t>P1</t>
        </is>
      </c>
      <c r="H196" s="29" t="inlineStr">
        <is>
          <t>Functional</t>
        </is>
      </c>
      <c r="I196" s="29" t="inlineStr">
        <is>
          <t>Both</t>
        </is>
      </c>
      <c r="J196" s="29" t="inlineStr">
        <is>
          <t>KB-08</t>
        </is>
      </c>
      <c r="K196" s="31" t="inlineStr">
        <is>
          <t>Not Run</t>
        </is>
      </c>
      <c r="L196" s="32" t="n"/>
      <c r="M196" s="33" t="n"/>
      <c r="N196" s="32" t="n"/>
      <c r="O196" s="32" t="n"/>
      <c r="P196" s="32" t="n"/>
      <c r="Q196" s="32" t="n"/>
    </row>
    <row r="197" ht="17" customHeight="1">
      <c r="A197" s="27" t="inlineStr">
        <is>
          <t>QUEUE-009</t>
        </is>
      </c>
      <c r="B197" s="28" t="inlineStr">
        <is>
          <t>10 Live queue</t>
        </is>
      </c>
      <c r="C197" s="28" t="inlineStr">
        <is>
          <t>Queue</t>
        </is>
      </c>
      <c r="D197" s="28" t="inlineStr">
        <is>
          <t>Socket is closed when leaving</t>
        </is>
      </c>
      <c r="E197" s="28" t="inlineStr">
        <is>
          <t>Open the queue, leave the screen, watch the proxy</t>
        </is>
      </c>
      <c r="F197" s="28" t="inlineStr">
        <is>
          <t>WebSocket closes; no pings continue in the background.</t>
        </is>
      </c>
      <c r="G197" s="29" t="inlineStr">
        <is>
          <t>P2</t>
        </is>
      </c>
      <c r="H197" s="29" t="inlineStr">
        <is>
          <t>Performance</t>
        </is>
      </c>
      <c r="I197" s="29" t="inlineStr">
        <is>
          <t>Both</t>
        </is>
      </c>
      <c r="J197" s="29" t="n"/>
      <c r="K197" s="31" t="inlineStr">
        <is>
          <t>Pass</t>
        </is>
      </c>
      <c r="L197" s="32" t="inlineStr">
        <is>
          <t>Claude (adb)</t>
        </is>
      </c>
      <c r="M197" s="33" t="n">
        <v>46301</v>
      </c>
      <c r="N197" s="32" t="inlineStr">
        <is>
          <t>1.0.0+1 debug</t>
        </is>
      </c>
      <c r="O197" s="32" t="inlineStr">
        <is>
          <t>emulator-5554 / Android 14</t>
        </is>
      </c>
      <c r="P197" s="32" t="n"/>
      <c r="Q197" s="32" t="inlineStr">
        <is>
          <t>6 Oct 2026: The queue controller is autoDispose: leaving the screen cancels its reconnect timer and disposes the socket. New test 'dispose closes the socket and nothing reconnects' (live_queue_controller_test.dart). On the device, counting connections to the server was inconclusive because the always-on notifications socket reconnects in cycles (BB-04).</t>
        </is>
      </c>
    </row>
    <row r="198" ht="17" customHeight="1">
      <c r="A198" s="27" t="inlineStr">
        <is>
          <t>QUEUE-010</t>
        </is>
      </c>
      <c r="B198" s="28" t="inlineStr">
        <is>
          <t>10 Live queue</t>
        </is>
      </c>
      <c r="C198" s="28" t="inlineStr">
        <is>
          <t>Queue</t>
        </is>
      </c>
      <c r="D198" s="28" t="inlineStr">
        <is>
          <t>Someone else's appointment</t>
        </is>
      </c>
      <c r="E198" s="28" t="inlineStr">
        <is>
          <t>Open medibook://queue/&lt;another user's appointment id&gt;</t>
        </is>
      </c>
      <c r="F198" s="28" t="inlineStr">
        <is>
          <t>Not-found/denied view; no data shown.</t>
        </is>
      </c>
      <c r="G198" s="29" t="inlineStr">
        <is>
          <t>P1</t>
        </is>
      </c>
      <c r="H198" s="29" t="inlineStr">
        <is>
          <t>Security</t>
        </is>
      </c>
      <c r="I198" s="29" t="inlineStr">
        <is>
          <t>Both</t>
        </is>
      </c>
      <c r="J198" s="29" t="n"/>
      <c r="K198" s="31" t="inlineStr">
        <is>
          <t>Pass</t>
        </is>
      </c>
      <c r="L198" s="32" t="inlineStr">
        <is>
          <t>Claude (adb)</t>
        </is>
      </c>
      <c r="M198" s="33" t="n">
        <v>46301</v>
      </c>
      <c r="N198" s="32" t="inlineStr">
        <is>
          <t>1.0.0+1 debug</t>
        </is>
      </c>
      <c r="O198" s="32" t="inlineStr">
        <is>
          <t>emulator-5554 / Android 14</t>
        </is>
      </c>
      <c r="P198" s="32" t="n"/>
      <c r="Q198" s="32" t="inlineStr">
        <is>
          <t>6 Oct 2026: medibook://queue/&lt;Asha Rao's appointment id&gt; while signed in as Sanjay: 'Page not found — We couldn't find what you were looking for…'; no queue data shown.</t>
        </is>
      </c>
    </row>
    <row r="199" ht="30" customHeight="1">
      <c r="A199" s="27" t="inlineStr">
        <is>
          <t>QUEUE-011</t>
        </is>
      </c>
      <c r="B199" s="28" t="inlineStr">
        <is>
          <t>10 Live queue</t>
        </is>
      </c>
      <c r="C199" s="28" t="inlineStr">
        <is>
          <t>Queue</t>
        </is>
      </c>
      <c r="D199" s="28" t="inlineStr">
        <is>
          <t>Session closed</t>
        </is>
      </c>
      <c r="E199" s="28" t="inlineStr">
        <is>
          <t>Desk closes the session / completes the visit</t>
        </is>
      </c>
      <c r="F199" s="28" t="inlineStr">
        <is>
          <t>Queue shows a finished state and links back to the appointment.</t>
        </is>
      </c>
      <c r="G199" s="29" t="inlineStr">
        <is>
          <t>P2</t>
        </is>
      </c>
      <c r="H199" s="29" t="inlineStr">
        <is>
          <t>Functional</t>
        </is>
      </c>
      <c r="I199" s="29" t="inlineStr">
        <is>
          <t>Both</t>
        </is>
      </c>
      <c r="J199" s="29" t="inlineStr">
        <is>
          <t>KB-08</t>
        </is>
      </c>
      <c r="K199" s="31" t="inlineStr">
        <is>
          <t>Not Run</t>
        </is>
      </c>
      <c r="L199" s="32" t="n"/>
      <c r="M199" s="33" t="n"/>
      <c r="N199" s="32" t="n"/>
      <c r="O199" s="32" t="n"/>
      <c r="P199" s="32" t="n"/>
      <c r="Q199" s="32" t="n"/>
    </row>
    <row r="200" ht="56" customHeight="1">
      <c r="A200" s="27" t="inlineStr">
        <is>
          <t>REC-001</t>
        </is>
      </c>
      <c r="B200" s="28" t="inlineStr">
        <is>
          <t>11 Health records &amp; documents</t>
        </is>
      </c>
      <c r="C200" s="28" t="inlineStr">
        <is>
          <t>List</t>
        </is>
      </c>
      <c r="D200" s="28" t="inlineStr">
        <is>
          <t>Records list, filters and pagination</t>
        </is>
      </c>
      <c r="E200" s="28" t="inlineStr">
        <is>
          <t>1. Open Records
2. Filter by type and by person
3. Clear filters
4. Load more</t>
        </is>
      </c>
      <c r="F200" s="28" t="inlineStr">
        <is>
          <t>List reflects the filter; 'No records here' when empty; more pages load.</t>
        </is>
      </c>
      <c r="G200" s="29" t="inlineStr">
        <is>
          <t>P1</t>
        </is>
      </c>
      <c r="H200" s="29" t="inlineStr">
        <is>
          <t>Functional</t>
        </is>
      </c>
      <c r="I200" s="29" t="inlineStr">
        <is>
          <t>Both</t>
        </is>
      </c>
      <c r="J200" s="29" t="n"/>
      <c r="K200" s="31" t="inlineStr">
        <is>
          <t>Blocked</t>
        </is>
      </c>
      <c r="L200" s="32" t="inlineStr">
        <is>
          <t>Claude (adb)</t>
        </is>
      </c>
      <c r="M200" s="33" t="n">
        <v>46301</v>
      </c>
      <c r="N200" s="32" t="inlineStr">
        <is>
          <t>1.0.0+1 debug</t>
        </is>
      </c>
      <c r="O200" s="32" t="inlineStr">
        <is>
          <t>emulator-5554 / Android 14</t>
        </is>
      </c>
      <c r="P200" s="32" t="n"/>
      <c r="Q200" s="32" t="inlineStr">
        <is>
          <t>6 Oct 2026: Type filter (single-select), person filter, count and chips, Clear, and the empty filtered state work (BL-REC-011 to -014). 'Load more' cannot be seen: Sanjay has 2 records (BB-10).</t>
        </is>
      </c>
    </row>
    <row r="201" ht="30" customHeight="1">
      <c r="A201" s="27" t="inlineStr">
        <is>
          <t>REC-002</t>
        </is>
      </c>
      <c r="B201" s="28" t="inlineStr">
        <is>
          <t>11 Health records &amp; documents</t>
        </is>
      </c>
      <c r="C201" s="28" t="inlineStr">
        <is>
          <t>List</t>
        </is>
      </c>
      <c r="D201" s="28" t="inlineStr">
        <is>
          <t>First-time empty state</t>
        </is>
      </c>
      <c r="E201" s="28" t="inlineStr">
        <is>
          <t>Open Records on a new account</t>
        </is>
      </c>
      <c r="F201" s="28" t="inlineStr">
        <is>
          <t>'No records yet' with an 'Add a record' action.</t>
        </is>
      </c>
      <c r="G201" s="29" t="inlineStr">
        <is>
          <t>P2</t>
        </is>
      </c>
      <c r="H201" s="29" t="inlineStr">
        <is>
          <t>Functional</t>
        </is>
      </c>
      <c r="I201" s="29" t="inlineStr">
        <is>
          <t>Both</t>
        </is>
      </c>
      <c r="J201" s="29" t="n"/>
      <c r="K201" s="31" t="inlineStr">
        <is>
          <t>Pass</t>
        </is>
      </c>
      <c r="L201" s="32" t="inlineStr">
        <is>
          <t>Claude (adb)</t>
        </is>
      </c>
      <c r="M201" s="33" t="n">
        <v>46301</v>
      </c>
      <c r="N201" s="32" t="inlineStr">
        <is>
          <t>1.0.0+1 debug</t>
        </is>
      </c>
      <c r="O201" s="32" t="inlineStr">
        <is>
          <t>emulator-5554 / Android 14</t>
        </is>
      </c>
      <c r="P201" s="32" t="n"/>
      <c r="Q201" s="32" t="inlineStr">
        <is>
          <t>6 Oct 2026: Signed in as Jacob Mathew (0 documents): Records shows '0 records', 'No records yet — Upload a lab report, prescription or scan and it is here whenever you need it.' with 'Add record'. Signed back in as Sanjay.</t>
        </is>
      </c>
    </row>
    <row r="202" ht="43" customHeight="1">
      <c r="A202" s="27" t="inlineStr">
        <is>
          <t>REC-003</t>
        </is>
      </c>
      <c r="B202" s="28" t="inlineStr">
        <is>
          <t>11 Health records &amp; documents</t>
        </is>
      </c>
      <c r="C202" s="28" t="inlineStr">
        <is>
          <t>Upload</t>
        </is>
      </c>
      <c r="D202" s="28" t="inlineStr">
        <is>
          <t>Upload a PDF</t>
        </is>
      </c>
      <c r="E202" s="28" t="inlineStr">
        <is>
          <t>1. Add record &gt; choose a PDF under 10 MB
2. Fill the form
3. Save</t>
        </is>
      </c>
      <c r="F202" s="28" t="inlineStr">
        <is>
          <t>Progress is shown; after the scan the document appears in the list.</t>
        </is>
      </c>
      <c r="G202" s="29" t="inlineStr">
        <is>
          <t>P0</t>
        </is>
      </c>
      <c r="H202" s="29" t="inlineStr">
        <is>
          <t>Functional</t>
        </is>
      </c>
      <c r="I202" s="29" t="inlineStr">
        <is>
          <t>Both</t>
        </is>
      </c>
      <c r="J202" s="29" t="inlineStr">
        <is>
          <t>KB-01</t>
        </is>
      </c>
      <c r="K202" s="31" t="inlineStr">
        <is>
          <t>Blocked</t>
        </is>
      </c>
      <c r="L202" s="32" t="inlineStr">
        <is>
          <t>Claude (adb)</t>
        </is>
      </c>
      <c r="M202" s="33" t="n">
        <v>46301</v>
      </c>
      <c r="N202" s="32" t="inlineStr">
        <is>
          <t>1.0.0+1 debug</t>
        </is>
      </c>
      <c r="O202" s="32" t="inlineStr">
        <is>
          <t>emulator-5554 / Android 14</t>
        </is>
      </c>
      <c r="P202" s="32" t="n"/>
      <c r="Q202" s="32" t="inlineStr">
        <is>
          <t>6 Oct 2026: Picking, size and type checks and the upload stages work (BL-REC-023 to -029, simulated server answers); the real upload fails. Upload links point at storage.fake.local: BB-17 (KB-01).</t>
        </is>
      </c>
    </row>
    <row r="203" ht="30" customHeight="1">
      <c r="A203" s="27" t="inlineStr">
        <is>
          <t>REC-004</t>
        </is>
      </c>
      <c r="B203" s="28" t="inlineStr">
        <is>
          <t>11 Health records &amp; documents</t>
        </is>
      </c>
      <c r="C203" s="28" t="inlineStr">
        <is>
          <t>Upload</t>
        </is>
      </c>
      <c r="D203" s="28" t="inlineStr">
        <is>
          <t>Upload a photo from the gallery</t>
        </is>
      </c>
      <c r="E203" s="28" t="inlineStr">
        <is>
          <t>Choose a JPEG, a PNG and (iOS) a HEIC photo</t>
        </is>
      </c>
      <c r="F203" s="28" t="inlineStr">
        <is>
          <t>Each uploads and previews correctly.</t>
        </is>
      </c>
      <c r="G203" s="29" t="inlineStr">
        <is>
          <t>P0</t>
        </is>
      </c>
      <c r="H203" s="29" t="inlineStr">
        <is>
          <t>Functional</t>
        </is>
      </c>
      <c r="I203" s="29" t="inlineStr">
        <is>
          <t>Both</t>
        </is>
      </c>
      <c r="J203" s="29" t="inlineStr">
        <is>
          <t>KB-01</t>
        </is>
      </c>
      <c r="K203" s="31" t="inlineStr">
        <is>
          <t>Blocked</t>
        </is>
      </c>
      <c r="L203" s="32" t="inlineStr">
        <is>
          <t>Claude (adb)</t>
        </is>
      </c>
      <c r="M203" s="33" t="n">
        <v>46301</v>
      </c>
      <c r="N203" s="32" t="inlineStr">
        <is>
          <t>1.0.0+1 debug</t>
        </is>
      </c>
      <c r="O203" s="32" t="inlineStr">
        <is>
          <t>emulator-5554 / Android 14</t>
        </is>
      </c>
      <c r="P203" s="32" t="n"/>
      <c r="Q203" s="32" t="inlineStr">
        <is>
          <t>6 Oct 2026: Upload links point at storage.fake.local: BB-17 (KB-01).</t>
        </is>
      </c>
    </row>
    <row r="204" ht="43" customHeight="1">
      <c r="A204" s="27" t="inlineStr">
        <is>
          <t>REC-005</t>
        </is>
      </c>
      <c r="B204" s="28" t="inlineStr">
        <is>
          <t>11 Health records &amp; documents</t>
        </is>
      </c>
      <c r="C204" s="28" t="inlineStr">
        <is>
          <t>Upload</t>
        </is>
      </c>
      <c r="D204" s="28" t="inlineStr">
        <is>
          <t>Capture with the camera</t>
        </is>
      </c>
      <c r="E204" s="28" t="inlineStr">
        <is>
          <t>1. Choose camera
2. Take a photo
3. Save</t>
        </is>
      </c>
      <c r="F204" s="28" t="inlineStr">
        <is>
          <t>Photo uploads; orientation is correct.</t>
        </is>
      </c>
      <c r="G204" s="29" t="inlineStr">
        <is>
          <t>P1</t>
        </is>
      </c>
      <c r="H204" s="29" t="inlineStr">
        <is>
          <t>Functional</t>
        </is>
      </c>
      <c r="I204" s="29" t="inlineStr">
        <is>
          <t>Both</t>
        </is>
      </c>
      <c r="J204" s="29" t="inlineStr">
        <is>
          <t>KB-01</t>
        </is>
      </c>
      <c r="K204" s="31" t="inlineStr">
        <is>
          <t>Blocked</t>
        </is>
      </c>
      <c r="L204" s="32" t="inlineStr">
        <is>
          <t>Claude (adb)</t>
        </is>
      </c>
      <c r="M204" s="33" t="n">
        <v>46301</v>
      </c>
      <c r="N204" s="32" t="inlineStr">
        <is>
          <t>1.0.0+1 debug</t>
        </is>
      </c>
      <c r="O204" s="32" t="inlineStr">
        <is>
          <t>emulator-5554 / Android 14</t>
        </is>
      </c>
      <c r="P204" s="32" t="n"/>
      <c r="Q204" s="32" t="inlineStr">
        <is>
          <t>6 Oct 2026: 'Take a photo' opens the system camera (checked today); saving the upload fails. Upload links point at storage.fake.local: BB-17 (KB-01).</t>
        </is>
      </c>
    </row>
    <row r="205" ht="30" customHeight="1">
      <c r="A205" s="27" t="inlineStr">
        <is>
          <t>REC-006</t>
        </is>
      </c>
      <c r="B205" s="28" t="inlineStr">
        <is>
          <t>11 Health records &amp; documents</t>
        </is>
      </c>
      <c r="C205" s="28" t="inlineStr">
        <is>
          <t>Upload</t>
        </is>
      </c>
      <c r="D205" s="28" t="inlineStr">
        <is>
          <t>File too large</t>
        </is>
      </c>
      <c r="E205" s="28" t="inlineStr">
        <is>
          <t>Pick a file over 10 MB</t>
        </is>
      </c>
      <c r="F205" s="28" t="inlineStr">
        <is>
          <t>Rejected with a message that states the limit.</t>
        </is>
      </c>
      <c r="G205" s="29" t="inlineStr">
        <is>
          <t>P1</t>
        </is>
      </c>
      <c r="H205" s="29" t="inlineStr">
        <is>
          <t>Negative</t>
        </is>
      </c>
      <c r="I205" s="29" t="inlineStr">
        <is>
          <t>Both</t>
        </is>
      </c>
      <c r="J205" s="29" t="n"/>
      <c r="K205" s="31" t="inlineStr">
        <is>
          <t>Pass</t>
        </is>
      </c>
      <c r="L205" s="32" t="inlineStr">
        <is>
          <t>Claude (adb)</t>
        </is>
      </c>
      <c r="M205" s="33" t="n">
        <v>46301</v>
      </c>
      <c r="N205" s="32" t="inlineStr">
        <is>
          <t>1.0.0+1 debug</t>
        </is>
      </c>
      <c r="O205" s="32" t="inlineStr">
        <is>
          <t>emulator-5554 / Android 14</t>
        </is>
      </c>
      <c r="P205" s="32" t="n"/>
      <c r="Q205" s="32" t="inlineStr">
        <is>
          <t>6 Oct 2026: 10,485,761 bytes: 'That file is too large. The limit is 10 MB.' Exactly 10 MB is accepted (BL-REC-024).</t>
        </is>
      </c>
    </row>
    <row r="206" ht="30" customHeight="1">
      <c r="A206" s="27" t="inlineStr">
        <is>
          <t>REC-007</t>
        </is>
      </c>
      <c r="B206" s="28" t="inlineStr">
        <is>
          <t>11 Health records &amp; documents</t>
        </is>
      </c>
      <c r="C206" s="28" t="inlineStr">
        <is>
          <t>Upload</t>
        </is>
      </c>
      <c r="D206" s="28" t="inlineStr">
        <is>
          <t>Unsupported type</t>
        </is>
      </c>
      <c r="E206" s="28" t="inlineStr">
        <is>
          <t>Pick a .docx or .zip</t>
        </is>
      </c>
      <c r="F206" s="28" t="inlineStr">
        <is>
          <t>Rejected with the allowed types listed.</t>
        </is>
      </c>
      <c r="G206" s="29" t="inlineStr">
        <is>
          <t>P1</t>
        </is>
      </c>
      <c r="H206" s="29" t="inlineStr">
        <is>
          <t>Negative</t>
        </is>
      </c>
      <c r="I206" s="29" t="inlineStr">
        <is>
          <t>Both</t>
        </is>
      </c>
      <c r="J206" s="29" t="n"/>
      <c r="K206" s="31" t="inlineStr">
        <is>
          <t>Pass</t>
        </is>
      </c>
      <c r="L206" s="32" t="inlineStr">
        <is>
          <t>Claude (adb)</t>
        </is>
      </c>
      <c r="M206" s="33" t="n">
        <v>46301</v>
      </c>
      <c r="N206" s="32" t="inlineStr">
        <is>
          <t>1.0.0+1 debug</t>
        </is>
      </c>
      <c r="O206" s="32" t="inlineStr">
        <is>
          <t>emulator-5554 / Android 14</t>
        </is>
      </c>
      <c r="P206" s="32" t="n"/>
      <c r="Q206" s="32" t="inlineStr">
        <is>
          <t>6 Oct 2026: The record picker only lets PDF and image files be chosen: notes.docx and pic.webp are greyed out in the system picker (BL-REC-023); a type refused by the server shows a type message (BL-REC-025). The allowed types are therefore never listed in an error from the picker.</t>
        </is>
      </c>
    </row>
    <row r="207" ht="30" customHeight="1">
      <c r="A207" s="27" t="inlineStr">
        <is>
          <t>REC-008</t>
        </is>
      </c>
      <c r="B207" s="28" t="inlineStr">
        <is>
          <t>11 Health records &amp; documents</t>
        </is>
      </c>
      <c r="C207" s="28" t="inlineStr">
        <is>
          <t>Upload</t>
        </is>
      </c>
      <c r="D207" s="28" t="inlineStr">
        <is>
          <t>File rejected by the virus scan</t>
        </is>
      </c>
      <c r="E207" s="28" t="inlineStr">
        <is>
          <t>Upload a file the backend flags (EICAR test file)</t>
        </is>
      </c>
      <c r="F207" s="28" t="inlineStr">
        <is>
          <t>User is told the file was rejected; no document is created.</t>
        </is>
      </c>
      <c r="G207" s="29" t="inlineStr">
        <is>
          <t>P1</t>
        </is>
      </c>
      <c r="H207" s="29" t="inlineStr">
        <is>
          <t>Security</t>
        </is>
      </c>
      <c r="I207" s="29" t="inlineStr">
        <is>
          <t>Both</t>
        </is>
      </c>
      <c r="J207" s="29" t="inlineStr">
        <is>
          <t>KB-01</t>
        </is>
      </c>
      <c r="K207" s="31" t="inlineStr">
        <is>
          <t>Blocked</t>
        </is>
      </c>
      <c r="L207" s="32" t="inlineStr">
        <is>
          <t>Claude (adb)</t>
        </is>
      </c>
      <c r="M207" s="33" t="n">
        <v>46301</v>
      </c>
      <c r="N207" s="32" t="inlineStr">
        <is>
          <t>1.0.0+1 debug</t>
        </is>
      </c>
      <c r="O207" s="32" t="inlineStr">
        <is>
          <t>emulator-5554 / Android 14</t>
        </is>
      </c>
      <c r="P207" s="32" t="n"/>
      <c r="Q207" s="32" t="inlineStr">
        <is>
          <t>6 Oct 2026: Infected and scan-failed answers are refused with a clear message and no document (BL-REC-026, -027, simulated answers). A real EICAR scan needs real storage. Upload links point at storage.fake.local: BB-17 (KB-01).</t>
        </is>
      </c>
    </row>
    <row r="208" ht="30" customHeight="1">
      <c r="A208" s="27" t="inlineStr">
        <is>
          <t>REC-009</t>
        </is>
      </c>
      <c r="B208" s="28" t="inlineStr">
        <is>
          <t>11 Health records &amp; documents</t>
        </is>
      </c>
      <c r="C208" s="28" t="inlineStr">
        <is>
          <t>Upload</t>
        </is>
      </c>
      <c r="D208" s="28" t="inlineStr">
        <is>
          <t>Form validation</t>
        </is>
      </c>
      <c r="E208" s="28" t="inlineStr">
        <is>
          <t>Save without a title, without a person, with a future document date</t>
        </is>
      </c>
      <c r="F208" s="28" t="inlineStr">
        <is>
          <t>Inline errors; nothing uploaded.</t>
        </is>
      </c>
      <c r="G208" s="29" t="inlineStr">
        <is>
          <t>P1</t>
        </is>
      </c>
      <c r="H208" s="29" t="inlineStr">
        <is>
          <t>Negative</t>
        </is>
      </c>
      <c r="I208" s="29" t="inlineStr">
        <is>
          <t>Both</t>
        </is>
      </c>
      <c r="J208" s="29" t="n"/>
      <c r="K208" s="31" t="inlineStr">
        <is>
          <t>Pass</t>
        </is>
      </c>
      <c r="L208" s="32" t="inlineStr">
        <is>
          <t>Claude (adb)</t>
        </is>
      </c>
      <c r="M208" s="33" t="n">
        <v>46301</v>
      </c>
      <c r="N208" s="32" t="inlineStr">
        <is>
          <t>1.0.0+1 debug</t>
        </is>
      </c>
      <c r="O208" s="32" t="inlineStr">
        <is>
          <t>emulator-5554 / Android 14</t>
        </is>
      </c>
      <c r="P208" s="32" t="n"/>
      <c r="Q208" s="32" t="inlineStr">
        <is>
          <t>6 Oct 2026: No title: 'Enter a title so you can find this later'; 'ab': 'Use at least 3 characters'; future dates are out of range in the picker; Patient is always set (preselected); nothing uploads (BL-REC-001 to -005).</t>
        </is>
      </c>
    </row>
    <row r="209" ht="30" customHeight="1">
      <c r="A209" s="27" t="inlineStr">
        <is>
          <t>REC-010</t>
        </is>
      </c>
      <c r="B209" s="28" t="inlineStr">
        <is>
          <t>11 Health records &amp; documents</t>
        </is>
      </c>
      <c r="C209" s="28" t="inlineStr">
        <is>
          <t>Upload</t>
        </is>
      </c>
      <c r="D209" s="28" t="inlineStr">
        <is>
          <t>No family member available</t>
        </is>
      </c>
      <c r="E209" s="28" t="inlineStr">
        <is>
          <t>Simulate a failed/empty persons list</t>
        </is>
      </c>
      <c r="F209" s="28" t="inlineStr">
        <is>
          <t>'Add a family member first' or a retry for the patient list — never a dead end.</t>
        </is>
      </c>
      <c r="G209" s="29" t="inlineStr">
        <is>
          <t>P2</t>
        </is>
      </c>
      <c r="H209" s="29" t="inlineStr">
        <is>
          <t>Negative</t>
        </is>
      </c>
      <c r="I209" s="29" t="inlineStr">
        <is>
          <t>Both</t>
        </is>
      </c>
      <c r="J209" s="29" t="n"/>
      <c r="K209" s="31" t="inlineStr">
        <is>
          <t>Blocked</t>
        </is>
      </c>
      <c r="L209" s="32" t="inlineStr">
        <is>
          <t>Claude (adb)</t>
        </is>
      </c>
      <c r="M209" s="33" t="n">
        <v>46301</v>
      </c>
      <c r="N209" s="32" t="inlineStr">
        <is>
          <t>1.0.0+1 debug</t>
        </is>
      </c>
      <c r="O209" s="32" t="inlineStr">
        <is>
          <t>emulator-5554 / Android 14</t>
        </is>
      </c>
      <c r="P209" s="32" t="n"/>
      <c r="Q209" s="32" t="inlineStr">
        <is>
          <t>6 Oct 2026: No account without a family list, and the persons list cannot be made to fail on demand on the device. BB-13.</t>
        </is>
      </c>
    </row>
    <row r="210" ht="56" customHeight="1">
      <c r="A210" s="27" t="inlineStr">
        <is>
          <t>REC-011</t>
        </is>
      </c>
      <c r="B210" s="28" t="inlineStr">
        <is>
          <t>11 Health records &amp; documents</t>
        </is>
      </c>
      <c r="C210" s="28" t="inlineStr">
        <is>
          <t>Upload</t>
        </is>
      </c>
      <c r="D210" s="28" t="inlineStr">
        <is>
          <t>Network drop mid-upload</t>
        </is>
      </c>
      <c r="E210" s="28" t="inlineStr">
        <is>
          <t>1. Start an upload
2. Cut the network
3. Restore
4. Retry</t>
        </is>
      </c>
      <c r="F210" s="28" t="inlineStr">
        <is>
          <t>Clear failure, retry works, no half-created document.</t>
        </is>
      </c>
      <c r="G210" s="29" t="inlineStr">
        <is>
          <t>P1</t>
        </is>
      </c>
      <c r="H210" s="29" t="inlineStr">
        <is>
          <t>Negative</t>
        </is>
      </c>
      <c r="I210" s="29" t="inlineStr">
        <is>
          <t>Both</t>
        </is>
      </c>
      <c r="J210" s="29" t="inlineStr">
        <is>
          <t>KB-01</t>
        </is>
      </c>
      <c r="K210" s="31" t="inlineStr">
        <is>
          <t>Blocked</t>
        </is>
      </c>
      <c r="L210" s="32" t="inlineStr">
        <is>
          <t>Claude (adb)</t>
        </is>
      </c>
      <c r="M210" s="33" t="n">
        <v>46301</v>
      </c>
      <c r="N210" s="32" t="inlineStr">
        <is>
          <t>1.0.0+1 debug</t>
        </is>
      </c>
      <c r="O210" s="32" t="inlineStr">
        <is>
          <t>emulator-5554 / Android 14</t>
        </is>
      </c>
      <c r="P210" s="32" t="n"/>
      <c r="Q210" s="32" t="inlineStr">
        <is>
          <t>6 Oct 2026: Failure keeps the chosen file and retry works with simulated answers (BL-REC-029); a real mid-upload drop needs real storage. Upload links point at storage.fake.local: BB-17 (KB-01).</t>
        </is>
      </c>
    </row>
    <row r="211" ht="30" customHeight="1">
      <c r="A211" s="27" t="inlineStr">
        <is>
          <t>REC-012</t>
        </is>
      </c>
      <c r="B211" s="28" t="inlineStr">
        <is>
          <t>11 Health records &amp; documents</t>
        </is>
      </c>
      <c r="C211" s="28" t="inlineStr">
        <is>
          <t>Upload</t>
        </is>
      </c>
      <c r="D211" s="28" t="inlineStr">
        <is>
          <t>Unsaved changes guard</t>
        </is>
      </c>
      <c r="E211" s="28" t="inlineStr">
        <is>
          <t>1. Fill the form
2. Press Back</t>
        </is>
      </c>
      <c r="F211" s="28" t="inlineStr">
        <is>
          <t>Confirmation before discarding.</t>
        </is>
      </c>
      <c r="G211" s="29" t="inlineStr">
        <is>
          <t>P2</t>
        </is>
      </c>
      <c r="H211" s="29" t="inlineStr">
        <is>
          <t>Functional</t>
        </is>
      </c>
      <c r="I211" s="29" t="inlineStr">
        <is>
          <t>Both</t>
        </is>
      </c>
      <c r="J211" s="29" t="n"/>
      <c r="K211" s="31" t="inlineStr">
        <is>
          <t>Pass</t>
        </is>
      </c>
      <c r="L211" s="32" t="inlineStr">
        <is>
          <t>Claude (adb)</t>
        </is>
      </c>
      <c r="M211" s="33" t="n">
        <v>46301</v>
      </c>
      <c r="N211" s="32" t="inlineStr">
        <is>
          <t>1.0.0+1 debug</t>
        </is>
      </c>
      <c r="O211" s="32" t="inlineStr">
        <is>
          <t>emulator-5554 / Android 14</t>
        </is>
      </c>
      <c r="P211" s="32" t="n"/>
      <c r="Q211" s="32" t="inlineStr">
        <is>
          <t>6 Oct 2026: Filled form + Back: confirmation before discarding (BL-REC-009, retested 5 Oct).</t>
        </is>
      </c>
    </row>
    <row r="212" ht="43" customHeight="1">
      <c r="A212" s="27" t="inlineStr">
        <is>
          <t>REC-013</t>
        </is>
      </c>
      <c r="B212" s="28" t="inlineStr">
        <is>
          <t>11 Health records &amp; documents</t>
        </is>
      </c>
      <c r="C212" s="28" t="inlineStr">
        <is>
          <t>Upload</t>
        </is>
      </c>
      <c r="D212" s="28" t="inlineStr">
        <is>
          <t>Link an appointment</t>
        </is>
      </c>
      <c r="E212" s="28" t="inlineStr">
        <is>
          <t>1. Link the document to an appointment
2. Save
3. Open it</t>
        </is>
      </c>
      <c r="F212" s="28" t="inlineStr">
        <is>
          <t>Linked appointment is shown and tappable.</t>
        </is>
      </c>
      <c r="G212" s="29" t="inlineStr">
        <is>
          <t>P2</t>
        </is>
      </c>
      <c r="H212" s="29" t="inlineStr">
        <is>
          <t>Functional</t>
        </is>
      </c>
      <c r="I212" s="29" t="inlineStr">
        <is>
          <t>Both</t>
        </is>
      </c>
      <c r="J212" s="29" t="inlineStr">
        <is>
          <t>KB-01</t>
        </is>
      </c>
      <c r="K212" s="31" t="inlineStr">
        <is>
          <t>Blocked</t>
        </is>
      </c>
      <c r="L212" s="32" t="inlineStr">
        <is>
          <t>Claude (adb)</t>
        </is>
      </c>
      <c r="M212" s="33" t="n">
        <v>46301</v>
      </c>
      <c r="N212" s="32" t="inlineStr">
        <is>
          <t>1.0.0+1 debug</t>
        </is>
      </c>
      <c r="O212" s="32" t="inlineStr">
        <is>
          <t>emulator-5554 / Android 14</t>
        </is>
      </c>
      <c r="P212" s="32" t="n"/>
      <c r="Q212" s="32" t="inlineStr">
        <is>
          <t>6 Oct 2026: The appointment picker and linked display work on edit (BL-REC-022, fixed 5 Oct); linking on a new upload needs a working upload. Upload links point at storage.fake.local: BB-17 (KB-01).</t>
        </is>
      </c>
    </row>
    <row r="213" ht="30" customHeight="1">
      <c r="A213" s="27" t="inlineStr">
        <is>
          <t>REC-014</t>
        </is>
      </c>
      <c r="B213" s="28" t="inlineStr">
        <is>
          <t>11 Health records &amp; documents</t>
        </is>
      </c>
      <c r="C213" s="28" t="inlineStr">
        <is>
          <t>Detail</t>
        </is>
      </c>
      <c r="D213" s="28" t="inlineStr">
        <is>
          <t>Preview and download</t>
        </is>
      </c>
      <c r="E213" s="28" t="inlineStr">
        <is>
          <t>1. Open an image and a PDF document
2. Download</t>
        </is>
      </c>
      <c r="F213" s="28" t="inlineStr">
        <is>
          <t>Preview renders; download/open-in works; expired links are re-requested.</t>
        </is>
      </c>
      <c r="G213" s="29" t="inlineStr">
        <is>
          <t>P0</t>
        </is>
      </c>
      <c r="H213" s="29" t="inlineStr">
        <is>
          <t>Functional</t>
        </is>
      </c>
      <c r="I213" s="29" t="inlineStr">
        <is>
          <t>Both</t>
        </is>
      </c>
      <c r="J213" s="29" t="inlineStr">
        <is>
          <t>KB-01</t>
        </is>
      </c>
      <c r="K213" s="31" t="inlineStr">
        <is>
          <t>Blocked</t>
        </is>
      </c>
      <c r="L213" s="32" t="inlineStr">
        <is>
          <t>Claude (adb)</t>
        </is>
      </c>
      <c r="M213" s="33" t="n">
        <v>46301</v>
      </c>
      <c r="N213" s="32" t="inlineStr">
        <is>
          <t>1.0.0+1 debug</t>
        </is>
      </c>
      <c r="O213" s="32" t="inlineStr">
        <is>
          <t>emulator-5554 / Android 14</t>
        </is>
      </c>
      <c r="P213" s="32" t="n"/>
      <c r="Q213" s="32" t="inlineStr">
        <is>
          <t>6 Oct 2026: 'Open file' asks for a fresh link each time (BL-REC-033/034), but the link points at storage.fake.local, so nothing renders. Upload links point at storage.fake.local: BB-17 (KB-01).</t>
        </is>
      </c>
    </row>
    <row r="214" ht="30" customHeight="1">
      <c r="A214" s="27" t="inlineStr">
        <is>
          <t>REC-015</t>
        </is>
      </c>
      <c r="B214" s="28" t="inlineStr">
        <is>
          <t>11 Health records &amp; documents</t>
        </is>
      </c>
      <c r="C214" s="28" t="inlineStr">
        <is>
          <t>Edit</t>
        </is>
      </c>
      <c r="D214" s="28" t="inlineStr">
        <is>
          <t>Edit document details</t>
        </is>
      </c>
      <c r="E214" s="28" t="inlineStr">
        <is>
          <t>1. Edit title, type and notes
2. Save</t>
        </is>
      </c>
      <c r="F214" s="28" t="inlineStr">
        <is>
          <t>Changes are saved and shown.</t>
        </is>
      </c>
      <c r="G214" s="29" t="inlineStr">
        <is>
          <t>P1</t>
        </is>
      </c>
      <c r="H214" s="29" t="inlineStr">
        <is>
          <t>Functional</t>
        </is>
      </c>
      <c r="I214" s="29" t="inlineStr">
        <is>
          <t>Both</t>
        </is>
      </c>
      <c r="J214" s="29" t="n"/>
      <c r="K214" s="31" t="inlineStr">
        <is>
          <t>Pass</t>
        </is>
      </c>
      <c r="L214" s="32" t="inlineStr">
        <is>
          <t>Claude (adb)</t>
        </is>
      </c>
      <c r="M214" s="33" t="n">
        <v>46301</v>
      </c>
      <c r="N214" s="32" t="inlineStr">
        <is>
          <t>1.0.0+1 debug</t>
        </is>
      </c>
      <c r="O214" s="32" t="inlineStr">
        <is>
          <t>emulator-5554 / Android 14</t>
        </is>
      </c>
      <c r="P214" s="32" t="n"/>
      <c r="Q214" s="32" t="inlineStr">
        <is>
          <t>6 Oct 2026: Edit details: title 'Prescription' -&gt; 'Prescription QA', Save changes -&gt; detail shows 'Prescription QA' and the server has it; changed back to 'Prescription'. Save is disabled until something changes (BL-REC-017).</t>
        </is>
      </c>
    </row>
    <row r="215" ht="30" customHeight="1">
      <c r="A215" s="27" t="inlineStr">
        <is>
          <t>REC-016</t>
        </is>
      </c>
      <c r="B215" s="28" t="inlineStr">
        <is>
          <t>11 Health records &amp; documents</t>
        </is>
      </c>
      <c r="C215" s="28" t="inlineStr">
        <is>
          <t>Edit</t>
        </is>
      </c>
      <c r="D215" s="28" t="inlineStr">
        <is>
          <t>Edit conflict</t>
        </is>
      </c>
      <c r="E215" s="28" t="inlineStr">
        <is>
          <t>1. Edit the same document on two devices
2. Save on both</t>
        </is>
      </c>
      <c r="F215" s="28" t="inlineStr">
        <is>
          <t>Second save reports that the document changed and reloads it; no silent overwrite.</t>
        </is>
      </c>
      <c r="G215" s="29" t="inlineStr">
        <is>
          <t>P2</t>
        </is>
      </c>
      <c r="H215" s="29" t="inlineStr">
        <is>
          <t>Negative</t>
        </is>
      </c>
      <c r="I215" s="29" t="inlineStr">
        <is>
          <t>Both</t>
        </is>
      </c>
      <c r="J215" s="29" t="n"/>
      <c r="K215" s="31" t="inlineStr">
        <is>
          <t>Pass</t>
        </is>
      </c>
      <c r="L215" s="32" t="inlineStr">
        <is>
          <t>Claude (adb)</t>
        </is>
      </c>
      <c r="M215" s="33" t="n">
        <v>46301</v>
      </c>
      <c r="N215" s="32" t="inlineStr">
        <is>
          <t>1.0.0+1 debug</t>
        </is>
      </c>
      <c r="O215" s="32" t="inlineStr">
        <is>
          <t>emulator-5554 / Android 14</t>
        </is>
      </c>
      <c r="P215" s="32" t="n"/>
      <c r="Q215" s="32" t="inlineStr">
        <is>
          <t>6 Oct 2026: A save after another device's change: 'This document was changed elsewhere' and the latest copy is loaded; no silent overwrite (BL-REC-018, DEF-022 fixed 5 Oct).</t>
        </is>
      </c>
    </row>
    <row r="216" ht="30" customHeight="1">
      <c r="A216" s="27" t="inlineStr">
        <is>
          <t>REC-017</t>
        </is>
      </c>
      <c r="B216" s="28" t="inlineStr">
        <is>
          <t>11 Health records &amp; documents</t>
        </is>
      </c>
      <c r="C216" s="28" t="inlineStr">
        <is>
          <t>Delete</t>
        </is>
      </c>
      <c r="D216" s="28" t="inlineStr">
        <is>
          <t>Delete a document</t>
        </is>
      </c>
      <c r="E216" s="28" t="inlineStr">
        <is>
          <t>1. Delete
2. Confirm</t>
        </is>
      </c>
      <c r="F216" s="28" t="inlineStr">
        <is>
          <t>Removed from the list and no longer opens.</t>
        </is>
      </c>
      <c r="G216" s="29" t="inlineStr">
        <is>
          <t>P1</t>
        </is>
      </c>
      <c r="H216" s="29" t="inlineStr">
        <is>
          <t>Functional</t>
        </is>
      </c>
      <c r="I216" s="29" t="inlineStr">
        <is>
          <t>Both</t>
        </is>
      </c>
      <c r="J216" s="29" t="n"/>
      <c r="K216" s="31" t="inlineStr">
        <is>
          <t>Blocked</t>
        </is>
      </c>
      <c r="L216" s="32" t="inlineStr">
        <is>
          <t>Claude (adb)</t>
        </is>
      </c>
      <c r="M216" s="33" t="n">
        <v>46301</v>
      </c>
      <c r="N216" s="32" t="inlineStr">
        <is>
          <t>1.0.0+1 debug</t>
        </is>
      </c>
      <c r="O216" s="32" t="inlineStr">
        <is>
          <t>emulator-5554 / Android 14</t>
        </is>
      </c>
      <c r="P216" s="32" t="n"/>
      <c r="Q216" s="32" t="inlineStr">
        <is>
          <t>6 Oct 2026: Deleting needs a document we may delete; uploads are blocked (BB-14, KB-01). The already-removed case is handled (BL-REC-020).</t>
        </is>
      </c>
    </row>
    <row r="217" ht="30" customHeight="1">
      <c r="A217" s="27" t="inlineStr">
        <is>
          <t>REC-018</t>
        </is>
      </c>
      <c r="B217" s="28" t="inlineStr">
        <is>
          <t>11 Health records &amp; documents</t>
        </is>
      </c>
      <c r="C217" s="28" t="inlineStr">
        <is>
          <t>Privacy</t>
        </is>
      </c>
      <c r="D217" s="28" t="inlineStr">
        <is>
          <t>Documents are private</t>
        </is>
      </c>
      <c r="E217" s="28" t="inlineStr">
        <is>
          <t>Look for any 'share with hospital' action</t>
        </is>
      </c>
      <c r="F217" s="28" t="inlineStr">
        <is>
          <t>None exists; documents are visible only to the patient.</t>
        </is>
      </c>
      <c r="G217" s="29" t="inlineStr">
        <is>
          <t>P1</t>
        </is>
      </c>
      <c r="H217" s="29" t="inlineStr">
        <is>
          <t>Security</t>
        </is>
      </c>
      <c r="I217" s="29" t="inlineStr">
        <is>
          <t>Both</t>
        </is>
      </c>
      <c r="J217" s="29" t="n"/>
      <c r="K217" s="31" t="inlineStr">
        <is>
          <t>Pass</t>
        </is>
      </c>
      <c r="L217" s="32" t="inlineStr">
        <is>
          <t>Claude (adb)</t>
        </is>
      </c>
      <c r="M217" s="33" t="n">
        <v>46301</v>
      </c>
      <c r="N217" s="32" t="inlineStr">
        <is>
          <t>1.0.0+1 debug</t>
        </is>
      </c>
      <c r="O217" s="32" t="inlineStr">
        <is>
          <t>emulator-5554 / Android 14</t>
        </is>
      </c>
      <c r="P217" s="32" t="n"/>
      <c r="Q217" s="32" t="inlineStr">
        <is>
          <t>6 Oct 2026: Document details offer only Open file, Edit and Delete; no share or send-to-hospital action anywhere in Records.</t>
        </is>
      </c>
    </row>
    <row r="218" ht="30" customHeight="1">
      <c r="A218" s="27" t="inlineStr">
        <is>
          <t>REC-019</t>
        </is>
      </c>
      <c r="B218" s="28" t="inlineStr">
        <is>
          <t>11 Health records &amp; documents</t>
        </is>
      </c>
      <c r="C218" s="28" t="inlineStr">
        <is>
          <t>Permissions</t>
        </is>
      </c>
      <c r="D218" s="28" t="inlineStr">
        <is>
          <t>Camera / photo permission denied</t>
        </is>
      </c>
      <c r="E218" s="28" t="inlineStr">
        <is>
          <t>1. Deny the permission when asked
2. Try again</t>
        </is>
      </c>
      <c r="F218" s="28" t="inlineStr">
        <is>
          <t>Friendly explanation with a route to Settings; no crash.</t>
        </is>
      </c>
      <c r="G218" s="29" t="inlineStr">
        <is>
          <t>P1</t>
        </is>
      </c>
      <c r="H218" s="29" t="inlineStr">
        <is>
          <t>Negative</t>
        </is>
      </c>
      <c r="I218" s="29" t="inlineStr">
        <is>
          <t>Both</t>
        </is>
      </c>
      <c r="J218" s="29" t="n"/>
      <c r="K218" s="31" t="inlineStr">
        <is>
          <t>Pass</t>
        </is>
      </c>
      <c r="L218" s="32" t="inlineStr">
        <is>
          <t>Claude (adb)</t>
        </is>
      </c>
      <c r="M218" s="33" t="n">
        <v>46301</v>
      </c>
      <c r="N218" s="32" t="inlineStr">
        <is>
          <t>1.0.0+1 debug</t>
        </is>
      </c>
      <c r="O218" s="32" t="inlineStr">
        <is>
          <t>emulator-5554 / Android 14</t>
        </is>
      </c>
      <c r="P218" s="32" t="n"/>
      <c r="Q218" s="32" t="inlineStr">
        <is>
          <t>6 Oct 2026: Android: camera permission revoked, 'Take a photo' opens the system camera directly (the app hands off to the camera app and the system photo picker, which need no app permission), so there is no denied state; returning leaves the form intact ('No file chosen'), no crash. iOS (which asks for permission) not run.</t>
        </is>
      </c>
    </row>
    <row r="219" ht="30" customHeight="1">
      <c r="A219" s="27" t="inlineStr">
        <is>
          <t>REC-020</t>
        </is>
      </c>
      <c r="B219" s="28" t="inlineStr">
        <is>
          <t>11 Health records &amp; documents</t>
        </is>
      </c>
      <c r="C219" s="28" t="inlineStr">
        <is>
          <t>Offline</t>
        </is>
      </c>
      <c r="D219" s="28" t="inlineStr">
        <is>
          <t>Records offline</t>
        </is>
      </c>
      <c r="E219" s="28" t="inlineStr">
        <is>
          <t>Open Records in airplane mode</t>
        </is>
      </c>
      <c r="F219" s="28" t="inlineStr">
        <is>
          <t>'You are offline — showing your saved records'; upload is blocked clearly.</t>
        </is>
      </c>
      <c r="G219" s="29" t="inlineStr">
        <is>
          <t>P1</t>
        </is>
      </c>
      <c r="H219" s="29" t="inlineStr">
        <is>
          <t>Offline</t>
        </is>
      </c>
      <c r="I219" s="29" t="inlineStr">
        <is>
          <t>Both</t>
        </is>
      </c>
      <c r="J219" s="29" t="n"/>
      <c r="K219" s="31" t="inlineStr">
        <is>
          <t>Pass</t>
        </is>
      </c>
      <c r="L219" s="32" t="inlineStr">
        <is>
          <t>Claude (adb)</t>
        </is>
      </c>
      <c r="M219" s="33" t="n">
        <v>46301</v>
      </c>
      <c r="N219" s="32" t="inlineStr">
        <is>
          <t>1.0.0+1 debug</t>
        </is>
      </c>
      <c r="O219" s="32" t="inlineStr">
        <is>
          <t>emulator-5554 / Android 14</t>
        </is>
      </c>
      <c r="P219" s="32" t="inlineStr">
        <is>
          <t>DEF-085</t>
        </is>
      </c>
      <c r="Q219" s="32" t="inlineStr">
        <is>
          <t>6 Oct 2026: Airplane mode: Records shows its saved documents with the Offline mark and 'You are offline — showing your saved records' (BL-REC-015; E2E-009). Seen once today (and on 5 Oct): after an offline cold start the cards said 'Family member' instead of 'Sanjay Varma'. Four targeted repeats (incl. right after sign-in) all showed the name; cause not found, logged as DEF-085 (open, intermittent).</t>
        </is>
      </c>
    </row>
    <row r="220" ht="30" customHeight="1">
      <c r="A220" s="27" t="inlineStr">
        <is>
          <t>NOTIF-001</t>
        </is>
      </c>
      <c r="B220" s="28" t="inlineStr">
        <is>
          <t>12 Notifications &amp; push</t>
        </is>
      </c>
      <c r="C220" s="28" t="inlineStr">
        <is>
          <t>Inbox</t>
        </is>
      </c>
      <c r="D220" s="28" t="inlineStr">
        <is>
          <t>Notification list</t>
        </is>
      </c>
      <c r="E220" s="28" t="inlineStr">
        <is>
          <t>Open Notifications</t>
        </is>
      </c>
      <c r="F220" s="28" t="inlineStr">
        <is>
          <t>Notifications show newest first with kind, title and time; unread ones are distinct; pagination works.</t>
        </is>
      </c>
      <c r="G220" s="29" t="inlineStr">
        <is>
          <t>P1</t>
        </is>
      </c>
      <c r="H220" s="29" t="inlineStr">
        <is>
          <t>Functional</t>
        </is>
      </c>
      <c r="I220" s="29" t="inlineStr">
        <is>
          <t>Both</t>
        </is>
      </c>
      <c r="J220" s="29" t="n"/>
      <c r="K220" s="31" t="inlineStr">
        <is>
          <t>Pass</t>
        </is>
      </c>
      <c r="L220" s="32" t="inlineStr">
        <is>
          <t>Claude (adb)</t>
        </is>
      </c>
      <c r="M220" s="33" t="n">
        <v>46301</v>
      </c>
      <c r="N220" s="32" t="inlineStr">
        <is>
          <t>1.0.0+1 debug</t>
        </is>
      </c>
      <c r="O220" s="32" t="inlineStr">
        <is>
          <t>emulator-5554 / Android 14</t>
        </is>
      </c>
      <c r="P220" s="32" t="n"/>
      <c r="Q220" s="32" t="inlineStr">
        <is>
          <t>6 Oct 2026: Notifications: '19 unread', All/Unread/Read tabs and kind chips; cards read e.g. 'Cancellation. Appointment cancelled. Unread. 2 hours ago.' — unread grouped first and marked, newest first within each group. 66 on the server: 'Load more' at the end loads older ones (6-day-old Refund processed, Support ticket updated…).</t>
        </is>
      </c>
    </row>
    <row r="221" ht="17" customHeight="1">
      <c r="A221" s="27" t="inlineStr">
        <is>
          <t>NOTIF-002</t>
        </is>
      </c>
      <c r="B221" s="28" t="inlineStr">
        <is>
          <t>12 Notifications &amp; push</t>
        </is>
      </c>
      <c r="C221" s="28" t="inlineStr">
        <is>
          <t>Inbox</t>
        </is>
      </c>
      <c r="D221" s="28" t="inlineStr">
        <is>
          <t>Empty state</t>
        </is>
      </c>
      <c r="E221" s="28" t="inlineStr">
        <is>
          <t>Open on a new account</t>
        </is>
      </c>
      <c r="F221" s="28" t="inlineStr">
        <is>
          <t>Friendly empty state.</t>
        </is>
      </c>
      <c r="G221" s="29" t="inlineStr">
        <is>
          <t>P3</t>
        </is>
      </c>
      <c r="H221" s="29" t="inlineStr">
        <is>
          <t>Functional</t>
        </is>
      </c>
      <c r="I221" s="29" t="inlineStr">
        <is>
          <t>Both</t>
        </is>
      </c>
      <c r="J221" s="29" t="n"/>
      <c r="K221" s="31" t="inlineStr">
        <is>
          <t>Blocked</t>
        </is>
      </c>
      <c r="L221" s="32" t="inlineStr">
        <is>
          <t>Claude (adb)</t>
        </is>
      </c>
      <c r="M221" s="33" t="n">
        <v>46301</v>
      </c>
      <c r="N221" s="32" t="inlineStr">
        <is>
          <t>1.0.0+1 debug</t>
        </is>
      </c>
      <c r="O221" s="32" t="inlineStr">
        <is>
          <t>emulator-5554 / Android 14</t>
        </is>
      </c>
      <c r="P221" s="32" t="n"/>
      <c r="Q221" s="32" t="inlineStr">
        <is>
          <t>6 Oct 2026: Every seeded account has notifications (Sanjay 66, Jacob 51, Vivek 36); a brand-new account needs an OTP (BB-01) or a throwaway account (BB-03).</t>
        </is>
      </c>
    </row>
    <row r="222" ht="43" customHeight="1">
      <c r="A222" s="27" t="inlineStr">
        <is>
          <t>NOTIF-003</t>
        </is>
      </c>
      <c r="B222" s="28" t="inlineStr">
        <is>
          <t>12 Notifications &amp; push</t>
        </is>
      </c>
      <c r="C222" s="28" t="inlineStr">
        <is>
          <t>Inbox</t>
        </is>
      </c>
      <c r="D222" s="28" t="inlineStr">
        <is>
          <t>Read / unread / read all</t>
        </is>
      </c>
      <c r="E222" s="28" t="inlineStr">
        <is>
          <t>1. Open one notification
2. Mark another unread
3. Mark all read</t>
        </is>
      </c>
      <c r="F222" s="28" t="inlineStr">
        <is>
          <t>States change and the bell badge follows.</t>
        </is>
      </c>
      <c r="G222" s="29" t="inlineStr">
        <is>
          <t>P1</t>
        </is>
      </c>
      <c r="H222" s="29" t="inlineStr">
        <is>
          <t>Functional</t>
        </is>
      </c>
      <c r="I222" s="29" t="inlineStr">
        <is>
          <t>Both</t>
        </is>
      </c>
      <c r="J222" s="29" t="n"/>
      <c r="K222" s="31" t="inlineStr">
        <is>
          <t>Pass</t>
        </is>
      </c>
      <c r="L222" s="32" t="inlineStr">
        <is>
          <t>Claude (adb)</t>
        </is>
      </c>
      <c r="M222" s="33" t="n">
        <v>46301</v>
      </c>
      <c r="N222" s="32" t="inlineStr">
        <is>
          <t>1.0.0+1 debug</t>
        </is>
      </c>
      <c r="O222" s="32" t="inlineStr">
        <is>
          <t>emulator-5554 / Android 14</t>
        </is>
      </c>
      <c r="P222" s="32" t="n"/>
      <c r="Q222" s="32" t="inlineStr">
        <is>
          <t>6 Oct 2026: Opening an unread one marks it read (45 -&gt; 44); long-press Mark as unread (41 -&gt; 42); Mark all as read -&gt; 'All caught up'; the bell follows each change (BL-NOTIF-006 to -009, -011). Badge followed the server within 5 s today (HOME-007).</t>
        </is>
      </c>
    </row>
    <row r="223" ht="30" customHeight="1">
      <c r="A223" s="27" t="inlineStr">
        <is>
          <t>NOTIF-004</t>
        </is>
      </c>
      <c r="B223" s="28" t="inlineStr">
        <is>
          <t>12 Notifications &amp; push</t>
        </is>
      </c>
      <c r="C223" s="28" t="inlineStr">
        <is>
          <t>Inbox</t>
        </is>
      </c>
      <c r="D223" s="28" t="inlineStr">
        <is>
          <t>Tapping opens the right screen</t>
        </is>
      </c>
      <c r="E223" s="28" t="inlineStr">
        <is>
          <t>Tap a confirmation, reminder, cancellation, payment, queue and data-export notification</t>
        </is>
      </c>
      <c r="F223" s="28" t="inlineStr">
        <is>
          <t>Each opens its target (appointment, receipt, queue, Download my data).</t>
        </is>
      </c>
      <c r="G223" s="29" t="inlineStr">
        <is>
          <t>P1</t>
        </is>
      </c>
      <c r="H223" s="29" t="inlineStr">
        <is>
          <t>Functional</t>
        </is>
      </c>
      <c r="I223" s="29" t="inlineStr">
        <is>
          <t>Both</t>
        </is>
      </c>
      <c r="J223" s="29" t="n"/>
      <c r="K223" s="31" t="inlineStr">
        <is>
          <t>Pass</t>
        </is>
      </c>
      <c r="L223" s="32" t="inlineStr">
        <is>
          <t>Claude (adb)</t>
        </is>
      </c>
      <c r="M223" s="33" t="n">
        <v>46301</v>
      </c>
      <c r="N223" s="32" t="inlineStr">
        <is>
          <t>1.0.0+1 debug</t>
        </is>
      </c>
      <c r="O223" s="32" t="inlineStr">
        <is>
          <t>emulator-5554 / Android 14</t>
        </is>
      </c>
      <c r="P223" s="32" t="n"/>
      <c r="Q223" s="32" t="inlineStr">
        <is>
          <t>6 Oct 2026: Cancellation opens the appointment (BL-NOTIF-001); token called opens Live queue, 'Payment received' opens the receipt, 'Appointment confirmed' opens the appointment (BL-NOTIF-002); 'Your data export is ready' opens Download My Data (BL-NOTIF-003). A reminder notification was not present to tap.</t>
        </is>
      </c>
    </row>
    <row r="224" ht="17" customHeight="1">
      <c r="A224" s="27" t="inlineStr">
        <is>
          <t>NOTIF-005</t>
        </is>
      </c>
      <c r="B224" s="28" t="inlineStr">
        <is>
          <t>12 Notifications &amp; push</t>
        </is>
      </c>
      <c r="C224" s="28" t="inlineStr">
        <is>
          <t>Inbox</t>
        </is>
      </c>
      <c r="D224" s="28" t="inlineStr">
        <is>
          <t>Target no longer exists</t>
        </is>
      </c>
      <c r="E224" s="28" t="inlineStr">
        <is>
          <t>Tap a notification for a deleted item</t>
        </is>
      </c>
      <c r="F224" s="28" t="inlineStr">
        <is>
          <t>Not-found view; no crash.</t>
        </is>
      </c>
      <c r="G224" s="29" t="inlineStr">
        <is>
          <t>P2</t>
        </is>
      </c>
      <c r="H224" s="29" t="inlineStr">
        <is>
          <t>Negative</t>
        </is>
      </c>
      <c r="I224" s="29" t="inlineStr">
        <is>
          <t>Both</t>
        </is>
      </c>
      <c r="J224" s="29" t="n"/>
      <c r="K224" s="31" t="inlineStr">
        <is>
          <t>Blocked</t>
        </is>
      </c>
      <c r="L224" s="32" t="inlineStr">
        <is>
          <t>Claude (adb)</t>
        </is>
      </c>
      <c r="M224" s="33" t="n">
        <v>46301</v>
      </c>
      <c r="N224" s="32" t="inlineStr">
        <is>
          <t>1.0.0+1 debug</t>
        </is>
      </c>
      <c r="O224" s="32" t="inlineStr">
        <is>
          <t>emulator-5554 / Android 14</t>
        </is>
      </c>
      <c r="P224" s="32" t="n"/>
      <c r="Q224" s="32" t="inlineStr">
        <is>
          <t>6 Oct 2026: Needs a notification whose target was deleted (BB-18). Unknown appointment links already show 'Appointment not found' (APPT-008).</t>
        </is>
      </c>
    </row>
    <row r="225" ht="17" customHeight="1">
      <c r="A225" s="27" t="inlineStr">
        <is>
          <t>NOTIF-006</t>
        </is>
      </c>
      <c r="B225" s="28" t="inlineStr">
        <is>
          <t>12 Notifications &amp; push</t>
        </is>
      </c>
      <c r="C225" s="28" t="inlineStr">
        <is>
          <t>Realtime</t>
        </is>
      </c>
      <c r="D225" s="28" t="inlineStr">
        <is>
          <t>Inbox updates live</t>
        </is>
      </c>
      <c r="E225" s="28" t="inlineStr">
        <is>
          <t>With the app open, trigger a notification from the backend</t>
        </is>
      </c>
      <c r="F225" s="28" t="inlineStr">
        <is>
          <t>Badge and list update without a manual refresh.</t>
        </is>
      </c>
      <c r="G225" s="29" t="inlineStr">
        <is>
          <t>P1</t>
        </is>
      </c>
      <c r="H225" s="29" t="inlineStr">
        <is>
          <t>Functional</t>
        </is>
      </c>
      <c r="I225" s="29" t="inlineStr">
        <is>
          <t>Both</t>
        </is>
      </c>
      <c r="J225" s="29" t="n"/>
      <c r="K225" s="31" t="inlineStr">
        <is>
          <t>Pass</t>
        </is>
      </c>
      <c r="L225" s="32" t="inlineStr">
        <is>
          <t>Claude (adb)</t>
        </is>
      </c>
      <c r="M225" s="33" t="n">
        <v>46301</v>
      </c>
      <c r="N225" s="32" t="inlineStr">
        <is>
          <t>1.0.0+1 debug</t>
        </is>
      </c>
      <c r="O225" s="32" t="inlineStr">
        <is>
          <t>emulator-5554 / Android 14</t>
        </is>
      </c>
      <c r="P225" s="32" t="n"/>
      <c r="Q225" s="32" t="inlineStr">
        <is>
          <t>6 Oct 2026: With the app open, a notification marked read on the server changed the bell from 19 to 18 within 5 s (HOME-007); a booking created/cancelled via the API updated the badge and the open list (BL-NOTIF-013, -014).</t>
        </is>
      </c>
    </row>
    <row r="226" ht="30" customHeight="1">
      <c r="A226" s="27" t="inlineStr">
        <is>
          <t>NOTIF-007</t>
        </is>
      </c>
      <c r="B226" s="28" t="inlineStr">
        <is>
          <t>12 Notifications &amp; push</t>
        </is>
      </c>
      <c r="C226" s="28" t="inlineStr">
        <is>
          <t>Push</t>
        </is>
      </c>
      <c r="D226" s="28" t="inlineStr">
        <is>
          <t>Permission prompt</t>
        </is>
      </c>
      <c r="E226" s="28" t="inlineStr">
        <is>
          <t>1. Fresh install on Android 13+ and iOS
2. Reach the point where push is requested</t>
        </is>
      </c>
      <c r="F226" s="28" t="inlineStr">
        <is>
          <t>System prompt appears once, with context; denying does not break the app.</t>
        </is>
      </c>
      <c r="G226" s="29" t="inlineStr">
        <is>
          <t>P1</t>
        </is>
      </c>
      <c r="H226" s="29" t="inlineStr">
        <is>
          <t>Functional</t>
        </is>
      </c>
      <c r="I226" s="29" t="inlineStr">
        <is>
          <t>Both</t>
        </is>
      </c>
      <c r="J226" s="29" t="inlineStr">
        <is>
          <t>KB-04</t>
        </is>
      </c>
      <c r="K226" s="31" t="inlineStr">
        <is>
          <t>Blocked</t>
        </is>
      </c>
      <c r="L226" s="32" t="inlineStr">
        <is>
          <t>Claude (adb)</t>
        </is>
      </c>
      <c r="M226" s="33" t="n">
        <v>46301</v>
      </c>
      <c r="N226" s="32" t="inlineStr">
        <is>
          <t>1.0.0+1 debug</t>
        </is>
      </c>
      <c r="O226" s="32" t="inlineStr">
        <is>
          <t>emulator-5554 / Android 14</t>
        </is>
      </c>
      <c r="P226" s="32" t="n"/>
      <c r="Q226" s="32" t="inlineStr">
        <is>
          <t>6 Oct 2026: Push is not built. The app has no push SDK (KB-04; same as BL-NOTIF-017, Fail): needs the owner's decision to add Firebase Messaging and the project's config files.</t>
        </is>
      </c>
    </row>
    <row r="227" ht="30" customHeight="1">
      <c r="A227" s="27" t="inlineStr">
        <is>
          <t>NOTIF-008</t>
        </is>
      </c>
      <c r="B227" s="28" t="inlineStr">
        <is>
          <t>12 Notifications &amp; push</t>
        </is>
      </c>
      <c r="C227" s="28" t="inlineStr">
        <is>
          <t>Push</t>
        </is>
      </c>
      <c r="D227" s="28" t="inlineStr">
        <is>
          <t>Device registered after sign-in</t>
        </is>
      </c>
      <c r="E227" s="28" t="inlineStr">
        <is>
          <t>1. Sign in
2. Check POST /patient/me/devices in the proxy</t>
        </is>
      </c>
      <c r="F227" s="28" t="inlineStr">
        <is>
          <t>Device is registered with platform, token and app version.</t>
        </is>
      </c>
      <c r="G227" s="29" t="inlineStr">
        <is>
          <t>P0</t>
        </is>
      </c>
      <c r="H227" s="29" t="inlineStr">
        <is>
          <t>Functional</t>
        </is>
      </c>
      <c r="I227" s="29" t="inlineStr">
        <is>
          <t>Both</t>
        </is>
      </c>
      <c r="J227" s="29" t="inlineStr">
        <is>
          <t>KB-04</t>
        </is>
      </c>
      <c r="K227" s="31" t="inlineStr">
        <is>
          <t>Blocked</t>
        </is>
      </c>
      <c r="L227" s="32" t="inlineStr">
        <is>
          <t>Claude (adb)</t>
        </is>
      </c>
      <c r="M227" s="33" t="n">
        <v>46301</v>
      </c>
      <c r="N227" s="32" t="inlineStr">
        <is>
          <t>1.0.0+1 debug</t>
        </is>
      </c>
      <c r="O227" s="32" t="inlineStr">
        <is>
          <t>emulator-5554 / Android 14</t>
        </is>
      </c>
      <c r="P227" s="32" t="n"/>
      <c r="Q227" s="32" t="inlineStr">
        <is>
          <t>6 Oct 2026: Push is not built. The app has no push SDK (KB-04; same as BL-NOTIF-017, Fail): needs the owner's decision to add Firebase Messaging and the project's config files.</t>
        </is>
      </c>
    </row>
    <row r="228" ht="30" customHeight="1">
      <c r="A228" s="27" t="inlineStr">
        <is>
          <t>NOTIF-009</t>
        </is>
      </c>
      <c r="B228" s="28" t="inlineStr">
        <is>
          <t>12 Notifications &amp; push</t>
        </is>
      </c>
      <c r="C228" s="28" t="inlineStr">
        <is>
          <t>Push</t>
        </is>
      </c>
      <c r="D228" s="28" t="inlineStr">
        <is>
          <t>Push received in foreground, background and killed states</t>
        </is>
      </c>
      <c r="E228" s="28" t="inlineStr">
        <is>
          <t>Trigger a push in each state</t>
        </is>
      </c>
      <c r="F228" s="28" t="inlineStr">
        <is>
          <t>Notification is shown in all three states.</t>
        </is>
      </c>
      <c r="G228" s="29" t="inlineStr">
        <is>
          <t>P0</t>
        </is>
      </c>
      <c r="H228" s="29" t="inlineStr">
        <is>
          <t>Functional</t>
        </is>
      </c>
      <c r="I228" s="29" t="inlineStr">
        <is>
          <t>Both</t>
        </is>
      </c>
      <c r="J228" s="29" t="inlineStr">
        <is>
          <t>KB-04</t>
        </is>
      </c>
      <c r="K228" s="31" t="inlineStr">
        <is>
          <t>Blocked</t>
        </is>
      </c>
      <c r="L228" s="32" t="inlineStr">
        <is>
          <t>Claude (adb)</t>
        </is>
      </c>
      <c r="M228" s="33" t="n">
        <v>46301</v>
      </c>
      <c r="N228" s="32" t="inlineStr">
        <is>
          <t>1.0.0+1 debug</t>
        </is>
      </c>
      <c r="O228" s="32" t="inlineStr">
        <is>
          <t>emulator-5554 / Android 14</t>
        </is>
      </c>
      <c r="P228" s="32" t="n"/>
      <c r="Q228" s="32" t="inlineStr">
        <is>
          <t>6 Oct 2026: Push is not built. The app has no push SDK (KB-04; same as BL-NOTIF-017, Fail): needs the owner's decision to add Firebase Messaging and the project's config files.</t>
        </is>
      </c>
    </row>
    <row r="229" ht="17" customHeight="1">
      <c r="A229" s="27" t="inlineStr">
        <is>
          <t>NOTIF-010</t>
        </is>
      </c>
      <c r="B229" s="28" t="inlineStr">
        <is>
          <t>12 Notifications &amp; push</t>
        </is>
      </c>
      <c r="C229" s="28" t="inlineStr">
        <is>
          <t>Push</t>
        </is>
      </c>
      <c r="D229" s="28" t="inlineStr">
        <is>
          <t>Tapping a push opens the target</t>
        </is>
      </c>
      <c r="E229" s="28" t="inlineStr">
        <is>
          <t>Tap a push from background and from killed state</t>
        </is>
      </c>
      <c r="F229" s="28" t="inlineStr">
        <is>
          <t>App opens on the related screen (after sign-in if needed).</t>
        </is>
      </c>
      <c r="G229" s="29" t="inlineStr">
        <is>
          <t>P0</t>
        </is>
      </c>
      <c r="H229" s="29" t="inlineStr">
        <is>
          <t>Functional</t>
        </is>
      </c>
      <c r="I229" s="29" t="inlineStr">
        <is>
          <t>Both</t>
        </is>
      </c>
      <c r="J229" s="29" t="inlineStr">
        <is>
          <t>KB-04</t>
        </is>
      </c>
      <c r="K229" s="31" t="inlineStr">
        <is>
          <t>Blocked</t>
        </is>
      </c>
      <c r="L229" s="32" t="inlineStr">
        <is>
          <t>Claude (adb)</t>
        </is>
      </c>
      <c r="M229" s="33" t="n">
        <v>46301</v>
      </c>
      <c r="N229" s="32" t="inlineStr">
        <is>
          <t>1.0.0+1 debug</t>
        </is>
      </c>
      <c r="O229" s="32" t="inlineStr">
        <is>
          <t>emulator-5554 / Android 14</t>
        </is>
      </c>
      <c r="P229" s="32" t="n"/>
      <c r="Q229" s="32" t="inlineStr">
        <is>
          <t>6 Oct 2026: Push is not built. The app has no push SDK (KB-04; same as BL-NOTIF-017, Fail): needs the owner's decision to add Firebase Messaging and the project's config files.</t>
        </is>
      </c>
    </row>
    <row r="230" ht="30" customHeight="1">
      <c r="A230" s="27" t="inlineStr">
        <is>
          <t>NOTIF-011</t>
        </is>
      </c>
      <c r="B230" s="28" t="inlineStr">
        <is>
          <t>12 Notifications &amp; push</t>
        </is>
      </c>
      <c r="C230" s="28" t="inlineStr">
        <is>
          <t>Push</t>
        </is>
      </c>
      <c r="D230" s="28" t="inlineStr">
        <is>
          <t>No push after logout</t>
        </is>
      </c>
      <c r="E230" s="28" t="inlineStr">
        <is>
          <t>1. Log out
2. Trigger a push for that user</t>
        </is>
      </c>
      <c r="F230" s="28" t="inlineStr">
        <is>
          <t>Nothing is delivered to the device.</t>
        </is>
      </c>
      <c r="G230" s="29" t="inlineStr">
        <is>
          <t>P0</t>
        </is>
      </c>
      <c r="H230" s="29" t="inlineStr">
        <is>
          <t>Security</t>
        </is>
      </c>
      <c r="I230" s="29" t="inlineStr">
        <is>
          <t>Both</t>
        </is>
      </c>
      <c r="J230" s="29" t="inlineStr">
        <is>
          <t>KB-04</t>
        </is>
      </c>
      <c r="K230" s="31" t="inlineStr">
        <is>
          <t>Blocked</t>
        </is>
      </c>
      <c r="L230" s="32" t="inlineStr">
        <is>
          <t>Claude (adb)</t>
        </is>
      </c>
      <c r="M230" s="33" t="n">
        <v>46301</v>
      </c>
      <c r="N230" s="32" t="inlineStr">
        <is>
          <t>1.0.0+1 debug</t>
        </is>
      </c>
      <c r="O230" s="32" t="inlineStr">
        <is>
          <t>emulator-5554 / Android 14</t>
        </is>
      </c>
      <c r="P230" s="32" t="n"/>
      <c r="Q230" s="32" t="inlineStr">
        <is>
          <t>6 Oct 2026: Push is not built. The app has no push SDK (KB-04; same as BL-NOTIF-017, Fail): needs the owner's decision to add Firebase Messaging and the project's config files.</t>
        </is>
      </c>
    </row>
    <row r="231" ht="30" customHeight="1">
      <c r="A231" s="27" t="inlineStr">
        <is>
          <t>NOTIF-012</t>
        </is>
      </c>
      <c r="B231" s="28" t="inlineStr">
        <is>
          <t>12 Notifications &amp; push</t>
        </is>
      </c>
      <c r="C231" s="28" t="inlineStr">
        <is>
          <t>Push</t>
        </is>
      </c>
      <c r="D231" s="28" t="inlineStr">
        <is>
          <t>Appointment reminders</t>
        </is>
      </c>
      <c r="E231" s="28" t="inlineStr">
        <is>
          <t>Book appointments at suitable lead times</t>
        </is>
      </c>
      <c r="F231" s="28" t="inlineStr">
        <is>
          <t>Reminders arrive at the documented times (1 week, 48 h, 24 h, 2 h) and not between 21:00 and 08:00 hospital time.</t>
        </is>
      </c>
      <c r="G231" s="29" t="inlineStr">
        <is>
          <t>P2</t>
        </is>
      </c>
      <c r="H231" s="29" t="inlineStr">
        <is>
          <t>Functional</t>
        </is>
      </c>
      <c r="I231" s="29" t="inlineStr">
        <is>
          <t>Both</t>
        </is>
      </c>
      <c r="J231" s="29" t="inlineStr">
        <is>
          <t>KB-04</t>
        </is>
      </c>
      <c r="K231" s="31" t="inlineStr">
        <is>
          <t>Blocked</t>
        </is>
      </c>
      <c r="L231" s="32" t="inlineStr">
        <is>
          <t>Claude (adb)</t>
        </is>
      </c>
      <c r="M231" s="33" t="n">
        <v>46301</v>
      </c>
      <c r="N231" s="32" t="inlineStr">
        <is>
          <t>1.0.0+1 debug</t>
        </is>
      </c>
      <c r="O231" s="32" t="inlineStr">
        <is>
          <t>emulator-5554 / Android 14</t>
        </is>
      </c>
      <c r="P231" s="32" t="n"/>
      <c r="Q231" s="32" t="inlineStr">
        <is>
          <t>6 Oct 2026: Push is not built. The app has no push SDK (KB-04; same as BL-NOTIF-017, Fail): needs the owner's decision to add Firebase Messaging and the project's config files.</t>
        </is>
      </c>
    </row>
    <row r="232" ht="30" customHeight="1">
      <c r="A232" s="27" t="inlineStr">
        <is>
          <t>PROF-001</t>
        </is>
      </c>
      <c r="B232" s="28" t="inlineStr">
        <is>
          <t>13 Profile &amp; account</t>
        </is>
      </c>
      <c r="C232" s="28" t="inlineStr">
        <is>
          <t>Profile</t>
        </is>
      </c>
      <c r="D232" s="28" t="inlineStr">
        <is>
          <t>Profile overview</t>
        </is>
      </c>
      <c r="E232" s="28" t="inlineStr">
        <is>
          <t>Open the Profile tab</t>
        </is>
      </c>
      <c r="F232" s="28" t="inlineStr">
        <is>
          <t>Name, phone, email (or 'No email on file') and all menu entries are shown.</t>
        </is>
      </c>
      <c r="G232" s="29" t="inlineStr">
        <is>
          <t>P1</t>
        </is>
      </c>
      <c r="H232" s="29" t="inlineStr">
        <is>
          <t>Functional</t>
        </is>
      </c>
      <c r="I232" s="29" t="inlineStr">
        <is>
          <t>Both</t>
        </is>
      </c>
      <c r="J232" s="29" t="n"/>
      <c r="K232" s="31" t="inlineStr">
        <is>
          <t>Pass</t>
        </is>
      </c>
      <c r="L232" s="32" t="inlineStr">
        <is>
          <t>Claude (adb)</t>
        </is>
      </c>
      <c r="M232" s="33" t="n">
        <v>46301</v>
      </c>
      <c r="N232" s="32" t="inlineStr">
        <is>
          <t>1.0.0+1 debug</t>
        </is>
      </c>
      <c r="O232" s="32" t="inlineStr">
        <is>
          <t>emulator-5554 / Android 14</t>
        </is>
      </c>
      <c r="P232" s="32" t="n"/>
      <c r="Q232" s="32" t="inlineStr">
        <is>
          <t>6 Oct 2026: Profile: 'Sanjay Varma', email, Personal Information (mobile +919808683257, alternate number), Family members (2 saved), Insurance policies, Emergency contacts, Saved addresses, Help &amp; Support, FAQs, Terms / Privacy / Community Guidelines, Change password, Signed-in devices, Download my data, Logout, Delete account.</t>
        </is>
      </c>
    </row>
    <row r="233" ht="30" customHeight="1">
      <c r="A233" s="27" t="inlineStr">
        <is>
          <t>PROF-002</t>
        </is>
      </c>
      <c r="B233" s="28" t="inlineStr">
        <is>
          <t>13 Profile &amp; account</t>
        </is>
      </c>
      <c r="C233" s="28" t="inlineStr">
        <is>
          <t>Edit</t>
        </is>
      </c>
      <c r="D233" s="28" t="inlineStr">
        <is>
          <t>Edit personal information</t>
        </is>
      </c>
      <c r="E233" s="28" t="inlineStr">
        <is>
          <t>1. Change name, email, gender, blood group
2. Save</t>
        </is>
      </c>
      <c r="F233" s="28" t="inlineStr">
        <is>
          <t>Saved; values persist after relaunch and appear on Home.</t>
        </is>
      </c>
      <c r="G233" s="29" t="inlineStr">
        <is>
          <t>P0</t>
        </is>
      </c>
      <c r="H233" s="29" t="inlineStr">
        <is>
          <t>Functional</t>
        </is>
      </c>
      <c r="I233" s="29" t="inlineStr">
        <is>
          <t>Both</t>
        </is>
      </c>
      <c r="J233" s="29" t="n"/>
      <c r="K233" s="31" t="inlineStr">
        <is>
          <t>Pass</t>
        </is>
      </c>
      <c r="L233" s="32" t="inlineStr">
        <is>
          <t>Claude (adb)</t>
        </is>
      </c>
      <c r="M233" s="33" t="n">
        <v>46301</v>
      </c>
      <c r="N233" s="32" t="inlineStr">
        <is>
          <t>1.0.0+1 debug</t>
        </is>
      </c>
      <c r="O233" s="32" t="inlineStr">
        <is>
          <t>emulator-5554 / Android 14</t>
        </is>
      </c>
      <c r="P233" s="32" t="n"/>
      <c r="Q233" s="32" t="inlineStr">
        <is>
          <t>6 Oct 2026: First name changed to 'Sanjayq' and saved; after force-stop and relaunch Home greeted 'Welcome back, Sanjayq!' and Edit Profile showed it; changed back to 'Sanjay' (server confirmed). Blood group set and cleared (BL-PROF-005); only changed fields are sent (BL-PROF-004). Email is read-only by design ('Changing the email address is not available yet', BL-PROF-007).</t>
        </is>
      </c>
    </row>
    <row r="234" ht="30" customHeight="1">
      <c r="A234" s="27" t="inlineStr">
        <is>
          <t>PROF-003</t>
        </is>
      </c>
      <c r="B234" s="28" t="inlineStr">
        <is>
          <t>13 Profile &amp; account</t>
        </is>
      </c>
      <c r="C234" s="28" t="inlineStr">
        <is>
          <t>Edit</t>
        </is>
      </c>
      <c r="D234" s="28" t="inlineStr">
        <is>
          <t>Validation</t>
        </is>
      </c>
      <c r="E234" s="28" t="inlineStr">
        <is>
          <t>Enter an invalid email, a 1-character name, digits in the name</t>
        </is>
      </c>
      <c r="F234" s="28" t="inlineStr">
        <is>
          <t>Inline errors; save blocked.</t>
        </is>
      </c>
      <c r="G234" s="29" t="inlineStr">
        <is>
          <t>P1</t>
        </is>
      </c>
      <c r="H234" s="29" t="inlineStr">
        <is>
          <t>Negative</t>
        </is>
      </c>
      <c r="I234" s="29" t="inlineStr">
        <is>
          <t>Both</t>
        </is>
      </c>
      <c r="J234" s="29" t="n"/>
      <c r="K234" s="31" t="inlineStr">
        <is>
          <t>Pass</t>
        </is>
      </c>
      <c r="L234" s="32" t="inlineStr">
        <is>
          <t>Claude (adb)</t>
        </is>
      </c>
      <c r="M234" s="33" t="n">
        <v>46301</v>
      </c>
      <c r="N234" s="32" t="inlineStr">
        <is>
          <t>1.0.0+1 debug</t>
        </is>
      </c>
      <c r="O234" s="32" t="inlineStr">
        <is>
          <t>emulator-5554 / Android 14</t>
        </is>
      </c>
      <c r="P234" s="32" t="n"/>
      <c r="Q234" s="32" t="inlineStr">
        <is>
          <t>6 Oct 2026: 'A' -&gt; 'Name is too short'; 'Anita2' -&gt; 'Use letters only'; save blocked (BL-PROF-001). Email is not editable on Profile (BL-PROF-007), so the invalid-email case does not apply here (it is checked on sign-up, AUTH-006).</t>
        </is>
      </c>
    </row>
    <row r="235" ht="43" customHeight="1">
      <c r="A235" s="27" t="inlineStr">
        <is>
          <t>PROF-004</t>
        </is>
      </c>
      <c r="B235" s="28" t="inlineStr">
        <is>
          <t>13 Profile &amp; account</t>
        </is>
      </c>
      <c r="C235" s="28" t="inlineStr">
        <is>
          <t>Edit</t>
        </is>
      </c>
      <c r="D235" s="28" t="inlineStr">
        <is>
          <t>Allergies</t>
        </is>
      </c>
      <c r="E235" s="28" t="inlineStr">
        <is>
          <t>1. Add an allergy
2. Try adding an empty one
3. Remove one</t>
        </is>
      </c>
      <c r="F235" s="28" t="inlineStr">
        <is>
          <t>List updates; 'Type an allergy first' for empty input.</t>
        </is>
      </c>
      <c r="G235" s="29" t="inlineStr">
        <is>
          <t>P2</t>
        </is>
      </c>
      <c r="H235" s="29" t="inlineStr">
        <is>
          <t>Functional</t>
        </is>
      </c>
      <c r="I235" s="29" t="inlineStr">
        <is>
          <t>Both</t>
        </is>
      </c>
      <c r="J235" s="29" t="n"/>
      <c r="K235" s="31" t="inlineStr">
        <is>
          <t>Pass</t>
        </is>
      </c>
      <c r="L235" s="32" t="inlineStr">
        <is>
          <t>Claude (adb)</t>
        </is>
      </c>
      <c r="M235" s="33" t="n">
        <v>46301</v>
      </c>
      <c r="N235" s="32" t="inlineStr">
        <is>
          <t>1.0.0+1 debug</t>
        </is>
      </c>
      <c r="O235" s="32" t="inlineStr">
        <is>
          <t>emulator-5554 / Android 14</t>
        </is>
      </c>
      <c r="P235" s="32" t="n"/>
      <c r="Q235" s="32" t="inlineStr">
        <is>
          <t>6 Oct 2026: Add / remove allergies; empty input -&gt; 'Type an allergy first'; duplicate ignoring case refused (BL-PROF-003).</t>
        </is>
      </c>
    </row>
    <row r="236" ht="30" customHeight="1">
      <c r="A236" s="27" t="inlineStr">
        <is>
          <t>PROF-005</t>
        </is>
      </c>
      <c r="B236" s="28" t="inlineStr">
        <is>
          <t>13 Profile &amp; account</t>
        </is>
      </c>
      <c r="C236" s="28" t="inlineStr">
        <is>
          <t>Edit</t>
        </is>
      </c>
      <c r="D236" s="28" t="inlineStr">
        <is>
          <t>Unsaved changes guard</t>
        </is>
      </c>
      <c r="E236" s="28" t="inlineStr">
        <is>
          <t>1. Change a field
2. Press Back</t>
        </is>
      </c>
      <c r="F236" s="28" t="inlineStr">
        <is>
          <t>Confirmation before discarding.</t>
        </is>
      </c>
      <c r="G236" s="29" t="inlineStr">
        <is>
          <t>P2</t>
        </is>
      </c>
      <c r="H236" s="29" t="inlineStr">
        <is>
          <t>Functional</t>
        </is>
      </c>
      <c r="I236" s="29" t="inlineStr">
        <is>
          <t>Both</t>
        </is>
      </c>
      <c r="J236" s="29" t="n"/>
      <c r="K236" s="31" t="inlineStr">
        <is>
          <t>Pass</t>
        </is>
      </c>
      <c r="L236" s="32" t="inlineStr">
        <is>
          <t>Claude (adb)</t>
        </is>
      </c>
      <c r="M236" s="33" t="n">
        <v>46301</v>
      </c>
      <c r="N236" s="32" t="inlineStr">
        <is>
          <t>1.0.0+1 debug</t>
        </is>
      </c>
      <c r="O236" s="32" t="inlineStr">
        <is>
          <t>emulator-5554 / Android 14</t>
        </is>
      </c>
      <c r="P236" s="32" t="n"/>
      <c r="Q236" s="32" t="inlineStr">
        <is>
          <t>6 Oct 2026: Change a field + Back -&gt; discard confirmation (BL-PROF-009, retested 5 Oct).</t>
        </is>
      </c>
    </row>
    <row r="237" ht="30" customHeight="1">
      <c r="A237" s="27" t="inlineStr">
        <is>
          <t>PROF-006</t>
        </is>
      </c>
      <c r="B237" s="28" t="inlineStr">
        <is>
          <t>13 Profile &amp; account</t>
        </is>
      </c>
      <c r="C237" s="28" t="inlineStr">
        <is>
          <t>Edit</t>
        </is>
      </c>
      <c r="D237" s="28" t="inlineStr">
        <is>
          <t>Edit conflict</t>
        </is>
      </c>
      <c r="E237" s="28" t="inlineStr">
        <is>
          <t>1. Edit the profile on two devices
2. Save on both</t>
        </is>
      </c>
      <c r="F237" s="28" t="inlineStr">
        <is>
          <t>Second save reports the conflict and reloads; no silent overwrite.</t>
        </is>
      </c>
      <c r="G237" s="29" t="inlineStr">
        <is>
          <t>P2</t>
        </is>
      </c>
      <c r="H237" s="29" t="inlineStr">
        <is>
          <t>Negative</t>
        </is>
      </c>
      <c r="I237" s="29" t="inlineStr">
        <is>
          <t>Both</t>
        </is>
      </c>
      <c r="J237" s="29" t="n"/>
      <c r="K237" s="31" t="inlineStr">
        <is>
          <t>Pass</t>
        </is>
      </c>
      <c r="L237" s="32" t="inlineStr">
        <is>
          <t>Claude (adb)</t>
        </is>
      </c>
      <c r="M237" s="33" t="n">
        <v>46301</v>
      </c>
      <c r="N237" s="32" t="inlineStr">
        <is>
          <t>1.0.0+1 debug</t>
        </is>
      </c>
      <c r="O237" s="32" t="inlineStr">
        <is>
          <t>emulator-5554 / Android 14</t>
        </is>
      </c>
      <c r="P237" s="32" t="n"/>
      <c r="Q237" s="32" t="inlineStr">
        <is>
          <t>6 Oct 2026: Save after another device's change -&gt; 'changed elsewhere', reload merges field by field; no silent overwrite (BL-PROF-010, DEF-032 fixed 5 Oct).</t>
        </is>
      </c>
    </row>
    <row r="238" ht="56" customHeight="1">
      <c r="A238" s="27" t="inlineStr">
        <is>
          <t>PROF-007</t>
        </is>
      </c>
      <c r="B238" s="28" t="inlineStr">
        <is>
          <t>13 Profile &amp; account</t>
        </is>
      </c>
      <c r="C238" s="28" t="inlineStr">
        <is>
          <t>Phone</t>
        </is>
      </c>
      <c r="D238" s="28" t="inlineStr">
        <is>
          <t>Change mobile number</t>
        </is>
      </c>
      <c r="E238" s="28" t="inlineStr">
        <is>
          <t>1. Profile &gt; change number
2. Verify the old number's code
3. Enter the new number
4. Verify its code</t>
        </is>
      </c>
      <c r="F238" s="28" t="inlineStr">
        <is>
          <t>Number is updated; sign-in works with the new number and not the old.</t>
        </is>
      </c>
      <c r="G238" s="29" t="inlineStr">
        <is>
          <t>P0</t>
        </is>
      </c>
      <c r="H238" s="29" t="inlineStr">
        <is>
          <t>Functional</t>
        </is>
      </c>
      <c r="I238" s="29" t="inlineStr">
        <is>
          <t>Both</t>
        </is>
      </c>
      <c r="J238" s="29" t="inlineStr">
        <is>
          <t>KB-05</t>
        </is>
      </c>
      <c r="K238" s="31" t="inlineStr">
        <is>
          <t>Blocked</t>
        </is>
      </c>
      <c r="L238" s="32" t="inlineStr">
        <is>
          <t>Claude (adb)</t>
        </is>
      </c>
      <c r="M238" s="33" t="n">
        <v>46301</v>
      </c>
      <c r="N238" s="32" t="inlineStr">
        <is>
          <t>1.0.0+1 debug</t>
        </is>
      </c>
      <c r="O238" s="32" t="inlineStr">
        <is>
          <t>emulator-5554 / Android 14</t>
        </is>
      </c>
      <c r="P238" s="32" t="n"/>
      <c r="Q238" s="32" t="inlineStr">
        <is>
          <t>6 Oct 2026: Step 1 sends codes ('Changing to: +919123456797 — not applied until both codes are confirmed'); wrong codes and timers checked 5 Oct; the codes never arrive. BB-01 (KB-05).</t>
        </is>
      </c>
    </row>
    <row r="239" ht="17" customHeight="1">
      <c r="A239" s="27" t="inlineStr">
        <is>
          <t>PROF-008</t>
        </is>
      </c>
      <c r="B239" s="28" t="inlineStr">
        <is>
          <t>13 Profile &amp; account</t>
        </is>
      </c>
      <c r="C239" s="28" t="inlineStr">
        <is>
          <t>Phone</t>
        </is>
      </c>
      <c r="D239" s="28" t="inlineStr">
        <is>
          <t>New number already registered</t>
        </is>
      </c>
      <c r="E239" s="28" t="inlineStr">
        <is>
          <t>Use a number belonging to another account</t>
        </is>
      </c>
      <c r="F239" s="28" t="inlineStr">
        <is>
          <t>Clear error; number is not changed.</t>
        </is>
      </c>
      <c r="G239" s="29" t="inlineStr">
        <is>
          <t>P1</t>
        </is>
      </c>
      <c r="H239" s="29" t="inlineStr">
        <is>
          <t>Negative</t>
        </is>
      </c>
      <c r="I239" s="29" t="inlineStr">
        <is>
          <t>Both</t>
        </is>
      </c>
      <c r="J239" s="29" t="inlineStr">
        <is>
          <t>KB-05</t>
        </is>
      </c>
      <c r="K239" s="31" t="inlineStr">
        <is>
          <t>Pass</t>
        </is>
      </c>
      <c r="L239" s="32" t="inlineStr">
        <is>
          <t>Claude (adb)</t>
        </is>
      </c>
      <c r="M239" s="33" t="n">
        <v>46301</v>
      </c>
      <c r="N239" s="32" t="inlineStr">
        <is>
          <t>1.0.0+1 debug</t>
        </is>
      </c>
      <c r="O239" s="32" t="inlineStr">
        <is>
          <t>emulator-5554 / Android 14</t>
        </is>
      </c>
      <c r="P239" s="32" t="n"/>
      <c r="Q239" s="32" t="inlineStr">
        <is>
          <t>6 Oct 2026: A number registered to another patient: 'This number belongs to another account…' at step 1; nothing changed (BL-PROF-013). The code steps after it need SMS (KB-05).</t>
        </is>
      </c>
    </row>
    <row r="240" ht="30" customHeight="1">
      <c r="A240" s="27" t="inlineStr">
        <is>
          <t>PROF-009</t>
        </is>
      </c>
      <c r="B240" s="28" t="inlineStr">
        <is>
          <t>13 Profile &amp; account</t>
        </is>
      </c>
      <c r="C240" s="28" t="inlineStr">
        <is>
          <t>Phone</t>
        </is>
      </c>
      <c r="D240" s="28" t="inlineStr">
        <is>
          <t>Alternate phone</t>
        </is>
      </c>
      <c r="E240" s="28" t="inlineStr">
        <is>
          <t>1. Add an alternate number
2. Remove it</t>
        </is>
      </c>
      <c r="F240" s="28" t="inlineStr">
        <is>
          <t>Both actions succeed and are reflected.</t>
        </is>
      </c>
      <c r="G240" s="29" t="inlineStr">
        <is>
          <t>P3</t>
        </is>
      </c>
      <c r="H240" s="29" t="inlineStr">
        <is>
          <t>Functional</t>
        </is>
      </c>
      <c r="I240" s="29" t="inlineStr">
        <is>
          <t>Both</t>
        </is>
      </c>
      <c r="J240" s="29" t="n"/>
      <c r="K240" s="31" t="inlineStr">
        <is>
          <t>Pass</t>
        </is>
      </c>
      <c r="L240" s="32" t="inlineStr">
        <is>
          <t>Claude (adb)</t>
        </is>
      </c>
      <c r="M240" s="33" t="n">
        <v>46301</v>
      </c>
      <c r="N240" s="32" t="inlineStr">
        <is>
          <t>1.0.0+1 debug</t>
        </is>
      </c>
      <c r="O240" s="32" t="inlineStr">
        <is>
          <t>emulator-5554 / Android 14</t>
        </is>
      </c>
      <c r="P240" s="32" t="n"/>
      <c r="Q240" s="32" t="inlineStr">
        <is>
          <t>6 Oct 2026: Add alternate number: 'Alternate number saved' with no code step; remove works; the sign-in number itself is refused ('This is already your sign-in number', BL-PROF-019, -020).</t>
        </is>
      </c>
    </row>
    <row r="241" ht="56" customHeight="1">
      <c r="A241" s="27" t="inlineStr">
        <is>
          <t>PROF-010</t>
        </is>
      </c>
      <c r="B241" s="28" t="inlineStr">
        <is>
          <t>13 Profile &amp; account</t>
        </is>
      </c>
      <c r="C241" s="28" t="inlineStr">
        <is>
          <t>Addresses</t>
        </is>
      </c>
      <c r="D241" s="28" t="inlineStr">
        <is>
          <t>Add, edit, delete and set default address</t>
        </is>
      </c>
      <c r="E241" s="28" t="inlineStr">
        <is>
          <t>1. Add an address
2. Edit it
3. Add a second and make it default
4. Delete one</t>
        </is>
      </c>
      <c r="F241" s="28" t="inlineStr">
        <is>
          <t>All changes persist; exactly one default.</t>
        </is>
      </c>
      <c r="G241" s="29" t="inlineStr">
        <is>
          <t>P1</t>
        </is>
      </c>
      <c r="H241" s="29" t="inlineStr">
        <is>
          <t>Functional</t>
        </is>
      </c>
      <c r="I241" s="29" t="inlineStr">
        <is>
          <t>Both</t>
        </is>
      </c>
      <c r="J241" s="29" t="n"/>
      <c r="K241" s="31" t="inlineStr">
        <is>
          <t>Pass</t>
        </is>
      </c>
      <c r="L241" s="32" t="inlineStr">
        <is>
          <t>Claude (adb)</t>
        </is>
      </c>
      <c r="M241" s="33" t="n">
        <v>46301</v>
      </c>
      <c r="N241" s="32" t="inlineStr">
        <is>
          <t>1.0.0+1 debug</t>
        </is>
      </c>
      <c r="O241" s="32" t="inlineStr">
        <is>
          <t>emulator-5554 / Android 14</t>
        </is>
      </c>
      <c r="P241" s="32" t="n"/>
      <c r="Q241" s="32" t="inlineStr">
        <is>
          <t>6 Oct 2026: Add / edit / delete addresses, 'Make Default' -&gt; exactly one default, removing the default moves it (BL-PROF-021 to -024; 'Beach house' edit retested 5 Oct).</t>
        </is>
      </c>
    </row>
    <row r="242" ht="17" customHeight="1">
      <c r="A242" s="27" t="inlineStr">
        <is>
          <t>PROF-011</t>
        </is>
      </c>
      <c r="B242" s="28" t="inlineStr">
        <is>
          <t>13 Profile &amp; account</t>
        </is>
      </c>
      <c r="C242" s="28" t="inlineStr">
        <is>
          <t>Addresses</t>
        </is>
      </c>
      <c r="D242" s="28" t="inlineStr">
        <is>
          <t>Address validation</t>
        </is>
      </c>
      <c r="E242" s="28" t="inlineStr">
        <is>
          <t>Leave line 1/city/state empty; use a 5-digit PIN</t>
        </is>
      </c>
      <c r="F242" s="28" t="inlineStr">
        <is>
          <t>Inline errors.</t>
        </is>
      </c>
      <c r="G242" s="29" t="inlineStr">
        <is>
          <t>P2</t>
        </is>
      </c>
      <c r="H242" s="29" t="inlineStr">
        <is>
          <t>Negative</t>
        </is>
      </c>
      <c r="I242" s="29" t="inlineStr">
        <is>
          <t>Both</t>
        </is>
      </c>
      <c r="J242" s="29" t="n"/>
      <c r="K242" s="31" t="inlineStr">
        <is>
          <t>Pass</t>
        </is>
      </c>
      <c r="L242" s="32" t="inlineStr">
        <is>
          <t>Claude (adb)</t>
        </is>
      </c>
      <c r="M242" s="33" t="n">
        <v>46301</v>
      </c>
      <c r="N242" s="32" t="inlineStr">
        <is>
          <t>1.0.0+1 debug</t>
        </is>
      </c>
      <c r="O242" s="32" t="inlineStr">
        <is>
          <t>emulator-5554 / Android 14</t>
        </is>
      </c>
      <c r="P242" s="32" t="n"/>
      <c r="Q242" s="32" t="inlineStr">
        <is>
          <t>6 Oct 2026: Empty save: 'Choose a label', 'Enter the street address', 'Enter a city'… ; 5-digit PIN refused (BL-PROF-021).</t>
        </is>
      </c>
    </row>
    <row r="243" ht="56" customHeight="1">
      <c r="A243" s="27" t="inlineStr">
        <is>
          <t>PROF-012</t>
        </is>
      </c>
      <c r="B243" s="28" t="inlineStr">
        <is>
          <t>13 Profile &amp; account</t>
        </is>
      </c>
      <c r="C243" s="28" t="inlineStr">
        <is>
          <t>Emergency</t>
        </is>
      </c>
      <c r="D243" s="28" t="inlineStr">
        <is>
          <t>Emergency contacts</t>
        </is>
      </c>
      <c r="E243" s="28" t="inlineStr">
        <is>
          <t>1. Add a contact
2. Edit
3. Set primary
4. Delete</t>
        </is>
      </c>
      <c r="F243" s="28" t="inlineStr">
        <is>
          <t>All changes persist; exactly one primary; empty state when none.</t>
        </is>
      </c>
      <c r="G243" s="29" t="inlineStr">
        <is>
          <t>P1</t>
        </is>
      </c>
      <c r="H243" s="29" t="inlineStr">
        <is>
          <t>Functional</t>
        </is>
      </c>
      <c r="I243" s="29" t="inlineStr">
        <is>
          <t>Both</t>
        </is>
      </c>
      <c r="J243" s="29" t="n"/>
      <c r="K243" s="31" t="inlineStr">
        <is>
          <t>Pass</t>
        </is>
      </c>
      <c r="L243" s="32" t="inlineStr">
        <is>
          <t>Claude (adb)</t>
        </is>
      </c>
      <c r="M243" s="33" t="n">
        <v>46301</v>
      </c>
      <c r="N243" s="32" t="inlineStr">
        <is>
          <t>1.0.0+1 debug</t>
        </is>
      </c>
      <c r="O243" s="32" t="inlineStr">
        <is>
          <t>emulator-5554 / Android 14</t>
        </is>
      </c>
      <c r="P243" s="32" t="n"/>
      <c r="Q243" s="32" t="inlineStr">
        <is>
          <t>6 Oct 2026: Add / edit / make primary / delete emergency contacts; exactly one primary; removing the primary explained (BL-PROF-026 to -028).</t>
        </is>
      </c>
    </row>
    <row r="244" ht="17" customHeight="1">
      <c r="A244" s="27" t="inlineStr">
        <is>
          <t>PROF-013</t>
        </is>
      </c>
      <c r="B244" s="28" t="inlineStr">
        <is>
          <t>13 Profile &amp; account</t>
        </is>
      </c>
      <c r="C244" s="28" t="inlineStr">
        <is>
          <t>Sessions</t>
        </is>
      </c>
      <c r="D244" s="28" t="inlineStr">
        <is>
          <t>Signed-in devices list</t>
        </is>
      </c>
      <c r="E244" s="28" t="inlineStr">
        <is>
          <t>Open Signed-in devices with two active sessions</t>
        </is>
      </c>
      <c r="F244" s="28" t="inlineStr">
        <is>
          <t>Both listed; the current one is marked.</t>
        </is>
      </c>
      <c r="G244" s="29" t="inlineStr">
        <is>
          <t>P1</t>
        </is>
      </c>
      <c r="H244" s="29" t="inlineStr">
        <is>
          <t>Functional</t>
        </is>
      </c>
      <c r="I244" s="29" t="inlineStr">
        <is>
          <t>Both</t>
        </is>
      </c>
      <c r="J244" s="29" t="n"/>
      <c r="K244" s="31" t="inlineStr">
        <is>
          <t>Pass</t>
        </is>
      </c>
      <c r="L244" s="32" t="inlineStr">
        <is>
          <t>Claude (adb)</t>
        </is>
      </c>
      <c r="M244" s="33" t="n">
        <v>46301</v>
      </c>
      <c r="N244" s="32" t="inlineStr">
        <is>
          <t>1.0.0+1 debug</t>
        </is>
      </c>
      <c r="O244" s="32" t="inlineStr">
        <is>
          <t>emulator-5554 / Android 14</t>
        </is>
      </c>
      <c r="P244" s="32" t="n"/>
      <c r="Q244" s="32" t="inlineStr">
        <is>
          <t>6 Oct 2026: Signed-in devices lists the sessions ('6 other devices are signed in…') with this device marked (BL-PROF-029).</t>
        </is>
      </c>
    </row>
    <row r="245" ht="17" customHeight="1">
      <c r="A245" s="27" t="inlineStr">
        <is>
          <t>PROF-014</t>
        </is>
      </c>
      <c r="B245" s="28" t="inlineStr">
        <is>
          <t>13 Profile &amp; account</t>
        </is>
      </c>
      <c r="C245" s="28" t="inlineStr">
        <is>
          <t>Sessions</t>
        </is>
      </c>
      <c r="D245" s="28" t="inlineStr">
        <is>
          <t>End another session</t>
        </is>
      </c>
      <c r="E245" s="28" t="inlineStr">
        <is>
          <t>End the other device's session</t>
        </is>
      </c>
      <c r="F245" s="28" t="inlineStr">
        <is>
          <t>It disappears from the list and that device is signed out.</t>
        </is>
      </c>
      <c r="G245" s="29" t="inlineStr">
        <is>
          <t>P1</t>
        </is>
      </c>
      <c r="H245" s="29" t="inlineStr">
        <is>
          <t>Security</t>
        </is>
      </c>
      <c r="I245" s="29" t="inlineStr">
        <is>
          <t>Both</t>
        </is>
      </c>
      <c r="J245" s="29" t="n"/>
      <c r="K245" s="31" t="inlineStr">
        <is>
          <t>Pass</t>
        </is>
      </c>
      <c r="L245" s="32" t="inlineStr">
        <is>
          <t>Claude (adb)</t>
        </is>
      </c>
      <c r="M245" s="33" t="n">
        <v>46301</v>
      </c>
      <c r="N245" s="32" t="inlineStr">
        <is>
          <t>1.0.0+1 debug</t>
        </is>
      </c>
      <c r="O245" s="32" t="inlineStr">
        <is>
          <t>emulator-5554 / Android 14</t>
        </is>
      </c>
      <c r="P245" s="32" t="n"/>
      <c r="Q245" s="32" t="inlineStr">
        <is>
          <t>6 Oct 2026: Signing out another device removes its row and that session ends (BL-PROF-030; the emulator itself was signed out this way in BL-AUTH-049).</t>
        </is>
      </c>
    </row>
    <row r="246" ht="17" customHeight="1">
      <c r="A246" s="27" t="inlineStr">
        <is>
          <t>PROF-015</t>
        </is>
      </c>
      <c r="B246" s="28" t="inlineStr">
        <is>
          <t>13 Profile &amp; account</t>
        </is>
      </c>
      <c r="C246" s="28" t="inlineStr">
        <is>
          <t>Sessions</t>
        </is>
      </c>
      <c r="D246" s="28" t="inlineStr">
        <is>
          <t>Log out everywhere</t>
        </is>
      </c>
      <c r="E246" s="28" t="inlineStr">
        <is>
          <t>Use 'log out everywhere'</t>
        </is>
      </c>
      <c r="F246" s="28" t="inlineStr">
        <is>
          <t>All devices, including this one, return to sign-in.</t>
        </is>
      </c>
      <c r="G246" s="29" t="inlineStr">
        <is>
          <t>P1</t>
        </is>
      </c>
      <c r="H246" s="29" t="inlineStr">
        <is>
          <t>Security</t>
        </is>
      </c>
      <c r="I246" s="29" t="inlineStr">
        <is>
          <t>Both</t>
        </is>
      </c>
      <c r="J246" s="29" t="n"/>
      <c r="K246" s="31" t="inlineStr">
        <is>
          <t>Pass</t>
        </is>
      </c>
      <c r="L246" s="32" t="inlineStr">
        <is>
          <t>Claude (adb)</t>
        </is>
      </c>
      <c r="M246" s="33" t="n">
        <v>46301</v>
      </c>
      <c r="N246" s="32" t="inlineStr">
        <is>
          <t>1.0.0+1 debug</t>
        </is>
      </c>
      <c r="O246" s="32" t="inlineStr">
        <is>
          <t>emulator-5554 / Android 14</t>
        </is>
      </c>
      <c r="P246" s="32" t="n"/>
      <c r="Q246" s="32" t="inlineStr">
        <is>
          <t>6 Oct 2026: 'Log Out Everywhere': 'Every device, including this one, is signed out now…' -&gt; the app returns to sign-in and other clients' tokens answer AUTH_SESSION_REVOKED (BL-PROF-030).</t>
        </is>
      </c>
    </row>
    <row r="247" ht="43" customHeight="1">
      <c r="A247" s="27" t="inlineStr">
        <is>
          <t>PROF-016</t>
        </is>
      </c>
      <c r="B247" s="28" t="inlineStr">
        <is>
          <t>13 Profile &amp; account</t>
        </is>
      </c>
      <c r="C247" s="28" t="inlineStr">
        <is>
          <t>Data export</t>
        </is>
      </c>
      <c r="D247" s="28" t="inlineStr">
        <is>
          <t>Request a copy of my data</t>
        </is>
      </c>
      <c r="E247" s="28" t="inlineStr">
        <is>
          <t>1. Profile &gt; Download my data
2. Request
3. Tap request again</t>
        </is>
      </c>
      <c r="F247" s="28" t="inlineStr">
        <is>
          <t>One request is created with a reference and status; a duplicate is not created.</t>
        </is>
      </c>
      <c r="G247" s="29" t="inlineStr">
        <is>
          <t>P1</t>
        </is>
      </c>
      <c r="H247" s="29" t="inlineStr">
        <is>
          <t>Functional</t>
        </is>
      </c>
      <c r="I247" s="29" t="inlineStr">
        <is>
          <t>Both</t>
        </is>
      </c>
      <c r="J247" s="29" t="n"/>
      <c r="K247" s="31" t="inlineStr">
        <is>
          <t>Pass</t>
        </is>
      </c>
      <c r="L247" s="32" t="inlineStr">
        <is>
          <t>Claude (adb)</t>
        </is>
      </c>
      <c r="M247" s="33" t="n">
        <v>46301</v>
      </c>
      <c r="N247" s="32" t="inlineStr">
        <is>
          <t>1.0.0+1 debug</t>
        </is>
      </c>
      <c r="O247" s="32" t="inlineStr">
        <is>
          <t>emulator-5554 / Android 14</t>
        </is>
      </c>
      <c r="P247" s="32" t="n"/>
      <c r="Q247" s="32" t="inlineStr">
        <is>
          <t>6 Oct 2026: Download my data: one request (DSR-2026-0005) with reference and status; the button is replaced while it is open, so no duplicate (BL-PROF-031, -032).</t>
        </is>
      </c>
    </row>
    <row r="248" ht="30" customHeight="1">
      <c r="A248" s="27" t="inlineStr">
        <is>
          <t>PROF-017</t>
        </is>
      </c>
      <c r="B248" s="28" t="inlineStr">
        <is>
          <t>13 Profile &amp; account</t>
        </is>
      </c>
      <c r="C248" s="28" t="inlineStr">
        <is>
          <t>Data export</t>
        </is>
      </c>
      <c r="D248" s="28" t="inlineStr">
        <is>
          <t>Download a completed export</t>
        </is>
      </c>
      <c r="E248" s="28" t="inlineStr">
        <is>
          <t>1. Open a completed request
2. Download</t>
        </is>
      </c>
      <c r="F248" s="28" t="inlineStr">
        <is>
          <t>File downloads; expired link is refreshed.</t>
        </is>
      </c>
      <c r="G248" s="29" t="inlineStr">
        <is>
          <t>P1</t>
        </is>
      </c>
      <c r="H248" s="29" t="inlineStr">
        <is>
          <t>Functional</t>
        </is>
      </c>
      <c r="I248" s="29" t="inlineStr">
        <is>
          <t>Both</t>
        </is>
      </c>
      <c r="J248" s="29" t="inlineStr">
        <is>
          <t>KB-01</t>
        </is>
      </c>
      <c r="K248" s="31" t="inlineStr">
        <is>
          <t>Blocked</t>
        </is>
      </c>
      <c r="L248" s="32" t="inlineStr">
        <is>
          <t>Claude (adb)</t>
        </is>
      </c>
      <c r="M248" s="33" t="n">
        <v>46301</v>
      </c>
      <c r="N248" s="32" t="inlineStr">
        <is>
          <t>1.0.0+1 debug</t>
        </is>
      </c>
      <c r="O248" s="32" t="inlineStr">
        <is>
          <t>emulator-5554 / Android 14</t>
        </is>
      </c>
      <c r="P248" s="32" t="n"/>
      <c r="Q248" s="32" t="inlineStr">
        <is>
          <t>6 Oct 2026: The export file link points at storage.fake.local. BB-17 (KB-01), BB-19.</t>
        </is>
      </c>
    </row>
    <row r="249" ht="43" customHeight="1">
      <c r="A249" s="27" t="inlineStr">
        <is>
          <t>PROF-018</t>
        </is>
      </c>
      <c r="B249" s="28" t="inlineStr">
        <is>
          <t>13 Profile &amp; account</t>
        </is>
      </c>
      <c r="C249" s="28" t="inlineStr">
        <is>
          <t>Deletion</t>
        </is>
      </c>
      <c r="D249" s="28" t="inlineStr">
        <is>
          <t>Request account deletion</t>
        </is>
      </c>
      <c r="E249" s="28" t="inlineStr">
        <is>
          <t>1. Profile &gt; Delete account
2. Enter reason
3. Confirm</t>
        </is>
      </c>
      <c r="F249" s="28" t="inlineStr">
        <is>
          <t>Request number and cooling-off end date are shown; account is marked pending deletion; other sessions end.</t>
        </is>
      </c>
      <c r="G249" s="29" t="inlineStr">
        <is>
          <t>P0</t>
        </is>
      </c>
      <c r="H249" s="29" t="inlineStr">
        <is>
          <t>Functional</t>
        </is>
      </c>
      <c r="I249" s="29" t="inlineStr">
        <is>
          <t>Both</t>
        </is>
      </c>
      <c r="J249" s="29" t="n"/>
      <c r="K249" s="31" t="inlineStr">
        <is>
          <t>Pass</t>
        </is>
      </c>
      <c r="L249" s="32" t="inlineStr">
        <is>
          <t>Claude (adb)</t>
        </is>
      </c>
      <c r="M249" s="33" t="n">
        <v>46301</v>
      </c>
      <c r="N249" s="32" t="inlineStr">
        <is>
          <t>1.0.0+1 debug</t>
        </is>
      </c>
      <c r="O249" s="32" t="inlineStr">
        <is>
          <t>emulator-5554 / Android 14</t>
        </is>
      </c>
      <c r="P249" s="32" t="n"/>
      <c r="Q249" s="32" t="inlineStr">
        <is>
          <t>6 Oct 2026: Delete account: sheet explains the 30 days; 'Request deletion? Your account is frozen for 30 days… Every other signed-in device is logged out now.'; toast 'Deletion requested (DSR-2026-0007)'; card 'your account and data will be erased on &lt;date&gt;'; other sessions' tokens became invalid (BL-PROF-034, -035). Then withdrawn (PROF-019).</t>
        </is>
      </c>
    </row>
    <row r="250" ht="17" customHeight="1">
      <c r="A250" s="27" t="inlineStr">
        <is>
          <t>PROF-019</t>
        </is>
      </c>
      <c r="B250" s="28" t="inlineStr">
        <is>
          <t>13 Profile &amp; account</t>
        </is>
      </c>
      <c r="C250" s="28" t="inlineStr">
        <is>
          <t>Deletion</t>
        </is>
      </c>
      <c r="D250" s="28" t="inlineStr">
        <is>
          <t>Reactivate / withdraw</t>
        </is>
      </c>
      <c r="E250" s="28" t="inlineStr">
        <is>
          <t>Tap Reactivate (or sign in again during cooling-off)</t>
        </is>
      </c>
      <c r="F250" s="28" t="inlineStr">
        <is>
          <t>Account returns to active; request shows as withdrawn.</t>
        </is>
      </c>
      <c r="G250" s="29" t="inlineStr">
        <is>
          <t>P0</t>
        </is>
      </c>
      <c r="H250" s="29" t="inlineStr">
        <is>
          <t>Functional</t>
        </is>
      </c>
      <c r="I250" s="29" t="inlineStr">
        <is>
          <t>Both</t>
        </is>
      </c>
      <c r="J250" s="29" t="n"/>
      <c r="K250" s="31" t="inlineStr">
        <is>
          <t>Pass</t>
        </is>
      </c>
      <c r="L250" s="32" t="inlineStr">
        <is>
          <t>Claude (adb)</t>
        </is>
      </c>
      <c r="M250" s="33" t="n">
        <v>46301</v>
      </c>
      <c r="N250" s="32" t="inlineStr">
        <is>
          <t>1.0.0+1 debug</t>
        </is>
      </c>
      <c r="O250" s="32" t="inlineStr">
        <is>
          <t>emulator-5554 / Android 14</t>
        </is>
      </c>
      <c r="P250" s="32" t="n"/>
      <c r="Q250" s="32" t="inlineStr">
        <is>
          <t>6 Oct 2026: Withdraw Request -&gt; 'Keep your account?' -&gt; account active again, request withdrawn (BL-PROF-036).</t>
        </is>
      </c>
    </row>
    <row r="251" ht="17" customHeight="1">
      <c r="A251" s="27" t="inlineStr">
        <is>
          <t>PROF-020</t>
        </is>
      </c>
      <c r="B251" s="28" t="inlineStr">
        <is>
          <t>13 Profile &amp; account</t>
        </is>
      </c>
      <c r="C251" s="28" t="inlineStr">
        <is>
          <t>Deletion</t>
        </is>
      </c>
      <c r="D251" s="28" t="inlineStr">
        <is>
          <t>Duplicate deletion request</t>
        </is>
      </c>
      <c r="E251" s="28" t="inlineStr">
        <is>
          <t>Request deletion twice</t>
        </is>
      </c>
      <c r="F251" s="28" t="inlineStr">
        <is>
          <t>Second attempt is handled gracefully (already requested).</t>
        </is>
      </c>
      <c r="G251" s="29" t="inlineStr">
        <is>
          <t>P2</t>
        </is>
      </c>
      <c r="H251" s="29" t="inlineStr">
        <is>
          <t>Negative</t>
        </is>
      </c>
      <c r="I251" s="29" t="inlineStr">
        <is>
          <t>Both</t>
        </is>
      </c>
      <c r="J251" s="29" t="n"/>
      <c r="K251" s="31" t="inlineStr">
        <is>
          <t>Pass</t>
        </is>
      </c>
      <c r="L251" s="32" t="inlineStr">
        <is>
          <t>Claude (adb)</t>
        </is>
      </c>
      <c r="M251" s="33" t="n">
        <v>46301</v>
      </c>
      <c r="N251" s="32" t="inlineStr">
        <is>
          <t>1.0.0+1 debug</t>
        </is>
      </c>
      <c r="O251" s="32" t="inlineStr">
        <is>
          <t>emulator-5554 / Android 14</t>
        </is>
      </c>
      <c r="P251" s="32" t="n"/>
      <c r="Q251" s="32" t="inlineStr">
        <is>
          <t>6 Oct 2026: Two simultaneous taps on 'Request Deletion' made one request; while one is pending the action is not offered again (BL-PROF-037).</t>
        </is>
      </c>
    </row>
    <row r="252" ht="17" customHeight="1">
      <c r="A252" s="27" t="inlineStr">
        <is>
          <t>PROF-021</t>
        </is>
      </c>
      <c r="B252" s="28" t="inlineStr">
        <is>
          <t>13 Profile &amp; account</t>
        </is>
      </c>
      <c r="C252" s="28" t="inlineStr">
        <is>
          <t>Legal</t>
        </is>
      </c>
      <c r="D252" s="28" t="inlineStr">
        <is>
          <t>Policies from Profile</t>
        </is>
      </c>
      <c r="E252" s="28" t="inlineStr">
        <is>
          <t>Open Terms, Privacy and Community Guidelines</t>
        </is>
      </c>
      <c r="F252" s="28" t="inlineStr">
        <is>
          <t>Each loads its document.</t>
        </is>
      </c>
      <c r="G252" s="29" t="inlineStr">
        <is>
          <t>P2</t>
        </is>
      </c>
      <c r="H252" s="29" t="inlineStr">
        <is>
          <t>Functional</t>
        </is>
      </c>
      <c r="I252" s="29" t="inlineStr">
        <is>
          <t>Both</t>
        </is>
      </c>
      <c r="J252" s="29" t="n"/>
      <c r="K252" s="31" t="inlineStr">
        <is>
          <t>Pass</t>
        </is>
      </c>
      <c r="L252" s="32" t="inlineStr">
        <is>
          <t>Claude (adb)</t>
        </is>
      </c>
      <c r="M252" s="33" t="n">
        <v>46301</v>
      </c>
      <c r="N252" s="32" t="inlineStr">
        <is>
          <t>1.0.0+1 debug</t>
        </is>
      </c>
      <c r="O252" s="32" t="inlineStr">
        <is>
          <t>emulator-5554 / Android 14</t>
        </is>
      </c>
      <c r="P252" s="32" t="n"/>
      <c r="Q252" s="32" t="inlineStr">
        <is>
          <t>6 Oct 2026: Profile &gt; Terms of Service, Privacy Policy and Community Guidelines each load their own document ('Version 1 · published 31 July 2026') (BL-SUP-014; ONB-004 today).</t>
        </is>
      </c>
    </row>
    <row r="253" ht="17" customHeight="1">
      <c r="A253" s="27" t="inlineStr">
        <is>
          <t>PROF-022</t>
        </is>
      </c>
      <c r="B253" s="28" t="inlineStr">
        <is>
          <t>13 Profile &amp; account</t>
        </is>
      </c>
      <c r="C253" s="28" t="inlineStr">
        <is>
          <t>Marketing</t>
        </is>
      </c>
      <c r="D253" s="28" t="inlineStr">
        <is>
          <t>Marketing preference</t>
        </is>
      </c>
      <c r="E253" s="28" t="inlineStr">
        <is>
          <t>Toggle the offers/marketing preference (if exposed)</t>
        </is>
      </c>
      <c r="F253" s="28" t="inlineStr">
        <is>
          <t>Preference is saved on the account.</t>
        </is>
      </c>
      <c r="G253" s="29" t="inlineStr">
        <is>
          <t>P3</t>
        </is>
      </c>
      <c r="H253" s="29" t="inlineStr">
        <is>
          <t>Functional</t>
        </is>
      </c>
      <c r="I253" s="29" t="inlineStr">
        <is>
          <t>Both</t>
        </is>
      </c>
      <c r="J253" s="29" t="n"/>
      <c r="K253" s="31" t="inlineStr">
        <is>
          <t>Pass</t>
        </is>
      </c>
      <c r="L253" s="32" t="inlineStr">
        <is>
          <t>Claude (adb)</t>
        </is>
      </c>
      <c r="M253" s="33" t="n">
        <v>46301</v>
      </c>
      <c r="N253" s="32" t="inlineStr">
        <is>
          <t>1.0.0+1 debug</t>
        </is>
      </c>
      <c r="O253" s="32" t="inlineStr">
        <is>
          <t>emulator-5554 / Android 14</t>
        </is>
      </c>
      <c r="P253" s="32" t="n"/>
      <c r="Q253" s="32" t="inlineStr">
        <is>
          <t>6 Oct 2026: Edit Profile 'Offers and health camp updates' switch: turned off + Save -&gt; server marketing_opt_in false; turned on + Save -&gt; true (restored).</t>
        </is>
      </c>
    </row>
    <row r="254" ht="30" customHeight="1">
      <c r="A254" s="27" t="inlineStr">
        <is>
          <t>DEP-001</t>
        </is>
      </c>
      <c r="B254" s="28" t="inlineStr">
        <is>
          <t>14 Family members (dependants)</t>
        </is>
      </c>
      <c r="C254" s="28" t="inlineStr">
        <is>
          <t>List</t>
        </is>
      </c>
      <c r="D254" s="28" t="inlineStr">
        <is>
          <t>Family list</t>
        </is>
      </c>
      <c r="E254" s="28" t="inlineStr">
        <is>
          <t>Open Family members</t>
        </is>
      </c>
      <c r="F254" s="28" t="inlineStr">
        <is>
          <t>Account holder is first and marked as you; others follow with relation.</t>
        </is>
      </c>
      <c r="G254" s="29" t="inlineStr">
        <is>
          <t>P1</t>
        </is>
      </c>
      <c r="H254" s="29" t="inlineStr">
        <is>
          <t>Functional</t>
        </is>
      </c>
      <c r="I254" s="29" t="inlineStr">
        <is>
          <t>Both</t>
        </is>
      </c>
      <c r="J254" s="29" t="n"/>
      <c r="K254" s="31" t="inlineStr">
        <is>
          <t>Pass</t>
        </is>
      </c>
      <c r="L254" s="32" t="inlineStr">
        <is>
          <t>Claude (adb)</t>
        </is>
      </c>
      <c r="M254" s="33" t="n">
        <v>46301</v>
      </c>
      <c r="N254" s="32" t="inlineStr">
        <is>
          <t>1.0.0+1 debug</t>
        </is>
      </c>
      <c r="O254" s="32" t="inlineStr">
        <is>
          <t>emulator-5554 / Android 14</t>
        </is>
      </c>
      <c r="P254" s="32" t="n"/>
      <c r="Q254" s="32" t="inlineStr">
        <is>
          <t>6 Oct 2026: Family members: 'Sanjay Varma — You · 41 years' first, then 'Tara Varma — Wife · 39 years · Female', 'Ishaan Varma — Son · 6 years · Male · Minor'.</t>
        </is>
      </c>
    </row>
    <row r="255" ht="30" customHeight="1">
      <c r="A255" s="27" t="inlineStr">
        <is>
          <t>DEP-002</t>
        </is>
      </c>
      <c r="B255" s="28" t="inlineStr">
        <is>
          <t>14 Family members (dependants)</t>
        </is>
      </c>
      <c r="C255" s="28" t="inlineStr">
        <is>
          <t>Add</t>
        </is>
      </c>
      <c r="D255" s="28" t="inlineStr">
        <is>
          <t>Add a family member</t>
        </is>
      </c>
      <c r="E255" s="28" t="inlineStr">
        <is>
          <t>Add with first name and relation, plus optional DOB, gender, blood group, allergies</t>
        </is>
      </c>
      <c r="F255" s="28" t="inlineStr">
        <is>
          <t>Member is saved and appears in the list, in booking and in records.</t>
        </is>
      </c>
      <c r="G255" s="29" t="inlineStr">
        <is>
          <t>P0</t>
        </is>
      </c>
      <c r="H255" s="29" t="inlineStr">
        <is>
          <t>Functional</t>
        </is>
      </c>
      <c r="I255" s="29" t="inlineStr">
        <is>
          <t>Both</t>
        </is>
      </c>
      <c r="J255" s="29" t="n"/>
      <c r="K255" s="31" t="inlineStr">
        <is>
          <t>Pass</t>
        </is>
      </c>
      <c r="L255" s="32" t="inlineStr">
        <is>
          <t>Claude (adb)</t>
        </is>
      </c>
      <c r="M255" s="33" t="n">
        <v>46301</v>
      </c>
      <c r="N255" s="32" t="inlineStr">
        <is>
          <t>1.0.0+1 debug</t>
        </is>
      </c>
      <c r="O255" s="32" t="inlineStr">
        <is>
          <t>emulator-5554 / Android 14</t>
        </is>
      </c>
      <c r="P255" s="32" t="n"/>
      <c r="Q255" s="32" t="inlineStr">
        <is>
          <t>6 Oct 2026: Added 'Qatest' (Other, 1 Oct 2016, Female) from booking: listed at once in booking and Family (BOOK-009, DEF-083 fixed today); and in records/booking (BL-FAM-004). Test member deleted.</t>
        </is>
      </c>
    </row>
    <row r="256" ht="30" customHeight="1">
      <c r="A256" s="27" t="inlineStr">
        <is>
          <t>DEP-003</t>
        </is>
      </c>
      <c r="B256" s="28" t="inlineStr">
        <is>
          <t>14 Family members (dependants)</t>
        </is>
      </c>
      <c r="C256" s="28" t="inlineStr">
        <is>
          <t>Add</t>
        </is>
      </c>
      <c r="D256" s="28" t="inlineStr">
        <is>
          <t>Validation</t>
        </is>
      </c>
      <c r="E256" s="28" t="inlineStr">
        <is>
          <t>Save without a name / relation; pick a future date of birth</t>
        </is>
      </c>
      <c r="F256" s="28" t="inlineStr">
        <is>
          <t>Inline errors.</t>
        </is>
      </c>
      <c r="G256" s="29" t="inlineStr">
        <is>
          <t>P1</t>
        </is>
      </c>
      <c r="H256" s="29" t="inlineStr">
        <is>
          <t>Negative</t>
        </is>
      </c>
      <c r="I256" s="29" t="inlineStr">
        <is>
          <t>Both</t>
        </is>
      </c>
      <c r="J256" s="29" t="n"/>
      <c r="K256" s="31" t="inlineStr">
        <is>
          <t>Pass</t>
        </is>
      </c>
      <c r="L256" s="32" t="inlineStr">
        <is>
          <t>Claude (adb)</t>
        </is>
      </c>
      <c r="M256" s="33" t="n">
        <v>46301</v>
      </c>
      <c r="N256" s="32" t="inlineStr">
        <is>
          <t>1.0.0+1 debug</t>
        </is>
      </c>
      <c r="O256" s="32" t="inlineStr">
        <is>
          <t>emulator-5554 / Android 14</t>
        </is>
      </c>
      <c r="P256" s="32" t="n"/>
      <c r="Q256" s="32" t="inlineStr">
        <is>
          <t>6 Oct 2026: Empty form: 'Enter a name', 'Choose how they are related to you'; future birth dates are out of range in the picker (BL-FAM-001, -002).</t>
        </is>
      </c>
    </row>
    <row r="257" ht="30" customHeight="1">
      <c r="A257" s="27" t="inlineStr">
        <is>
          <t>DEP-004</t>
        </is>
      </c>
      <c r="B257" s="28" t="inlineStr">
        <is>
          <t>14 Family members (dependants)</t>
        </is>
      </c>
      <c r="C257" s="28" t="inlineStr">
        <is>
          <t>Edit</t>
        </is>
      </c>
      <c r="D257" s="28" t="inlineStr">
        <is>
          <t>Edit a family member</t>
        </is>
      </c>
      <c r="E257" s="28" t="inlineStr">
        <is>
          <t>1. Change details
2. Save</t>
        </is>
      </c>
      <c r="F257" s="28" t="inlineStr">
        <is>
          <t>Saved and reflected everywhere.</t>
        </is>
      </c>
      <c r="G257" s="29" t="inlineStr">
        <is>
          <t>P1</t>
        </is>
      </c>
      <c r="H257" s="29" t="inlineStr">
        <is>
          <t>Functional</t>
        </is>
      </c>
      <c r="I257" s="29" t="inlineStr">
        <is>
          <t>Both</t>
        </is>
      </c>
      <c r="J257" s="29" t="n"/>
      <c r="K257" s="31" t="inlineStr">
        <is>
          <t>Pass</t>
        </is>
      </c>
      <c r="L257" s="32" t="inlineStr">
        <is>
          <t>Claude (adb)</t>
        </is>
      </c>
      <c r="M257" s="33" t="n">
        <v>46301</v>
      </c>
      <c r="N257" s="32" t="inlineStr">
        <is>
          <t>1.0.0+1 debug</t>
        </is>
      </c>
      <c r="O257" s="32" t="inlineStr">
        <is>
          <t>emulator-5554 / Android 14</t>
        </is>
      </c>
      <c r="P257" s="32" t="n"/>
      <c r="Q257" s="32" t="inlineStr">
        <is>
          <t>6 Oct 2026: Ishaan: added allergy 'Dust', Save Changes -&gt; server allergies ['Dust'] and the family list card shows it; removed again (server []).</t>
        </is>
      </c>
    </row>
    <row r="258" ht="30" customHeight="1">
      <c r="A258" s="27" t="inlineStr">
        <is>
          <t>DEP-005</t>
        </is>
      </c>
      <c r="B258" s="28" t="inlineStr">
        <is>
          <t>14 Family members (dependants)</t>
        </is>
      </c>
      <c r="C258" s="28" t="inlineStr">
        <is>
          <t>Delete</t>
        </is>
      </c>
      <c r="D258" s="28" t="inlineStr">
        <is>
          <t>Delete a family member</t>
        </is>
      </c>
      <c r="E258" s="28" t="inlineStr">
        <is>
          <t>Delete a member with no upcoming bookings</t>
        </is>
      </c>
      <c r="F258" s="28" t="inlineStr">
        <is>
          <t>Removed after confirmation.</t>
        </is>
      </c>
      <c r="G258" s="29" t="inlineStr">
        <is>
          <t>P1</t>
        </is>
      </c>
      <c r="H258" s="29" t="inlineStr">
        <is>
          <t>Functional</t>
        </is>
      </c>
      <c r="I258" s="29" t="inlineStr">
        <is>
          <t>Both</t>
        </is>
      </c>
      <c r="J258" s="29" t="n"/>
      <c r="K258" s="31" t="inlineStr">
        <is>
          <t>Pass</t>
        </is>
      </c>
      <c r="L258" s="32" t="inlineStr">
        <is>
          <t>Claude (adb)</t>
        </is>
      </c>
      <c r="M258" s="33" t="n">
        <v>46301</v>
      </c>
      <c r="N258" s="32" t="inlineStr">
        <is>
          <t>1.0.0+1 debug</t>
        </is>
      </c>
      <c r="O258" s="32" t="inlineStr">
        <is>
          <t>emulator-5554 / Android 14</t>
        </is>
      </c>
      <c r="P258" s="32" t="n"/>
      <c r="Q258" s="32" t="inlineStr">
        <is>
          <t>6 Oct 2026: 'Remove Testbaby? Testbaby will no longer…' -&gt; removed (BL-FAM-007); Qatest removed today via the API after BOOK-009.</t>
        </is>
      </c>
    </row>
    <row r="259" ht="30" customHeight="1">
      <c r="A259" s="27" t="inlineStr">
        <is>
          <t>DEP-006</t>
        </is>
      </c>
      <c r="B259" s="28" t="inlineStr">
        <is>
          <t>14 Family members (dependants)</t>
        </is>
      </c>
      <c r="C259" s="28" t="inlineStr">
        <is>
          <t>Delete</t>
        </is>
      </c>
      <c r="D259" s="28" t="inlineStr">
        <is>
          <t>Cannot delete yourself</t>
        </is>
      </c>
      <c r="E259" s="28" t="inlineStr">
        <is>
          <t>Look for delete on the account holder's own row</t>
        </is>
      </c>
      <c r="F259" s="28" t="inlineStr">
        <is>
          <t>Not offered, or refused with a clear message.</t>
        </is>
      </c>
      <c r="G259" s="29" t="inlineStr">
        <is>
          <t>P1</t>
        </is>
      </c>
      <c r="H259" s="29" t="inlineStr">
        <is>
          <t>Negative</t>
        </is>
      </c>
      <c r="I259" s="29" t="inlineStr">
        <is>
          <t>Both</t>
        </is>
      </c>
      <c r="J259" s="29" t="n"/>
      <c r="K259" s="31" t="inlineStr">
        <is>
          <t>Pass</t>
        </is>
      </c>
      <c r="L259" s="32" t="inlineStr">
        <is>
          <t>Claude (adb)</t>
        </is>
      </c>
      <c r="M259" s="33" t="n">
        <v>46301</v>
      </c>
      <c r="N259" s="32" t="inlineStr">
        <is>
          <t>1.0.0+1 debug</t>
        </is>
      </c>
      <c r="O259" s="32" t="inlineStr">
        <is>
          <t>emulator-5554 / Android 14</t>
        </is>
      </c>
      <c r="P259" s="32" t="n"/>
      <c r="Q259" s="32" t="inlineStr">
        <is>
          <t>6 Oct 2026: The account holder's own card offers only 'Edit in Profile'; no remove (BL-FAM-009).</t>
        </is>
      </c>
    </row>
    <row r="260" ht="30" customHeight="1">
      <c r="A260" s="27" t="inlineStr">
        <is>
          <t>DEP-007</t>
        </is>
      </c>
      <c r="B260" s="28" t="inlineStr">
        <is>
          <t>14 Family members (dependants)</t>
        </is>
      </c>
      <c r="C260" s="28" t="inlineStr">
        <is>
          <t>Delete</t>
        </is>
      </c>
      <c r="D260" s="28" t="inlineStr">
        <is>
          <t>Member with upcoming appointments</t>
        </is>
      </c>
      <c r="E260" s="28" t="inlineStr">
        <is>
          <t>Delete a member who has an upcoming booking</t>
        </is>
      </c>
      <c r="F260" s="28" t="inlineStr">
        <is>
          <t>Refused with a message explaining why.</t>
        </is>
      </c>
      <c r="G260" s="29" t="inlineStr">
        <is>
          <t>P1</t>
        </is>
      </c>
      <c r="H260" s="29" t="inlineStr">
        <is>
          <t>Negative</t>
        </is>
      </c>
      <c r="I260" s="29" t="inlineStr">
        <is>
          <t>Both</t>
        </is>
      </c>
      <c r="J260" s="29" t="n"/>
      <c r="K260" s="31" t="inlineStr">
        <is>
          <t>Pass</t>
        </is>
      </c>
      <c r="L260" s="32" t="inlineStr">
        <is>
          <t>Claude (adb)</t>
        </is>
      </c>
      <c r="M260" s="33" t="n">
        <v>46301</v>
      </c>
      <c r="N260" s="32" t="inlineStr">
        <is>
          <t>1.0.0+1 debug</t>
        </is>
      </c>
      <c r="O260" s="32" t="inlineStr">
        <is>
          <t>emulator-5554 / Android 14</t>
        </is>
      </c>
      <c r="P260" s="32" t="n"/>
      <c r="Q260" s="32" t="inlineStr">
        <is>
          <t>6 Oct 2026: A member with an upcoming (pending-payment) booking: Remove from Family refused with the reason (BL-FAM-008).</t>
        </is>
      </c>
    </row>
    <row r="261" ht="43" customHeight="1">
      <c r="A261" s="27" t="inlineStr">
        <is>
          <t>DEP-008</t>
        </is>
      </c>
      <c r="B261" s="28" t="inlineStr">
        <is>
          <t>14 Family members (dependants)</t>
        </is>
      </c>
      <c r="C261" s="28" t="inlineStr">
        <is>
          <t>Release</t>
        </is>
      </c>
      <c r="D261" s="28" t="inlineStr">
        <is>
          <t>Release an adult member to their own account</t>
        </is>
      </c>
      <c r="E261" s="28" t="inlineStr">
        <is>
          <t>1. Choose release for an 18+ member
2. Enter their mobile
3. Enter the OTP</t>
        </is>
      </c>
      <c r="F261" s="28" t="inlineStr">
        <is>
          <t>Member and their history leave this account; summary of moved records is shown.</t>
        </is>
      </c>
      <c r="G261" s="29" t="inlineStr">
        <is>
          <t>P2</t>
        </is>
      </c>
      <c r="H261" s="29" t="inlineStr">
        <is>
          <t>Functional</t>
        </is>
      </c>
      <c r="I261" s="29" t="inlineStr">
        <is>
          <t>Both</t>
        </is>
      </c>
      <c r="J261" s="29" t="inlineStr">
        <is>
          <t>KB-05</t>
        </is>
      </c>
      <c r="K261" s="31" t="inlineStr">
        <is>
          <t>Blocked</t>
        </is>
      </c>
      <c r="L261" s="32" t="inlineStr">
        <is>
          <t>Claude (adb)</t>
        </is>
      </c>
      <c r="M261" s="33" t="n">
        <v>46301</v>
      </c>
      <c r="N261" s="32" t="inlineStr">
        <is>
          <t>1.0.0+1 debug</t>
        </is>
      </c>
      <c r="O261" s="32" t="inlineStr">
        <is>
          <t>emulator-5554 / Android 14</t>
        </is>
      </c>
      <c r="P261" s="32" t="n"/>
      <c r="Q261" s="32" t="inlineStr">
        <is>
          <t>6 Oct 2026: Release starts and sends a code to the member's number ('We sent a 4-digit code to +91******95'; number change fixed 5 Oct, DEF-037); the code never arrives. BB-01 (KB-05).</t>
        </is>
      </c>
    </row>
    <row r="262" ht="30" customHeight="1">
      <c r="A262" s="27" t="inlineStr">
        <is>
          <t>DEP-009</t>
        </is>
      </c>
      <c r="B262" s="28" t="inlineStr">
        <is>
          <t>14 Family members (dependants)</t>
        </is>
      </c>
      <c r="C262" s="28" t="inlineStr">
        <is>
          <t>Release</t>
        </is>
      </c>
      <c r="D262" s="28" t="inlineStr">
        <is>
          <t>Release a minor</t>
        </is>
      </c>
      <c r="E262" s="28" t="inlineStr">
        <is>
          <t>Try to release an under-18 member</t>
        </is>
      </c>
      <c r="F262" s="28" t="inlineStr">
        <is>
          <t>Refused with an age message.</t>
        </is>
      </c>
      <c r="G262" s="29" t="inlineStr">
        <is>
          <t>P2</t>
        </is>
      </c>
      <c r="H262" s="29" t="inlineStr">
        <is>
          <t>Negative</t>
        </is>
      </c>
      <c r="I262" s="29" t="inlineStr">
        <is>
          <t>Both</t>
        </is>
      </c>
      <c r="J262" s="29" t="n"/>
      <c r="K262" s="31" t="inlineStr">
        <is>
          <t>Pass</t>
        </is>
      </c>
      <c r="L262" s="32" t="inlineStr">
        <is>
          <t>Claude (adb)</t>
        </is>
      </c>
      <c r="M262" s="33" t="n">
        <v>46301</v>
      </c>
      <c r="N262" s="32" t="inlineStr">
        <is>
          <t>1.0.0+1 debug</t>
        </is>
      </c>
      <c r="O262" s="32" t="inlineStr">
        <is>
          <t>emulator-5554 / Android 14</t>
        </is>
      </c>
      <c r="P262" s="32" t="n"/>
      <c r="Q262" s="32" t="inlineStr">
        <is>
          <t>6 Oct 2026: Ishaan (6, Minor): no 'own account' / release action is offered (Tara, 39, has it); the server's under-age refusal is also mapped to a message (release_provider: 409 UNDER_AGE).</t>
        </is>
      </c>
    </row>
    <row r="263" ht="17" customHeight="1">
      <c r="A263" s="27" t="inlineStr">
        <is>
          <t>INSU-001</t>
        </is>
      </c>
      <c r="B263" s="28" t="inlineStr">
        <is>
          <t>15 Insurance</t>
        </is>
      </c>
      <c r="C263" s="28" t="inlineStr">
        <is>
          <t>List</t>
        </is>
      </c>
      <c r="D263" s="28" t="inlineStr">
        <is>
          <t>Policy list and empty state</t>
        </is>
      </c>
      <c r="E263" s="28" t="inlineStr">
        <is>
          <t>Open Insurance with and without policies</t>
        </is>
      </c>
      <c r="F263" s="28" t="inlineStr">
        <is>
          <t>Policies listed, or an empty state with an Add action.</t>
        </is>
      </c>
      <c r="G263" s="29" t="inlineStr">
        <is>
          <t>P2</t>
        </is>
      </c>
      <c r="H263" s="29" t="inlineStr">
        <is>
          <t>Functional</t>
        </is>
      </c>
      <c r="I263" s="29" t="inlineStr">
        <is>
          <t>Both</t>
        </is>
      </c>
      <c r="J263" s="29" t="n"/>
      <c r="K263" s="31" t="inlineStr">
        <is>
          <t>Pass</t>
        </is>
      </c>
      <c r="L263" s="32" t="inlineStr">
        <is>
          <t>Claude (adb)</t>
        </is>
      </c>
      <c r="M263" s="33" t="n">
        <v>46301</v>
      </c>
      <c r="N263" s="32" t="inlineStr">
        <is>
          <t>1.0.0+1 debug</t>
        </is>
      </c>
      <c r="O263" s="32" t="inlineStr">
        <is>
          <t>emulator-5554 / Android 14</t>
        </is>
      </c>
      <c r="P263" s="32" t="n"/>
      <c r="Q263" s="32" t="inlineStr">
        <is>
          <t>6 Oct 2026: No policies: 'No insurance saved — Save your health policy here…' with 'Add a Policy'. With policies: tabs All / Active / Expired with counts (BL-INS-008).</t>
        </is>
      </c>
    </row>
    <row r="264" ht="30" customHeight="1">
      <c r="A264" s="27" t="inlineStr">
        <is>
          <t>INSU-002</t>
        </is>
      </c>
      <c r="B264" s="28" t="inlineStr">
        <is>
          <t>15 Insurance</t>
        </is>
      </c>
      <c r="C264" s="28" t="inlineStr">
        <is>
          <t>Add</t>
        </is>
      </c>
      <c r="D264" s="28" t="inlineStr">
        <is>
          <t>Add a policy</t>
        </is>
      </c>
      <c r="E264" s="28" t="inlineStr">
        <is>
          <t>1. Fill insurer, policy number, holder and dates
2. Save</t>
        </is>
      </c>
      <c r="F264" s="28" t="inlineStr">
        <is>
          <t>Policy is saved and opens in detail.</t>
        </is>
      </c>
      <c r="G264" s="29" t="inlineStr">
        <is>
          <t>P1</t>
        </is>
      </c>
      <c r="H264" s="29" t="inlineStr">
        <is>
          <t>Functional</t>
        </is>
      </c>
      <c r="I264" s="29" t="inlineStr">
        <is>
          <t>Both</t>
        </is>
      </c>
      <c r="J264" s="29" t="n"/>
      <c r="K264" s="31" t="inlineStr">
        <is>
          <t>Pass</t>
        </is>
      </c>
      <c r="L264" s="32" t="inlineStr">
        <is>
          <t>Claude (adb)</t>
        </is>
      </c>
      <c r="M264" s="33" t="n">
        <v>46301</v>
      </c>
      <c r="N264" s="32" t="inlineStr">
        <is>
          <t>1.0.0+1 debug</t>
        </is>
      </c>
      <c r="O264" s="32" t="inlineStr">
        <is>
          <t>emulator-5554 / Android 14</t>
        </is>
      </c>
      <c r="P264" s="32" t="n"/>
      <c r="Q264" s="32" t="inlineStr">
        <is>
          <t>6 Oct 2026: Add Policy in the app: insurer 'QA Insurer', policy number QAPOL12345, holder prefilled, cover 1 Oct 2026 – 30 Oct 2027 -&gt; Save Policy opens the new policy ('QA Insurer', Active, '389 days of cover left'). (A first attempt with the number in Plan name was refused: 'Enter the policy number'.)</t>
        </is>
      </c>
    </row>
    <row r="265" ht="17" customHeight="1">
      <c r="A265" s="27" t="inlineStr">
        <is>
          <t>INSU-003</t>
        </is>
      </c>
      <c r="B265" s="28" t="inlineStr">
        <is>
          <t>15 Insurance</t>
        </is>
      </c>
      <c r="C265" s="28" t="inlineStr">
        <is>
          <t>Add</t>
        </is>
      </c>
      <c r="D265" s="28" t="inlineStr">
        <is>
          <t>Validation</t>
        </is>
      </c>
      <c r="E265" s="28" t="inlineStr">
        <is>
          <t>Leave required fields empty; set end date before start date</t>
        </is>
      </c>
      <c r="F265" s="28" t="inlineStr">
        <is>
          <t>Inline errors.</t>
        </is>
      </c>
      <c r="G265" s="29" t="inlineStr">
        <is>
          <t>P2</t>
        </is>
      </c>
      <c r="H265" s="29" t="inlineStr">
        <is>
          <t>Negative</t>
        </is>
      </c>
      <c r="I265" s="29" t="inlineStr">
        <is>
          <t>Both</t>
        </is>
      </c>
      <c r="J265" s="29" t="n"/>
      <c r="K265" s="31" t="inlineStr">
        <is>
          <t>Pass</t>
        </is>
      </c>
      <c r="L265" s="32" t="inlineStr">
        <is>
          <t>Claude (adb)</t>
        </is>
      </c>
      <c r="M265" s="33" t="n">
        <v>46301</v>
      </c>
      <c r="N265" s="32" t="inlineStr">
        <is>
          <t>1.0.0+1 debug</t>
        </is>
      </c>
      <c r="O265" s="32" t="inlineStr">
        <is>
          <t>emulator-5554 / Android 14</t>
        </is>
      </c>
      <c r="P265" s="32" t="n"/>
      <c r="Q265" s="32" t="inlineStr">
        <is>
          <t>6 Oct 2026: Empty: 'Enter the insurer', 'Enter the policy number', 'Select the date cover started' / 'Select the date cover ends'; the end-date calendar starts at the start date, so an end before the start cannot be picked (BL-INS-001, -003).</t>
        </is>
      </c>
    </row>
    <row r="266" ht="43" customHeight="1">
      <c r="A266" s="27" t="inlineStr">
        <is>
          <t>INSU-004</t>
        </is>
      </c>
      <c r="B266" s="28" t="inlineStr">
        <is>
          <t>15 Insurance</t>
        </is>
      </c>
      <c r="C266" s="28" t="inlineStr">
        <is>
          <t>Document</t>
        </is>
      </c>
      <c r="D266" s="28" t="inlineStr">
        <is>
          <t>Attach and remove a policy document</t>
        </is>
      </c>
      <c r="E266" s="28" t="inlineStr">
        <is>
          <t>1. Attach a PDF/photo
2. Open it
3. Remove it</t>
        </is>
      </c>
      <c r="F266" s="28" t="inlineStr">
        <is>
          <t>Upload, preview and removal all work.</t>
        </is>
      </c>
      <c r="G266" s="29" t="inlineStr">
        <is>
          <t>P1</t>
        </is>
      </c>
      <c r="H266" s="29" t="inlineStr">
        <is>
          <t>Functional</t>
        </is>
      </c>
      <c r="I266" s="29" t="inlineStr">
        <is>
          <t>Both</t>
        </is>
      </c>
      <c r="J266" s="29" t="inlineStr">
        <is>
          <t>KB-01</t>
        </is>
      </c>
      <c r="K266" s="31" t="inlineStr">
        <is>
          <t>Blocked</t>
        </is>
      </c>
      <c r="L266" s="32" t="inlineStr">
        <is>
          <t>Claude (adb)</t>
        </is>
      </c>
      <c r="M266" s="33" t="n">
        <v>46301</v>
      </c>
      <c r="N266" s="32" t="inlineStr">
        <is>
          <t>1.0.0+1 debug</t>
        </is>
      </c>
      <c r="O266" s="32" t="inlineStr">
        <is>
          <t>emulator-5554 / Android 14</t>
        </is>
      </c>
      <c r="P266" s="32" t="n"/>
      <c r="Q266" s="32" t="inlineStr">
        <is>
          <t>6 Oct 2026: Files cannot be uploaded. BB-17 (KB-01).</t>
        </is>
      </c>
    </row>
    <row r="267" ht="30" customHeight="1">
      <c r="A267" s="27" t="inlineStr">
        <is>
          <t>INSU-005</t>
        </is>
      </c>
      <c r="B267" s="28" t="inlineStr">
        <is>
          <t>15 Insurance</t>
        </is>
      </c>
      <c r="C267" s="28" t="inlineStr">
        <is>
          <t>Edit</t>
        </is>
      </c>
      <c r="D267" s="28" t="inlineStr">
        <is>
          <t>Edit a policy</t>
        </is>
      </c>
      <c r="E267" s="28" t="inlineStr">
        <is>
          <t>1. Change details
2. Save</t>
        </is>
      </c>
      <c r="F267" s="28" t="inlineStr">
        <is>
          <t>Saved; conflict is reported if edited elsewhere.</t>
        </is>
      </c>
      <c r="G267" s="29" t="inlineStr">
        <is>
          <t>P2</t>
        </is>
      </c>
      <c r="H267" s="29" t="inlineStr">
        <is>
          <t>Functional</t>
        </is>
      </c>
      <c r="I267" s="29" t="inlineStr">
        <is>
          <t>Both</t>
        </is>
      </c>
      <c r="J267" s="29" t="n"/>
      <c r="K267" s="31" t="inlineStr">
        <is>
          <t>Pass</t>
        </is>
      </c>
      <c r="L267" s="32" t="inlineStr">
        <is>
          <t>Claude (adb)</t>
        </is>
      </c>
      <c r="M267" s="33" t="n">
        <v>46301</v>
      </c>
      <c r="N267" s="32" t="inlineStr">
        <is>
          <t>1.0.0+1 debug</t>
        </is>
      </c>
      <c r="O267" s="32" t="inlineStr">
        <is>
          <t>emulator-5554 / Android 14</t>
        </is>
      </c>
      <c r="P267" s="32" t="n"/>
      <c r="Q267" s="32" t="inlineStr">
        <is>
          <t>6 Oct 2026: Edit Policy (added 5 Oct, DEF-038): cover end changed to 30 Sep 2027, saved (server v2); a conflict reloads (BL-INS-006, -012).</t>
        </is>
      </c>
    </row>
    <row r="268" ht="30" customHeight="1">
      <c r="A268" s="27" t="inlineStr">
        <is>
          <t>INSU-006</t>
        </is>
      </c>
      <c r="B268" s="28" t="inlineStr">
        <is>
          <t>15 Insurance</t>
        </is>
      </c>
      <c r="C268" s="28" t="inlineStr">
        <is>
          <t>Delete</t>
        </is>
      </c>
      <c r="D268" s="28" t="inlineStr">
        <is>
          <t>Delete a policy</t>
        </is>
      </c>
      <c r="E268" s="28" t="inlineStr">
        <is>
          <t>1. Delete
2. Confirm</t>
        </is>
      </c>
      <c r="F268" s="28" t="inlineStr">
        <is>
          <t>Removed from the list.</t>
        </is>
      </c>
      <c r="G268" s="29" t="inlineStr">
        <is>
          <t>P2</t>
        </is>
      </c>
      <c r="H268" s="29" t="inlineStr">
        <is>
          <t>Functional</t>
        </is>
      </c>
      <c r="I268" s="29" t="inlineStr">
        <is>
          <t>Both</t>
        </is>
      </c>
      <c r="J268" s="29" t="n"/>
      <c r="K268" s="31" t="inlineStr">
        <is>
          <t>Pass</t>
        </is>
      </c>
      <c r="L268" s="32" t="inlineStr">
        <is>
          <t>Claude (adb)</t>
        </is>
      </c>
      <c r="M268" s="33" t="n">
        <v>46301</v>
      </c>
      <c r="N268" s="32" t="inlineStr">
        <is>
          <t>1.0.0+1 debug</t>
        </is>
      </c>
      <c r="O268" s="32" t="inlineStr">
        <is>
          <t>emulator-5554 / Android 14</t>
        </is>
      </c>
      <c r="P268" s="32" t="n"/>
      <c r="Q268" s="32" t="inlineStr">
        <is>
          <t>6 Oct 2026: Remove Policy -&gt; 'Remove this policy? QA Insurer … will be removed…' -&gt; list back to 'No insurance saved'; server has 0 policies.</t>
        </is>
      </c>
    </row>
    <row r="269" ht="17" customHeight="1">
      <c r="A269" s="27" t="inlineStr">
        <is>
          <t>INSU-007</t>
        </is>
      </c>
      <c r="B269" s="28" t="inlineStr">
        <is>
          <t>15 Insurance</t>
        </is>
      </c>
      <c r="C269" s="28" t="inlineStr">
        <is>
          <t>Detail</t>
        </is>
      </c>
      <c r="D269" s="28" t="inlineStr">
        <is>
          <t>Expired policy display</t>
        </is>
      </c>
      <c r="E269" s="28" t="inlineStr">
        <is>
          <t>Open a policy past its end date</t>
        </is>
      </c>
      <c r="F269" s="28" t="inlineStr">
        <is>
          <t>Clearly marked as expired.</t>
        </is>
      </c>
      <c r="G269" s="29" t="inlineStr">
        <is>
          <t>P3</t>
        </is>
      </c>
      <c r="H269" s="29" t="inlineStr">
        <is>
          <t>UI</t>
        </is>
      </c>
      <c r="I269" s="29" t="inlineStr">
        <is>
          <t>Both</t>
        </is>
      </c>
      <c r="J269" s="29" t="n"/>
      <c r="K269" s="31" t="inlineStr">
        <is>
          <t>Pass</t>
        </is>
      </c>
      <c r="L269" s="32" t="inlineStr">
        <is>
          <t>Claude (adb)</t>
        </is>
      </c>
      <c r="M269" s="33" t="n">
        <v>46301</v>
      </c>
      <c r="N269" s="32" t="inlineStr">
        <is>
          <t>1.0.0+1 debug</t>
        </is>
      </c>
      <c r="O269" s="32" t="inlineStr">
        <is>
          <t>emulator-5554 / Android 14</t>
        </is>
      </c>
      <c r="P269" s="32" t="n"/>
      <c r="Q269" s="32" t="inlineStr">
        <is>
          <t>6 Oct 2026: Status follows the dates: ended yesterday = Expired; the renewal banner names policies about to expire (BL-INS-007, -009).</t>
        </is>
      </c>
    </row>
    <row r="270" ht="30" customHeight="1">
      <c r="A270" s="27" t="inlineStr">
        <is>
          <t>SUP-001</t>
        </is>
      </c>
      <c r="B270" s="28" t="inlineStr">
        <is>
          <t>16 Support, FAQ, legal &amp; ambulance</t>
        </is>
      </c>
      <c r="C270" s="28" t="inlineStr">
        <is>
          <t>Help</t>
        </is>
      </c>
      <c r="D270" s="28" t="inlineStr">
        <is>
          <t>Help &amp; Support hub</t>
        </is>
      </c>
      <c r="E270" s="28" t="inlineStr">
        <is>
          <t>Open Help &amp; Support</t>
        </is>
      </c>
      <c r="F270" s="28" t="inlineStr">
        <is>
          <t>FAQ, raise a request, my requests and contact numbers are reachable.</t>
        </is>
      </c>
      <c r="G270" s="29" t="inlineStr">
        <is>
          <t>P2</t>
        </is>
      </c>
      <c r="H270" s="29" t="inlineStr">
        <is>
          <t>Functional</t>
        </is>
      </c>
      <c r="I270" s="29" t="inlineStr">
        <is>
          <t>Both</t>
        </is>
      </c>
      <c r="J270" s="29" t="n"/>
      <c r="K270" s="31" t="inlineStr">
        <is>
          <t>Pass</t>
        </is>
      </c>
      <c r="L270" s="32" t="inlineStr">
        <is>
          <t>Claude (adb)</t>
        </is>
      </c>
      <c r="M270" s="33" t="n">
        <v>46301</v>
      </c>
      <c r="N270" s="32" t="inlineStr">
        <is>
          <t>1.0.0+1 debug</t>
        </is>
      </c>
      <c r="O270" s="32" t="inlineStr">
        <is>
          <t>emulator-5554 / Android 14</t>
        </is>
      </c>
      <c r="P270" s="32" t="n"/>
      <c r="Q270" s="32" t="inlineStr">
        <is>
          <t>6 Oct 2026: Help &amp; Support: Browse FAQs, My requests, My appointments, Talk to us (support line and email), Raise a request, Medical emergency (108, ambulance directory), Policies.</t>
        </is>
      </c>
    </row>
    <row r="271" ht="43" customHeight="1">
      <c r="A271" s="27" t="inlineStr">
        <is>
          <t>SUP-002</t>
        </is>
      </c>
      <c r="B271" s="28" t="inlineStr">
        <is>
          <t>16 Support, FAQ, legal &amp; ambulance</t>
        </is>
      </c>
      <c r="C271" s="28" t="inlineStr">
        <is>
          <t>FAQ</t>
        </is>
      </c>
      <c r="D271" s="28" t="inlineStr">
        <is>
          <t>FAQs load and expand</t>
        </is>
      </c>
      <c r="E271" s="28" t="inlineStr">
        <is>
          <t>1. Open FAQs
2. Expand several
3. Search if available</t>
        </is>
      </c>
      <c r="F271" s="28" t="inlineStr">
        <is>
          <t>Content comes from the server; expand/collapse works.</t>
        </is>
      </c>
      <c r="G271" s="29" t="inlineStr">
        <is>
          <t>P2</t>
        </is>
      </c>
      <c r="H271" s="29" t="inlineStr">
        <is>
          <t>Functional</t>
        </is>
      </c>
      <c r="I271" s="29" t="inlineStr">
        <is>
          <t>Both</t>
        </is>
      </c>
      <c r="J271" s="29" t="n"/>
      <c r="K271" s="31" t="inlineStr">
        <is>
          <t>Pass</t>
        </is>
      </c>
      <c r="L271" s="32" t="inlineStr">
        <is>
          <t>Claude (adb)</t>
        </is>
      </c>
      <c r="M271" s="33" t="n">
        <v>46301</v>
      </c>
      <c r="N271" s="32" t="inlineStr">
        <is>
          <t>1.0.0+1 debug</t>
        </is>
      </c>
      <c r="O271" s="32" t="inlineStr">
        <is>
          <t>emulator-5554 / Android 14</t>
        </is>
      </c>
      <c r="P271" s="32" t="n"/>
      <c r="Q271" s="32" t="inlineStr">
        <is>
          <t>6 Oct 2026: FAQs load from the server (the refund question is in GET /patient/faqs); 'When do I get my refund?' expands ('Collapse answer') and collapses ('Expand answer'); search matches question, answer and category (BL-SUP-013).</t>
        </is>
      </c>
    </row>
    <row r="272" ht="30" customHeight="1">
      <c r="A272" s="27" t="inlineStr">
        <is>
          <t>SUP-003</t>
        </is>
      </c>
      <c r="B272" s="28" t="inlineStr">
        <is>
          <t>16 Support, FAQ, legal &amp; ambulance</t>
        </is>
      </c>
      <c r="C272" s="28" t="inlineStr">
        <is>
          <t>Legal</t>
        </is>
      </c>
      <c r="D272" s="28" t="inlineStr">
        <is>
          <t>Unknown policy slug</t>
        </is>
      </c>
      <c r="E272" s="28" t="inlineStr">
        <is>
          <t>Open medibook://legal/unknown</t>
        </is>
      </c>
      <c r="F272" s="28" t="inlineStr">
        <is>
          <t>Not-found screen — not a silent redirect to Terms.</t>
        </is>
      </c>
      <c r="G272" s="29" t="inlineStr">
        <is>
          <t>P2</t>
        </is>
      </c>
      <c r="H272" s="29" t="inlineStr">
        <is>
          <t>Negative</t>
        </is>
      </c>
      <c r="I272" s="29" t="inlineStr">
        <is>
          <t>Both</t>
        </is>
      </c>
      <c r="J272" s="29" t="n"/>
      <c r="K272" s="31" t="inlineStr">
        <is>
          <t>Pass</t>
        </is>
      </c>
      <c r="L272" s="32" t="inlineStr">
        <is>
          <t>Claude (adb)</t>
        </is>
      </c>
      <c r="M272" s="33" t="n">
        <v>46301</v>
      </c>
      <c r="N272" s="32" t="inlineStr">
        <is>
          <t>1.0.0+1 debug</t>
        </is>
      </c>
      <c r="O272" s="32" t="inlineStr">
        <is>
          <t>emulator-5554 / Android 14</t>
        </is>
      </c>
      <c r="P272" s="32" t="n"/>
      <c r="Q272" s="32" t="inlineStr">
        <is>
          <t>6 Oct 2026: medibook://legal/unknown -&gt; 'Page not found — The screen you were looking for has moved or no longer exists.' with Go to Home; not Terms.</t>
        </is>
      </c>
    </row>
    <row r="273" ht="30" customHeight="1">
      <c r="A273" s="27" t="inlineStr">
        <is>
          <t>SUP-004</t>
        </is>
      </c>
      <c r="B273" s="28" t="inlineStr">
        <is>
          <t>16 Support, FAQ, legal &amp; ambulance</t>
        </is>
      </c>
      <c r="C273" s="28" t="inlineStr">
        <is>
          <t>Contact</t>
        </is>
      </c>
      <c r="D273" s="28" t="inlineStr">
        <is>
          <t>Call support</t>
        </is>
      </c>
      <c r="E273" s="28" t="inlineStr">
        <is>
          <t>Tap a support phone number</t>
        </is>
      </c>
      <c r="F273" s="28" t="inlineStr">
        <is>
          <t>Dialer opens with the real production support number.</t>
        </is>
      </c>
      <c r="G273" s="29" t="inlineStr">
        <is>
          <t>P1</t>
        </is>
      </c>
      <c r="H273" s="29" t="inlineStr">
        <is>
          <t>Functional</t>
        </is>
      </c>
      <c r="I273" s="29" t="inlineStr">
        <is>
          <t>Both</t>
        </is>
      </c>
      <c r="J273" s="29" t="n"/>
      <c r="K273" s="31" t="inlineStr">
        <is>
          <t>Pass</t>
        </is>
      </c>
      <c r="L273" s="32" t="inlineStr">
        <is>
          <t>Claude (adb)</t>
        </is>
      </c>
      <c r="M273" s="33" t="n">
        <v>46301</v>
      </c>
      <c r="N273" s="32" t="inlineStr">
        <is>
          <t>1.0.0+1 debug</t>
        </is>
      </c>
      <c r="O273" s="32" t="inlineStr">
        <is>
          <t>emulator-5554 / Android 14</t>
        </is>
      </c>
      <c r="P273" s="32" t="inlineStr">
        <is>
          <t>DEF-084</t>
        </is>
      </c>
      <c r="Q273" s="32" t="inlineStr">
        <is>
          <t>6 Oct 2026: FIXED (DEF-084). The support number from app-config (+914847100000) looked like a link but did nothing; only 'Copy number' worked. Now tapping it opens the dialler with '+91 484 710 0000' (and the support email opens the mail app). Whether this is the real production line is for the owner to confirm (it comes from the server's app-config).</t>
        </is>
      </c>
    </row>
    <row r="274" ht="43" customHeight="1">
      <c r="A274" s="27" t="inlineStr">
        <is>
          <t>SUP-005</t>
        </is>
      </c>
      <c r="B274" s="28" t="inlineStr">
        <is>
          <t>16 Support, FAQ, legal &amp; ambulance</t>
        </is>
      </c>
      <c r="C274" s="28" t="inlineStr">
        <is>
          <t>Ticket</t>
        </is>
      </c>
      <c r="D274" s="28" t="inlineStr">
        <is>
          <t>Raise a support request</t>
        </is>
      </c>
      <c r="E274" s="28" t="inlineStr">
        <is>
          <t>1. Choose a category
2. Enter subject and description
3. Submit</t>
        </is>
      </c>
      <c r="F274" s="28" t="inlineStr">
        <is>
          <t>Ticket created; ticket number shown; appears in My requests.</t>
        </is>
      </c>
      <c r="G274" s="29" t="inlineStr">
        <is>
          <t>P1</t>
        </is>
      </c>
      <c r="H274" s="29" t="inlineStr">
        <is>
          <t>Functional</t>
        </is>
      </c>
      <c r="I274" s="29" t="inlineStr">
        <is>
          <t>Both</t>
        </is>
      </c>
      <c r="J274" s="29" t="n"/>
      <c r="K274" s="31" t="inlineStr">
        <is>
          <t>Pass</t>
        </is>
      </c>
      <c r="L274" s="32" t="inlineStr">
        <is>
          <t>Claude (adb)</t>
        </is>
      </c>
      <c r="M274" s="33" t="n">
        <v>46301</v>
      </c>
      <c r="N274" s="32" t="inlineStr">
        <is>
          <t>1.0.0+1 debug</t>
        </is>
      </c>
      <c r="O274" s="32" t="inlineStr">
        <is>
          <t>emulator-5554 / Android 14</t>
        </is>
      </c>
      <c r="P274" s="32" t="n"/>
      <c r="Q274" s="32" t="inlineStr">
        <is>
          <t>6 Oct 2026: Raised TKT-2026-0023 (App or technical problem): ticket number shown, thread opened, listed first in My requests (E2E-010).</t>
        </is>
      </c>
    </row>
    <row r="275" ht="43" customHeight="1">
      <c r="A275" s="27" t="inlineStr">
        <is>
          <t>SUP-006</t>
        </is>
      </c>
      <c r="B275" s="28" t="inlineStr">
        <is>
          <t>16 Support, FAQ, legal &amp; ambulance</t>
        </is>
      </c>
      <c r="C275" s="28" t="inlineStr">
        <is>
          <t>Ticket</t>
        </is>
      </c>
      <c r="D275" s="28" t="inlineStr">
        <is>
          <t>Validation and limits</t>
        </is>
      </c>
      <c r="E275" s="28" t="inlineStr">
        <is>
          <t>Submit with empty subject/description and a description under 20 characters; paste 201+ characters into subject and 5001+ into description</t>
        </is>
      </c>
      <c r="F275" s="28" t="inlineStr">
        <is>
          <t>Inline errors or enforced limits.</t>
        </is>
      </c>
      <c r="G275" s="29" t="inlineStr">
        <is>
          <t>P2</t>
        </is>
      </c>
      <c r="H275" s="29" t="inlineStr">
        <is>
          <t>Negative</t>
        </is>
      </c>
      <c r="I275" s="29" t="inlineStr">
        <is>
          <t>Both</t>
        </is>
      </c>
      <c r="J275" s="29" t="n"/>
      <c r="K275" s="31" t="inlineStr">
        <is>
          <t>Pass</t>
        </is>
      </c>
      <c r="L275" s="32" t="inlineStr">
        <is>
          <t>Claude (adb)</t>
        </is>
      </c>
      <c r="M275" s="33" t="n">
        <v>46301</v>
      </c>
      <c r="N275" s="32" t="inlineStr">
        <is>
          <t>1.0.0+1 debug</t>
        </is>
      </c>
      <c r="O275" s="32" t="inlineStr">
        <is>
          <t>emulator-5554 / Android 14</t>
        </is>
      </c>
      <c r="P275" s="32" t="n"/>
      <c r="Q275" s="32" t="inlineStr">
        <is>
          <t>6 Oct 2026: Empty: 'Enter a short subject' / 'Tell us what happened'; 9 characters: 'Add a little more detail so we can help (at least 20 characters)'; toast 'Fix the highlighted fields first' (BL-SUP-002). Subject box is capped at 200 characters and description at 5000 (maxLength), with 'Keep the subject under 200 characters' / 'Keep the description under 5000 characters' if exceeded.</t>
        </is>
      </c>
    </row>
    <row r="276" ht="43" customHeight="1">
      <c r="A276" s="27" t="inlineStr">
        <is>
          <t>SUP-007</t>
        </is>
      </c>
      <c r="B276" s="28" t="inlineStr">
        <is>
          <t>16 Support, FAQ, legal &amp; ambulance</t>
        </is>
      </c>
      <c r="C276" s="28" t="inlineStr">
        <is>
          <t>Ticket</t>
        </is>
      </c>
      <c r="D276" s="28" t="inlineStr">
        <is>
          <t>Attach files to a request</t>
        </is>
      </c>
      <c r="E276" s="28" t="inlineStr">
        <is>
          <t>1. Attach up to 5 PDF/JPEG/PNG files
2. Try a 6th
3. Try a HEIC</t>
        </is>
      </c>
      <c r="F276" s="28" t="inlineStr">
        <is>
          <t>Up to 5 allowed types upload; extra/unsupported files are refused clearly.</t>
        </is>
      </c>
      <c r="G276" s="29" t="inlineStr">
        <is>
          <t>P2</t>
        </is>
      </c>
      <c r="H276" s="29" t="inlineStr">
        <is>
          <t>Functional</t>
        </is>
      </c>
      <c r="I276" s="29" t="inlineStr">
        <is>
          <t>Both</t>
        </is>
      </c>
      <c r="J276" s="29" t="inlineStr">
        <is>
          <t>KB-01</t>
        </is>
      </c>
      <c r="K276" s="31" t="inlineStr">
        <is>
          <t>Blocked</t>
        </is>
      </c>
      <c r="L276" s="32" t="inlineStr">
        <is>
          <t>Claude (adb)</t>
        </is>
      </c>
      <c r="M276" s="33" t="n">
        <v>46301</v>
      </c>
      <c r="N276" s="32" t="inlineStr">
        <is>
          <t>1.0.0+1 debug</t>
        </is>
      </c>
      <c r="O276" s="32" t="inlineStr">
        <is>
          <t>emulator-5554 / Android 14</t>
        </is>
      </c>
      <c r="P276" s="32" t="n"/>
      <c r="Q276" s="32" t="inlineStr">
        <is>
          <t>6 Oct 2026: The Attach button (added 5 Oct) allows up to 5 files of the allowed types; uploads fail on this server. BB-17 (KB-01), BB-22.</t>
        </is>
      </c>
    </row>
    <row r="277" ht="30" customHeight="1">
      <c r="A277" s="27" t="inlineStr">
        <is>
          <t>SUP-008</t>
        </is>
      </c>
      <c r="B277" s="28" t="inlineStr">
        <is>
          <t>16 Support, FAQ, legal &amp; ambulance</t>
        </is>
      </c>
      <c r="C277" s="28" t="inlineStr">
        <is>
          <t>Ticket</t>
        </is>
      </c>
      <c r="D277" s="28" t="inlineStr">
        <is>
          <t>Ticket thread and reply</t>
        </is>
      </c>
      <c r="E277" s="28" t="inlineStr">
        <is>
          <t>1. Open a ticket
2. Send a reply</t>
        </is>
      </c>
      <c r="F277" s="28" t="inlineStr">
        <is>
          <t>Reply appears in order with author and time.</t>
        </is>
      </c>
      <c r="G277" s="29" t="inlineStr">
        <is>
          <t>P1</t>
        </is>
      </c>
      <c r="H277" s="29" t="inlineStr">
        <is>
          <t>Functional</t>
        </is>
      </c>
      <c r="I277" s="29" t="inlineStr">
        <is>
          <t>Both</t>
        </is>
      </c>
      <c r="J277" s="29" t="n"/>
      <c r="K277" s="31" t="inlineStr">
        <is>
          <t>Pass</t>
        </is>
      </c>
      <c r="L277" s="32" t="inlineStr">
        <is>
          <t>Claude (adb)</t>
        </is>
      </c>
      <c r="M277" s="33" t="n">
        <v>46301</v>
      </c>
      <c r="N277" s="32" t="inlineStr">
        <is>
          <t>1.0.0+1 debug</t>
        </is>
      </c>
      <c r="O277" s="32" t="inlineStr">
        <is>
          <t>emulator-5554 / Android 14</t>
        </is>
      </c>
      <c r="P277" s="32" t="n"/>
      <c r="Q277" s="32" t="inlineStr">
        <is>
          <t>6 Oct 2026: Reply 'Test reply from the app.' appears in the thread in order (E2E-010; BL-SUP-012).</t>
        </is>
      </c>
    </row>
    <row r="278" ht="30" customHeight="1">
      <c r="A278" s="27" t="inlineStr">
        <is>
          <t>SUP-009</t>
        </is>
      </c>
      <c r="B278" s="28" t="inlineStr">
        <is>
          <t>16 Support, FAQ, legal &amp; ambulance</t>
        </is>
      </c>
      <c r="C278" s="28" t="inlineStr">
        <is>
          <t>Ticket</t>
        </is>
      </c>
      <c r="D278" s="28" t="inlineStr">
        <is>
          <t>Closed and resolved tickets</t>
        </is>
      </c>
      <c r="E278" s="28" t="inlineStr">
        <is>
          <t>1. Reply on a resolved ticket
2. Try to reply on a closed ticket</t>
        </is>
      </c>
      <c r="F278" s="28" t="inlineStr">
        <is>
          <t>Resolved ticket reopens; closed ticket cannot be replied to and says so.</t>
        </is>
      </c>
      <c r="G278" s="29" t="inlineStr">
        <is>
          <t>P2</t>
        </is>
      </c>
      <c r="H278" s="29" t="inlineStr">
        <is>
          <t>Negative</t>
        </is>
      </c>
      <c r="I278" s="29" t="inlineStr">
        <is>
          <t>Both</t>
        </is>
      </c>
      <c r="J278" s="29" t="n"/>
      <c r="K278" s="31" t="inlineStr">
        <is>
          <t>Blocked</t>
        </is>
      </c>
      <c r="L278" s="32" t="inlineStr">
        <is>
          <t>Claude (adb)</t>
        </is>
      </c>
      <c r="M278" s="33" t="n">
        <v>46301</v>
      </c>
      <c r="N278" s="32" t="inlineStr">
        <is>
          <t>1.0.0+1 debug</t>
        </is>
      </c>
      <c r="O278" s="32" t="inlineStr">
        <is>
          <t>emulator-5554 / Android 14</t>
        </is>
      </c>
      <c r="P278" s="32" t="n"/>
      <c r="Q278" s="32" t="inlineStr">
        <is>
          <t>6 Oct 2026: Reply on a resolved ticket reopens it (BL-SUP-010). No closed ticket exists to check the refusal (BB-15).</t>
        </is>
      </c>
    </row>
    <row r="279" ht="30" customHeight="1">
      <c r="A279" s="27" t="inlineStr">
        <is>
          <t>SUP-010</t>
        </is>
      </c>
      <c r="B279" s="28" t="inlineStr">
        <is>
          <t>16 Support, FAQ, legal &amp; ambulance</t>
        </is>
      </c>
      <c r="C279" s="28" t="inlineStr">
        <is>
          <t>Ticket</t>
        </is>
      </c>
      <c r="D279" s="28" t="inlineStr">
        <is>
          <t>Status display</t>
        </is>
      </c>
      <c r="E279" s="28" t="inlineStr">
        <is>
          <t>View tickets in each status</t>
        </is>
      </c>
      <c r="F279" s="28" t="inlineStr">
        <is>
          <t>Open, in progress, waiting on you, resolved and closed are each labelled clearly.</t>
        </is>
      </c>
      <c r="G279" s="29" t="inlineStr">
        <is>
          <t>P3</t>
        </is>
      </c>
      <c r="H279" s="29" t="inlineStr">
        <is>
          <t>UI</t>
        </is>
      </c>
      <c r="I279" s="29" t="inlineStr">
        <is>
          <t>Both</t>
        </is>
      </c>
      <c r="J279" s="29" t="n"/>
      <c r="K279" s="31" t="inlineStr">
        <is>
          <t>Blocked</t>
        </is>
      </c>
      <c r="L279" s="32" t="inlineStr">
        <is>
          <t>Claude (adb)</t>
        </is>
      </c>
      <c r="M279" s="33" t="n">
        <v>46301</v>
      </c>
      <c r="N279" s="32" t="inlineStr">
        <is>
          <t>1.0.0+1 debug</t>
        </is>
      </c>
      <c r="O279" s="32" t="inlineStr">
        <is>
          <t>emulator-5554 / Android 14</t>
        </is>
      </c>
      <c r="P279" s="32" t="n"/>
      <c r="Q279" s="32" t="inlineStr">
        <is>
          <t>6 Oct 2026: Open, In progress and Resolved are labelled (BL-SUP-012). No 'waiting on you' or closed ticket exists (BB-15).</t>
        </is>
      </c>
    </row>
    <row r="280" ht="30" customHeight="1">
      <c r="A280" s="27" t="inlineStr">
        <is>
          <t>SUP-011</t>
        </is>
      </c>
      <c r="B280" s="28" t="inlineStr">
        <is>
          <t>16 Support, FAQ, legal &amp; ambulance</t>
        </is>
      </c>
      <c r="C280" s="28" t="inlineStr">
        <is>
          <t>Ambulance</t>
        </is>
      </c>
      <c r="D280" s="28" t="inlineStr">
        <is>
          <t>Ambulance providers list</t>
        </is>
      </c>
      <c r="E280" s="28" t="inlineStr">
        <is>
          <t>Open Ambulance from Home and from an appointment</t>
        </is>
      </c>
      <c r="F280" s="28" t="inlineStr">
        <is>
          <t>Providers for the area are listed with name, area and ETA where known.</t>
        </is>
      </c>
      <c r="G280" s="29" t="inlineStr">
        <is>
          <t>P1</t>
        </is>
      </c>
      <c r="H280" s="29" t="inlineStr">
        <is>
          <t>Functional</t>
        </is>
      </c>
      <c r="I280" s="29" t="inlineStr">
        <is>
          <t>Both</t>
        </is>
      </c>
      <c r="J280" s="29" t="n"/>
      <c r="K280" s="31" t="inlineStr">
        <is>
          <t>Pass</t>
        </is>
      </c>
      <c r="L280" s="32" t="inlineStr">
        <is>
          <t>Claude (adb)</t>
        </is>
      </c>
      <c r="M280" s="33" t="n">
        <v>46301</v>
      </c>
      <c r="N280" s="32" t="inlineStr">
        <is>
          <t>1.0.0+1 debug</t>
        </is>
      </c>
      <c r="O280" s="32" t="inlineStr">
        <is>
          <t>emulator-5554 / Android 14</t>
        </is>
      </c>
      <c r="P280" s="32" t="n"/>
      <c r="Q280" s="32" t="inlineStr">
        <is>
          <t>6 Oct 2026: Ambulance from Home (Emergency) and from an appointment ('Open ambulance request', APPT-027): operators with area and ETA ('Kovai Emergency Care ~10 min…', BL-SUP-018).</t>
        </is>
      </c>
    </row>
    <row r="281" ht="30" customHeight="1">
      <c r="A281" s="27" t="inlineStr">
        <is>
          <t>SUP-012</t>
        </is>
      </c>
      <c r="B281" s="28" t="inlineStr">
        <is>
          <t>16 Support, FAQ, legal &amp; ambulance</t>
        </is>
      </c>
      <c r="C281" s="28" t="inlineStr">
        <is>
          <t>Ambulance</t>
        </is>
      </c>
      <c r="D281" s="28" t="inlineStr">
        <is>
          <t>Call a provider</t>
        </is>
      </c>
      <c r="E281" s="28" t="inlineStr">
        <is>
          <t>Tap a provider</t>
        </is>
      </c>
      <c r="F281" s="28" t="inlineStr">
        <is>
          <t>Dialer opens with that number. No booking flow is implied.</t>
        </is>
      </c>
      <c r="G281" s="29" t="inlineStr">
        <is>
          <t>P0</t>
        </is>
      </c>
      <c r="H281" s="29" t="inlineStr">
        <is>
          <t>Functional</t>
        </is>
      </c>
      <c r="I281" s="29" t="inlineStr">
        <is>
          <t>Both</t>
        </is>
      </c>
      <c r="J281" s="29" t="n"/>
      <c r="K281" s="31" t="inlineStr">
        <is>
          <t>Pass</t>
        </is>
      </c>
      <c r="L281" s="32" t="inlineStr">
        <is>
          <t>Claude (adb)</t>
        </is>
      </c>
      <c r="M281" s="33" t="n">
        <v>46301</v>
      </c>
      <c r="N281" s="32" t="inlineStr">
        <is>
          <t>1.0.0+1 debug</t>
        </is>
      </c>
      <c r="O281" s="32" t="inlineStr">
        <is>
          <t>emulator-5554 / Android 14</t>
        </is>
      </c>
      <c r="P281" s="32" t="n"/>
      <c r="Q281" s="32" t="inlineStr">
        <is>
          <t>6 Oct 2026: Tapping 'Call Kovai Emergency Care on +914222540000' opens the dialler with '+91 422 254 0000'; no booking flow.</t>
        </is>
      </c>
    </row>
    <row r="282" ht="30" customHeight="1">
      <c r="A282" s="27" t="inlineStr">
        <is>
          <t>SUP-013</t>
        </is>
      </c>
      <c r="B282" s="28" t="inlineStr">
        <is>
          <t>16 Support, FAQ, legal &amp; ambulance</t>
        </is>
      </c>
      <c r="C282" s="28" t="inlineStr">
        <is>
          <t>Ambulance</t>
        </is>
      </c>
      <c r="D282" s="28" t="inlineStr">
        <is>
          <t>No providers / offline</t>
        </is>
      </c>
      <c r="E282" s="28" t="inlineStr">
        <is>
          <t>Open with no providers for the city, and offline</t>
        </is>
      </c>
      <c r="F282" s="28" t="inlineStr">
        <is>
          <t>Clear empty/offline state that still shows an emergency number to dial.</t>
        </is>
      </c>
      <c r="G282" s="29" t="inlineStr">
        <is>
          <t>P1</t>
        </is>
      </c>
      <c r="H282" s="29" t="inlineStr">
        <is>
          <t>Negative</t>
        </is>
      </c>
      <c r="I282" s="29" t="inlineStr">
        <is>
          <t>Both</t>
        </is>
      </c>
      <c r="J282" s="29" t="n"/>
      <c r="K282" s="31" t="inlineStr">
        <is>
          <t>Pass</t>
        </is>
      </c>
      <c r="L282" s="32" t="inlineStr">
        <is>
          <t>Claude (adb)</t>
        </is>
      </c>
      <c r="M282" s="33" t="n">
        <v>46301</v>
      </c>
      <c r="N282" s="32" t="inlineStr">
        <is>
          <t>1.0.0+1 debug</t>
        </is>
      </c>
      <c r="O282" s="32" t="inlineStr">
        <is>
          <t>emulator-5554 / Android 14</t>
        </is>
      </c>
      <c r="P282" s="32" t="n"/>
      <c r="Q282" s="32" t="inlineStr">
        <is>
          <t>6 Oct 2026: First open offline: "You're offline.", 'No operators listed — We could not load the ambulance directory. The national emergency number is 108.' with Try again / Contact support (DEF-040 fixed 5 Oct). A city with no providers is not available to test.</t>
        </is>
      </c>
    </row>
    <row r="283" ht="56" customHeight="1">
      <c r="A283" s="27" t="inlineStr">
        <is>
          <t>NAV-001</t>
        </is>
      </c>
      <c r="B283" s="28" t="inlineStr">
        <is>
          <t>17 Navigation &amp; deep links</t>
        </is>
      </c>
      <c r="C283" s="28" t="inlineStr">
        <is>
          <t>Deep link</t>
        </is>
      </c>
      <c r="D283" s="28" t="inlineStr">
        <is>
          <t>Custom-scheme links open the right screen</t>
        </is>
      </c>
      <c r="E283" s="28" t="inlineStr">
        <is>
          <t>With the app signed in, open: medibook://appointment/&lt;id&gt;, medibook://doctor/&lt;id&gt;, medibook://hospital/&lt;id&gt;, medibook://queue/&lt;id&gt;, medibook://receipt/&lt;id&gt;, medibook://profile/edit, medibook://insurance/add, medibook://notifications</t>
        </is>
      </c>
      <c r="F283" s="28" t="inlineStr">
        <is>
          <t>Each lands on the matching screen with a working Back.</t>
        </is>
      </c>
      <c r="G283" s="29" t="inlineStr">
        <is>
          <t>P1</t>
        </is>
      </c>
      <c r="H283" s="29" t="inlineStr">
        <is>
          <t>Functional</t>
        </is>
      </c>
      <c r="I283" s="29" t="inlineStr">
        <is>
          <t>Both</t>
        </is>
      </c>
      <c r="J283" s="29" t="n"/>
      <c r="K283" s="31" t="inlineStr">
        <is>
          <t>Pass</t>
        </is>
      </c>
      <c r="L283" s="32" t="inlineStr">
        <is>
          <t>Claude (adb)</t>
        </is>
      </c>
      <c r="M283" s="33" t="n">
        <v>46301</v>
      </c>
      <c r="N283" s="32" t="inlineStr">
        <is>
          <t>1.0.0+1 debug</t>
        </is>
      </c>
      <c r="O283" s="32" t="inlineStr">
        <is>
          <t>emulator-5554 / Android 14</t>
        </is>
      </c>
      <c r="P283" s="32" t="n"/>
      <c r="Q283" s="32" t="inlineStr">
        <is>
          <t>6 Oct 2026: Signed in, each link lands on its screen with a Back control: appointment/&lt;id&gt; Appointment Details, doctor/&lt;id&gt; Doctor Details, hospital/&lt;id&gt; Hospital Details, queue/&lt;id&gt; Live queue, receipt/&lt;id&gt; Receipt, profile/edit Edit Profile, records Records (tab), notifications, support, insurance, dependants (Family Members), faq.</t>
        </is>
      </c>
    </row>
    <row r="284" ht="30" customHeight="1">
      <c r="A284" s="27" t="inlineStr">
        <is>
          <t>NAV-002</t>
        </is>
      </c>
      <c r="B284" s="28" t="inlineStr">
        <is>
          <t>17 Navigation &amp; deep links</t>
        </is>
      </c>
      <c r="C284" s="28" t="inlineStr">
        <is>
          <t>Deep link</t>
        </is>
      </c>
      <c r="D284" s="28" t="inlineStr">
        <is>
          <t>https://medibook.app links open the app</t>
        </is>
      </c>
      <c r="E284" s="28" t="inlineStr">
        <is>
          <t>Tap https://medibook.app/appointment/&lt;id&gt; from Messages/Mail/Notes</t>
        </is>
      </c>
      <c r="F284" s="28" t="inlineStr">
        <is>
          <t>App opens directly on the screen (Android: verified App Link, no chooser; iOS: Universal Link).</t>
        </is>
      </c>
      <c r="G284" s="29" t="inlineStr">
        <is>
          <t>P1</t>
        </is>
      </c>
      <c r="H284" s="29" t="inlineStr">
        <is>
          <t>Release</t>
        </is>
      </c>
      <c r="I284" s="29" t="inlineStr">
        <is>
          <t>Both</t>
        </is>
      </c>
      <c r="J284" s="29" t="n"/>
      <c r="K284" s="31" t="inlineStr">
        <is>
          <t>Blocked</t>
        </is>
      </c>
      <c r="L284" s="32" t="inlineStr">
        <is>
          <t>Claude (adb)</t>
        </is>
      </c>
      <c r="M284" s="33" t="n">
        <v>46301</v>
      </c>
      <c r="N284" s="32" t="inlineStr">
        <is>
          <t>1.0.0+1 debug</t>
        </is>
      </c>
      <c r="O284" s="32" t="inlineStr">
        <is>
          <t>emulator-5554 / Android 14</t>
        </is>
      </c>
      <c r="P284" s="32" t="n"/>
      <c r="Q284" s="32" t="inlineStr">
        <is>
          <t>6 Oct 2026: The app declares https://medibook.app links with autoVerify, but Android's verification failed (pm get-app-links: medibook.app = 1024): https://medibook.app/.well-known/assetlinks.json and apple-app-site-association answer 307 instead of the files, so the link opens in Chrome. The website needs to serve both files (with the release signing fingerprint, KB-06). Backend/web blocker BB-25.</t>
        </is>
      </c>
    </row>
    <row r="285" ht="30" customHeight="1">
      <c r="A285" s="27" t="inlineStr">
        <is>
          <t>NAV-003</t>
        </is>
      </c>
      <c r="B285" s="28" t="inlineStr">
        <is>
          <t>17 Navigation &amp; deep links</t>
        </is>
      </c>
      <c r="C285" s="28" t="inlineStr">
        <is>
          <t>Deep link</t>
        </is>
      </c>
      <c r="D285" s="28" t="inlineStr">
        <is>
          <t>Cold start vs warm start</t>
        </is>
      </c>
      <c r="E285" s="28" t="inlineStr">
        <is>
          <t>Open a deep link with the app killed, then with it in the background</t>
        </is>
      </c>
      <c r="F285" s="28" t="inlineStr">
        <is>
          <t>Both land on the target screen.</t>
        </is>
      </c>
      <c r="G285" s="29" t="inlineStr">
        <is>
          <t>P1</t>
        </is>
      </c>
      <c r="H285" s="29" t="inlineStr">
        <is>
          <t>Functional</t>
        </is>
      </c>
      <c r="I285" s="29" t="inlineStr">
        <is>
          <t>Both</t>
        </is>
      </c>
      <c r="J285" s="29" t="n"/>
      <c r="K285" s="31" t="inlineStr">
        <is>
          <t>Pass</t>
        </is>
      </c>
      <c r="L285" s="32" t="inlineStr">
        <is>
          <t>Claude (adb)</t>
        </is>
      </c>
      <c r="M285" s="33" t="n">
        <v>46301</v>
      </c>
      <c r="N285" s="32" t="inlineStr">
        <is>
          <t>1.0.0+1 debug</t>
        </is>
      </c>
      <c r="O285" s="32" t="inlineStr">
        <is>
          <t>emulator-5554 / Android 14</t>
        </is>
      </c>
      <c r="P285" s="32" t="inlineStr">
        <is>
          <t>DEF-086</t>
        </is>
      </c>
      <c r="Q285" s="32" t="inlineStr">
        <is>
          <t>6 Oct 2026: FIXED (DEF-086). Background (warm): medibook://appointment/&lt;id&gt; opens Appointment Details. Cold (app killed): the doctor link landed on Home — the target was lost while the session was being read. Now the link is remembered and opened once the session is ready: cold doctor link -&gt; Doctor Details. Note: system Back on a screen opened from a link with nothing beneath it leaves the app, while its own Back arrow goes Home (minor; a global Back handler was tried and reverted because it broke normal Back).</t>
        </is>
      </c>
    </row>
    <row r="286" ht="30" customHeight="1">
      <c r="A286" s="27" t="inlineStr">
        <is>
          <t>NAV-004</t>
        </is>
      </c>
      <c r="B286" s="28" t="inlineStr">
        <is>
          <t>17 Navigation &amp; deep links</t>
        </is>
      </c>
      <c r="C286" s="28" t="inlineStr">
        <is>
          <t>Deep link</t>
        </is>
      </c>
      <c r="D286" s="28" t="inlineStr">
        <is>
          <t>Unknown link</t>
        </is>
      </c>
      <c r="E286" s="28" t="inlineStr">
        <is>
          <t>Open medibook://nonsense/path</t>
        </is>
      </c>
      <c r="F286" s="28" t="inlineStr">
        <is>
          <t>Designed not-found screen with a route Home — never a blank screen or silent no-op.</t>
        </is>
      </c>
      <c r="G286" s="29" t="inlineStr">
        <is>
          <t>P1</t>
        </is>
      </c>
      <c r="H286" s="29" t="inlineStr">
        <is>
          <t>Negative</t>
        </is>
      </c>
      <c r="I286" s="29" t="inlineStr">
        <is>
          <t>Both</t>
        </is>
      </c>
      <c r="J286" s="29" t="n"/>
      <c r="K286" s="31" t="inlineStr">
        <is>
          <t>Pass</t>
        </is>
      </c>
      <c r="L286" s="32" t="inlineStr">
        <is>
          <t>Claude (adb)</t>
        </is>
      </c>
      <c r="M286" s="33" t="n">
        <v>46301</v>
      </c>
      <c r="N286" s="32" t="inlineStr">
        <is>
          <t>1.0.0+1 debug</t>
        </is>
      </c>
      <c r="O286" s="32" t="inlineStr">
        <is>
          <t>emulator-5554 / Android 14</t>
        </is>
      </c>
      <c r="P286" s="32" t="n"/>
      <c r="Q286" s="32" t="inlineStr">
        <is>
          <t>6 Oct 2026: medibook://nonsense/path -&gt; 'Page not found — The screen you were looking for has moved or no longer exists.' with Go to Home.</t>
        </is>
      </c>
    </row>
    <row r="287" ht="17" customHeight="1">
      <c r="A287" s="27" t="inlineStr">
        <is>
          <t>NAV-005</t>
        </is>
      </c>
      <c r="B287" s="28" t="inlineStr">
        <is>
          <t>17 Navigation &amp; deep links</t>
        </is>
      </c>
      <c r="C287" s="28" t="inlineStr">
        <is>
          <t>Deep link</t>
        </is>
      </c>
      <c r="D287" s="28" t="inlineStr">
        <is>
          <t>Link while signed out</t>
        </is>
      </c>
      <c r="E287" s="28" t="inlineStr">
        <is>
          <t>Signed out, open a protected deep link</t>
        </is>
      </c>
      <c r="F287" s="28" t="inlineStr">
        <is>
          <t>Sign-in first, then the target.</t>
        </is>
      </c>
      <c r="G287" s="29" t="inlineStr">
        <is>
          <t>P1</t>
        </is>
      </c>
      <c r="H287" s="29" t="inlineStr">
        <is>
          <t>Security</t>
        </is>
      </c>
      <c r="I287" s="29" t="inlineStr">
        <is>
          <t>Both</t>
        </is>
      </c>
      <c r="J287" s="29" t="n"/>
      <c r="K287" s="31" t="inlineStr">
        <is>
          <t>Pass</t>
        </is>
      </c>
      <c r="L287" s="32" t="inlineStr">
        <is>
          <t>Claude (adb)</t>
        </is>
      </c>
      <c r="M287" s="33" t="n">
        <v>46301</v>
      </c>
      <c r="N287" s="32" t="inlineStr">
        <is>
          <t>1.0.0+1 debug</t>
        </is>
      </c>
      <c r="O287" s="32" t="inlineStr">
        <is>
          <t>emulator-5554 / Android 14</t>
        </is>
      </c>
      <c r="P287" s="32" t="n"/>
      <c r="Q287" s="32" t="inlineStr">
        <is>
          <t>6 Oct 2026: FIXED (DEF-086). Signed out, medibook://appointment/&lt;id&gt; -&gt; sign-in; after signing in the app now opens that appointment (it used to land on Home). Back from it goes to Appointments. A later plain sign-in still lands on Home (the link is used once).</t>
        </is>
      </c>
    </row>
    <row r="288" ht="30" customHeight="1">
      <c r="A288" s="27" t="inlineStr">
        <is>
          <t>NAV-006</t>
        </is>
      </c>
      <c r="B288" s="28" t="inlineStr">
        <is>
          <t>17 Navigation &amp; deep links</t>
        </is>
      </c>
      <c r="C288" s="28" t="inlineStr">
        <is>
          <t>Deep link</t>
        </is>
      </c>
      <c r="D288" s="28" t="inlineStr">
        <is>
          <t>Malformed or hostile link</t>
        </is>
      </c>
      <c r="E288" s="28" t="inlineStr">
        <is>
          <t>Open links with encoded slashes, very long ids, script tags and extra query parameters</t>
        </is>
      </c>
      <c r="F288" s="28" t="inlineStr">
        <is>
          <t>No crash and no navigation outside known screens.</t>
        </is>
      </c>
      <c r="G288" s="29" t="inlineStr">
        <is>
          <t>P1</t>
        </is>
      </c>
      <c r="H288" s="29" t="inlineStr">
        <is>
          <t>Security</t>
        </is>
      </c>
      <c r="I288" s="29" t="inlineStr">
        <is>
          <t>Both</t>
        </is>
      </c>
      <c r="J288" s="29" t="n"/>
      <c r="K288" s="31" t="inlineStr">
        <is>
          <t>Pass</t>
        </is>
      </c>
      <c r="L288" s="32" t="inlineStr">
        <is>
          <t>Claude (adb)</t>
        </is>
      </c>
      <c r="M288" s="33" t="n">
        <v>46301</v>
      </c>
      <c r="N288" s="32" t="inlineStr">
        <is>
          <t>1.0.0+1 debug</t>
        </is>
      </c>
      <c r="O288" s="32" t="inlineStr">
        <is>
          <t>emulator-5554 / Android 14</t>
        </is>
      </c>
      <c r="P288" s="32" t="inlineStr">
        <is>
          <t>DEF-087</t>
        </is>
      </c>
      <c r="Q288" s="32" t="inlineStr">
        <is>
          <t>6 Oct 2026: FIXED (DEF-087). medibook://appointment/..%2F..%2Fprofile opened Profile (the decoded '../..' walked to another screen). Now only plain ids (letters, digits, - and _) are accepted: that link, a &lt;script&gt; id, a 3000-character id and 'a.b' give 'Page not found'; extra query parameters are ignored; no crash (logcat: 0 fatal). Test: routes_test.dart 'hostile link ids are refused'.</t>
        </is>
      </c>
    </row>
    <row r="289" ht="30" customHeight="1">
      <c r="A289" s="27" t="inlineStr">
        <is>
          <t>NAV-007</t>
        </is>
      </c>
      <c r="B289" s="28" t="inlineStr">
        <is>
          <t>17 Navigation &amp; deep links</t>
        </is>
      </c>
      <c r="C289" s="28" t="inlineStr">
        <is>
          <t>Back</t>
        </is>
      </c>
      <c r="D289" s="28" t="inlineStr">
        <is>
          <t>Android back button and gesture</t>
        </is>
      </c>
      <c r="E289" s="28" t="inlineStr">
        <is>
          <t>On every screen use system Back / predictive back</t>
        </is>
      </c>
      <c r="F289" s="28" t="inlineStr">
        <is>
          <t>Each press goes one level up; on a root tab it leaves the app (or returns to Home first) consistently.</t>
        </is>
      </c>
      <c r="G289" s="29" t="inlineStr">
        <is>
          <t>P1</t>
        </is>
      </c>
      <c r="H289" s="29" t="inlineStr">
        <is>
          <t>Functional</t>
        </is>
      </c>
      <c r="I289" s="29" t="inlineStr">
        <is>
          <t>Android</t>
        </is>
      </c>
      <c r="J289" s="29" t="n"/>
      <c r="K289" s="31" t="inlineStr">
        <is>
          <t>Pass</t>
        </is>
      </c>
      <c r="L289" s="32" t="inlineStr">
        <is>
          <t>Claude (adb)</t>
        </is>
      </c>
      <c r="M289" s="33" t="n">
        <v>46301</v>
      </c>
      <c r="N289" s="32" t="inlineStr">
        <is>
          <t>1.0.0+1 debug</t>
        </is>
      </c>
      <c r="O289" s="32" t="inlineStr">
        <is>
          <t>emulator-5554 / Android 14</t>
        </is>
      </c>
      <c r="P289" s="32" t="n"/>
      <c r="Q289" s="32" t="inlineStr">
        <is>
          <t>6 Oct 2026: System Back: Appointment Details (pushed) -&gt; Appointments; on a root tab (Appointments, Records) Back leaves the app, consistently. Exception noted under NAV-003: a link-opened screen with nothing beneath leaves the app on system Back.</t>
        </is>
      </c>
    </row>
    <row r="290" ht="17" customHeight="1">
      <c r="A290" s="27" t="inlineStr">
        <is>
          <t>NAV-008</t>
        </is>
      </c>
      <c r="B290" s="28" t="inlineStr">
        <is>
          <t>17 Navigation &amp; deep links</t>
        </is>
      </c>
      <c r="C290" s="28" t="inlineStr">
        <is>
          <t>Back</t>
        </is>
      </c>
      <c r="D290" s="28" t="inlineStr">
        <is>
          <t>iOS swipe-back</t>
        </is>
      </c>
      <c r="E290" s="28" t="inlineStr">
        <is>
          <t>Swipe from the left edge on pushed screens</t>
        </is>
      </c>
      <c r="F290" s="28" t="inlineStr">
        <is>
          <t>Screen pops; forms with unsaved changes ask first.</t>
        </is>
      </c>
      <c r="G290" s="29" t="inlineStr">
        <is>
          <t>P1</t>
        </is>
      </c>
      <c r="H290" s="29" t="inlineStr">
        <is>
          <t>Functional</t>
        </is>
      </c>
      <c r="I290" s="29" t="inlineStr">
        <is>
          <t>iOS</t>
        </is>
      </c>
      <c r="J290" s="29" t="n"/>
      <c r="K290" s="31" t="inlineStr">
        <is>
          <t>Blocked</t>
        </is>
      </c>
      <c r="L290" s="32" t="inlineStr">
        <is>
          <t>Claude (adb)</t>
        </is>
      </c>
      <c r="M290" s="33" t="n">
        <v>46301</v>
      </c>
      <c r="N290" s="32" t="inlineStr">
        <is>
          <t>1.0.0+1 debug</t>
        </is>
      </c>
      <c r="O290" s="32" t="inlineStr">
        <is>
          <t>emulator-5554 / Android 14</t>
        </is>
      </c>
      <c r="P290" s="32" t="n"/>
      <c r="Q290" s="32" t="inlineStr">
        <is>
          <t>6 Oct 2026: iOS only; no iOS device or simulator in this run.</t>
        </is>
      </c>
    </row>
    <row r="291" ht="30" customHeight="1">
      <c r="A291" s="27" t="inlineStr">
        <is>
          <t>NAV-009</t>
        </is>
      </c>
      <c r="B291" s="28" t="inlineStr">
        <is>
          <t>17 Navigation &amp; deep links</t>
        </is>
      </c>
      <c r="C291" s="28" t="inlineStr">
        <is>
          <t>Back</t>
        </is>
      </c>
      <c r="D291" s="28" t="inlineStr">
        <is>
          <t>Completed flows cannot be re-entered with Back</t>
        </is>
      </c>
      <c r="E291" s="28" t="inlineStr">
        <is>
          <t>After booking success, payment result, logout and password reset press Back</t>
        </is>
      </c>
      <c r="F291" s="28" t="inlineStr">
        <is>
          <t>User never returns to a finished or signed-in-only step.</t>
        </is>
      </c>
      <c r="G291" s="29" t="inlineStr">
        <is>
          <t>P0</t>
        </is>
      </c>
      <c r="H291" s="29" t="inlineStr">
        <is>
          <t>Functional</t>
        </is>
      </c>
      <c r="I291" s="29" t="inlineStr">
        <is>
          <t>Both</t>
        </is>
      </c>
      <c r="J291" s="29" t="n"/>
      <c r="K291" s="31" t="inlineStr">
        <is>
          <t>Blocked</t>
        </is>
      </c>
      <c r="L291" s="32" t="inlineStr">
        <is>
          <t>Claude (adb)</t>
        </is>
      </c>
      <c r="M291" s="33" t="n">
        <v>46301</v>
      </c>
      <c r="N291" s="32" t="inlineStr">
        <is>
          <t>1.0.0+1 debug</t>
        </is>
      </c>
      <c r="O291" s="32" t="inlineStr">
        <is>
          <t>emulator-5554 / Android 14</t>
        </is>
      </c>
      <c r="P291" s="32" t="n"/>
      <c r="Q291" s="32" t="inlineStr">
        <is>
          <t>6 Oct 2026: Logout + Back leaves the app and never shows signed-in screens (E2E-012). Booking success and payment result need a real payment (KB-02); password reset needs an OTP (KB-05).</t>
        </is>
      </c>
    </row>
    <row r="292" ht="30" customHeight="1">
      <c r="A292" s="27" t="inlineStr">
        <is>
          <t>NAV-010</t>
        </is>
      </c>
      <c r="B292" s="28" t="inlineStr">
        <is>
          <t>17 Navigation &amp; deep links</t>
        </is>
      </c>
      <c r="C292" s="28" t="inlineStr">
        <is>
          <t>Sheets</t>
        </is>
      </c>
      <c r="D292" s="28" t="inlineStr">
        <is>
          <t>Bottom sheets and dialogs dismiss correctly</t>
        </is>
      </c>
      <c r="E292" s="28" t="inlineStr">
        <is>
          <t>1. Open filter sheets, date pickers and confirm dialogs
2. Dismiss by Back, tap outside and drag</t>
        </is>
      </c>
      <c r="F292" s="28" t="inlineStr">
        <is>
          <t>They close without closing the screen beneath.</t>
        </is>
      </c>
      <c r="G292" s="29" t="inlineStr">
        <is>
          <t>P2</t>
        </is>
      </c>
      <c r="H292" s="29" t="inlineStr">
        <is>
          <t>UI</t>
        </is>
      </c>
      <c r="I292" s="29" t="inlineStr">
        <is>
          <t>Both</t>
        </is>
      </c>
      <c r="J292" s="29" t="n"/>
      <c r="K292" s="31" t="inlineStr">
        <is>
          <t>Pass</t>
        </is>
      </c>
      <c r="L292" s="32" t="inlineStr">
        <is>
          <t>Claude (adb)</t>
        </is>
      </c>
      <c r="M292" s="33" t="n">
        <v>46301</v>
      </c>
      <c r="N292" s="32" t="inlineStr">
        <is>
          <t>1.0.0+1 debug</t>
        </is>
      </c>
      <c r="O292" s="32" t="inlineStr">
        <is>
          <t>emulator-5554 / Android 14</t>
        </is>
      </c>
      <c r="P292" s="32" t="n"/>
      <c r="Q292" s="32" t="inlineStr">
        <is>
          <t>6 Oct 2026: Appointments filter sheet closes by system Back, by tapping outside and by dragging down, leaving Appointments underneath. The Logout dialog closes by Back and Profile stays.</t>
        </is>
      </c>
    </row>
    <row r="293" ht="17" customHeight="1">
      <c r="A293" s="27" t="inlineStr">
        <is>
          <t>NAV-011</t>
        </is>
      </c>
      <c r="B293" s="28" t="inlineStr">
        <is>
          <t>17 Navigation &amp; deep links</t>
        </is>
      </c>
      <c r="C293" s="28" t="inlineStr">
        <is>
          <t>Not found</t>
        </is>
      </c>
      <c r="D293" s="28" t="inlineStr">
        <is>
          <t>Router error screen</t>
        </is>
      </c>
      <c r="E293" s="28" t="inlineStr">
        <is>
          <t>Navigate to an unregistered path</t>
        </is>
      </c>
      <c r="F293" s="28" t="inlineStr">
        <is>
          <t>Not-found screen is shown.</t>
        </is>
      </c>
      <c r="G293" s="29" t="inlineStr">
        <is>
          <t>P2</t>
        </is>
      </c>
      <c r="H293" s="29" t="inlineStr">
        <is>
          <t>Negative</t>
        </is>
      </c>
      <c r="I293" s="29" t="inlineStr">
        <is>
          <t>Both</t>
        </is>
      </c>
      <c r="J293" s="29" t="n"/>
      <c r="K293" s="31" t="inlineStr">
        <is>
          <t>Pass</t>
        </is>
      </c>
      <c r="L293" s="32" t="inlineStr">
        <is>
          <t>Claude (adb)</t>
        </is>
      </c>
      <c r="M293" s="33" t="n">
        <v>46301</v>
      </c>
      <c r="N293" s="32" t="inlineStr">
        <is>
          <t>1.0.0+1 debug</t>
        </is>
      </c>
      <c r="O293" s="32" t="inlineStr">
        <is>
          <t>emulator-5554 / Android 14</t>
        </is>
      </c>
      <c r="P293" s="32" t="n"/>
      <c r="Q293" s="32" t="inlineStr">
        <is>
          <t>6 Oct 2026: Unregistered paths (medibook://nonsense/path, profile/edit/../../../settings, legal/unknown) show the Page not found screen with Go to Home.</t>
        </is>
      </c>
    </row>
    <row r="294" ht="30" customHeight="1">
      <c r="A294" s="27" t="inlineStr">
        <is>
          <t>NAV-012</t>
        </is>
      </c>
      <c r="B294" s="28" t="inlineStr">
        <is>
          <t>17 Navigation &amp; deep links</t>
        </is>
      </c>
      <c r="C294" s="28" t="inlineStr">
        <is>
          <t>External</t>
        </is>
      </c>
      <c r="D294" s="28" t="inlineStr">
        <is>
          <t>External links</t>
        </is>
      </c>
      <c r="E294" s="28" t="inlineStr">
        <is>
          <t>Open tel:, map and web links from the app</t>
        </is>
      </c>
      <c r="F294" s="28" t="inlineStr">
        <is>
          <t>Correct OS app opens; if none can handle it, a message is shown.</t>
        </is>
      </c>
      <c r="G294" s="29" t="inlineStr">
        <is>
          <t>P2</t>
        </is>
      </c>
      <c r="H294" s="29" t="inlineStr">
        <is>
          <t>Functional</t>
        </is>
      </c>
      <c r="I294" s="29" t="inlineStr">
        <is>
          <t>Both</t>
        </is>
      </c>
      <c r="J294" s="29" t="n"/>
      <c r="K294" s="31" t="inlineStr">
        <is>
          <t>Pass</t>
        </is>
      </c>
      <c r="L294" s="32" t="inlineStr">
        <is>
          <t>Claude (adb)</t>
        </is>
      </c>
      <c r="M294" s="33" t="n">
        <v>46301</v>
      </c>
      <c r="N294" s="32" t="inlineStr">
        <is>
          <t>1.0.0+1 debug</t>
        </is>
      </c>
      <c r="O294" s="32" t="inlineStr">
        <is>
          <t>emulator-5554 / Android 14</t>
        </is>
      </c>
      <c r="P294" s="32" t="n"/>
      <c r="Q294" s="32" t="inlineStr">
        <is>
          <t>6 Oct 2026: tel: opens the dialler (hospital phone, support line, ambulance providers), maps opens Google Maps at the hospital's pin, the hospital website opens Chrome. If nothing can open a link the app shows 'No app on this phone can open that.' (code path; every handler exists on this emulator).</t>
        </is>
      </c>
    </row>
    <row r="295" ht="43" customHeight="1">
      <c r="A295" s="27" t="inlineStr">
        <is>
          <t>NET-001</t>
        </is>
      </c>
      <c r="B295" s="28" t="inlineStr">
        <is>
          <t>18 Network, offline &amp; cache (Hive)</t>
        </is>
      </c>
      <c r="C295" s="28" t="inlineStr">
        <is>
          <t>Scenario 1</t>
        </is>
      </c>
      <c r="D295" s="28" t="inlineStr">
        <is>
          <t>Cold start, online, empty cache</t>
        </is>
      </c>
      <c r="E295" s="28" t="inlineStr">
        <is>
          <t>1. Fresh install
2. Sign in
3. Open each tab</t>
        </is>
      </c>
      <c r="F295" s="28" t="inlineStr">
        <is>
          <t>Loader, then data; data is written to cache.</t>
        </is>
      </c>
      <c r="G295" s="29" t="inlineStr">
        <is>
          <t>P0</t>
        </is>
      </c>
      <c r="H295" s="29" t="inlineStr">
        <is>
          <t>Offline</t>
        </is>
      </c>
      <c r="I295" s="29" t="inlineStr">
        <is>
          <t>Both</t>
        </is>
      </c>
      <c r="J295" s="29" t="n"/>
      <c r="K295" s="31" t="inlineStr">
        <is>
          <t>Pass</t>
        </is>
      </c>
      <c r="L295" s="32" t="inlineStr">
        <is>
          <t>Claude (adb)</t>
        </is>
      </c>
      <c r="M295" s="33" t="n">
        <v>46301</v>
      </c>
      <c r="N295" s="32" t="inlineStr">
        <is>
          <t>1.0.0+1 debug</t>
        </is>
      </c>
      <c r="O295" s="32" t="inlineStr">
        <is>
          <t>emulator-5554 / Android 14</t>
        </is>
      </c>
      <c r="P295" s="32" t="n"/>
      <c r="Q295" s="32" t="inlineStr">
        <is>
          <t>6 Oct 2026: App data wiped, signed in: each tab shows a skeleton loader, then data (Home, Appointments, Records, Profile); the answers are written to the cache (they reappear offline afterwards, NET-003).</t>
        </is>
      </c>
    </row>
    <row r="296" ht="30" customHeight="1">
      <c r="A296" s="27" t="inlineStr">
        <is>
          <t>NET-002</t>
        </is>
      </c>
      <c r="B296" s="28" t="inlineStr">
        <is>
          <t>18 Network, offline &amp; cache (Hive)</t>
        </is>
      </c>
      <c r="C296" s="28" t="inlineStr">
        <is>
          <t>Scenario 2</t>
        </is>
      </c>
      <c r="D296" s="28" t="inlineStr">
        <is>
          <t>Warm start with a valid cache</t>
        </is>
      </c>
      <c r="E296" s="28" t="inlineStr">
        <is>
          <t>Relaunch within a few hours</t>
        </is>
      </c>
      <c r="F296" s="28" t="inlineStr">
        <is>
          <t>Cached content appears immediately, then refreshes in the background without flicker.</t>
        </is>
      </c>
      <c r="G296" s="29" t="inlineStr">
        <is>
          <t>P0</t>
        </is>
      </c>
      <c r="H296" s="29" t="inlineStr">
        <is>
          <t>Offline</t>
        </is>
      </c>
      <c r="I296" s="29" t="inlineStr">
        <is>
          <t>Both</t>
        </is>
      </c>
      <c r="J296" s="29" t="n"/>
      <c r="K296" s="31" t="inlineStr">
        <is>
          <t>Pass</t>
        </is>
      </c>
      <c r="L296" s="32" t="inlineStr">
        <is>
          <t>Claude (adb)</t>
        </is>
      </c>
      <c r="M296" s="33" t="n">
        <v>46301</v>
      </c>
      <c r="N296" s="32" t="inlineStr">
        <is>
          <t>1.0.0+1 debug</t>
        </is>
      </c>
      <c r="O296" s="32" t="inlineStr">
        <is>
          <t>emulator-5554 / Android 14</t>
        </is>
      </c>
      <c r="P296" s="32" t="n"/>
      <c r="Q296" s="32" t="inlineStr">
        <is>
          <t>6 Oct 2026: Force-stop and relaunch: Home and its sections appear within about a second from saved data, then match the server; saved Records rows appear at once (BL-CACHE-002; E2E-007 today).</t>
        </is>
      </c>
    </row>
    <row r="297" ht="30" customHeight="1">
      <c r="A297" s="27" t="inlineStr">
        <is>
          <t>NET-003</t>
        </is>
      </c>
      <c r="B297" s="28" t="inlineStr">
        <is>
          <t>18 Network, offline &amp; cache (Hive)</t>
        </is>
      </c>
      <c r="C297" s="28" t="inlineStr">
        <is>
          <t>Scenario 3</t>
        </is>
      </c>
      <c r="D297" s="28" t="inlineStr">
        <is>
          <t>Offline with cache</t>
        </is>
      </c>
      <c r="E297" s="28" t="inlineStr">
        <is>
          <t>1. Airplane mode
2. Open previously visited screens</t>
        </is>
      </c>
      <c r="F297" s="28" t="inlineStr">
        <is>
          <t>Cached content with an offline indication; no error screens.</t>
        </is>
      </c>
      <c r="G297" s="29" t="inlineStr">
        <is>
          <t>P0</t>
        </is>
      </c>
      <c r="H297" s="29" t="inlineStr">
        <is>
          <t>Offline</t>
        </is>
      </c>
      <c r="I297" s="29" t="inlineStr">
        <is>
          <t>Both</t>
        </is>
      </c>
      <c r="J297" s="29" t="n"/>
      <c r="K297" s="31" t="inlineStr">
        <is>
          <t>Pass</t>
        </is>
      </c>
      <c r="L297" s="32" t="inlineStr">
        <is>
          <t>Claude (adb)</t>
        </is>
      </c>
      <c r="M297" s="33" t="n">
        <v>46301</v>
      </c>
      <c r="N297" s="32" t="inlineStr">
        <is>
          <t>1.0.0+1 debug</t>
        </is>
      </c>
      <c r="O297" s="32" t="inlineStr">
        <is>
          <t>emulator-5554 / Android 14</t>
        </is>
      </c>
      <c r="P297" s="32" t="n"/>
      <c r="Q297" s="32" t="inlineStr">
        <is>
          <t>6 Oct 2026: Airplane mode: Home, Records ('You are offline — showing your saved records') and Appointments ("You're offline. Showing data from 6 minutes ago.") show saved content; an empty saved tab now shows 'Nothing here yet' instead of an error (DEF-075).</t>
        </is>
      </c>
    </row>
    <row r="298" ht="30" customHeight="1">
      <c r="A298" s="27" t="inlineStr">
        <is>
          <t>NET-004</t>
        </is>
      </c>
      <c r="B298" s="28" t="inlineStr">
        <is>
          <t>18 Network, offline &amp; cache (Hive)</t>
        </is>
      </c>
      <c r="C298" s="28" t="inlineStr">
        <is>
          <t>Scenario 3</t>
        </is>
      </c>
      <c r="D298" s="28" t="inlineStr">
        <is>
          <t>Offline with no cache</t>
        </is>
      </c>
      <c r="E298" s="28" t="inlineStr">
        <is>
          <t>1. Airplane mode
2. Open a screen never visited</t>
        </is>
      </c>
      <c r="F298" s="28" t="inlineStr">
        <is>
          <t>Friendly offline state with Retry; no endless spinner.</t>
        </is>
      </c>
      <c r="G298" s="29" t="inlineStr">
        <is>
          <t>P0</t>
        </is>
      </c>
      <c r="H298" s="29" t="inlineStr">
        <is>
          <t>Offline</t>
        </is>
      </c>
      <c r="I298" s="29" t="inlineStr">
        <is>
          <t>Both</t>
        </is>
      </c>
      <c r="J298" s="29" t="n"/>
      <c r="K298" s="31" t="inlineStr">
        <is>
          <t>Pass</t>
        </is>
      </c>
      <c r="L298" s="32" t="inlineStr">
        <is>
          <t>Claude (adb)</t>
        </is>
      </c>
      <c r="M298" s="33" t="n">
        <v>46301</v>
      </c>
      <c r="N298" s="32" t="inlineStr">
        <is>
          <t>1.0.0+1 debug</t>
        </is>
      </c>
      <c r="O298" s="32" t="inlineStr">
        <is>
          <t>emulator-5554 / Android 14</t>
        </is>
      </c>
      <c r="P298" s="32" t="n"/>
      <c r="Q298" s="32" t="inlineStr">
        <is>
          <t>6 Oct 2026: Cold start offline, Insurance never loaded: 'We could not load your policies — You appear to be offline. Check your connection and try again.' with Try Again; no endless spinner (BL-CACHE-007).</t>
        </is>
      </c>
    </row>
    <row r="299" ht="30" customHeight="1">
      <c r="A299" s="27" t="inlineStr">
        <is>
          <t>NET-005</t>
        </is>
      </c>
      <c r="B299" s="28" t="inlineStr">
        <is>
          <t>18 Network, offline &amp; cache (Hive)</t>
        </is>
      </c>
      <c r="C299" s="28" t="inlineStr">
        <is>
          <t>Scenario 4</t>
        </is>
      </c>
      <c r="D299" s="28" t="inlineStr">
        <is>
          <t>Navigation reuses the in-memory cache</t>
        </is>
      </c>
      <c r="E299" s="28" t="inlineStr">
        <is>
          <t>With a proxy, move between Home, Appointments and back</t>
        </is>
      </c>
      <c r="F299" s="28" t="inlineStr">
        <is>
          <t>No repeat request for unchanged data within the validity window.</t>
        </is>
      </c>
      <c r="G299" s="29" t="inlineStr">
        <is>
          <t>P2</t>
        </is>
      </c>
      <c r="H299" s="29" t="inlineStr">
        <is>
          <t>Performance</t>
        </is>
      </c>
      <c r="I299" s="29" t="inlineStr">
        <is>
          <t>Both</t>
        </is>
      </c>
      <c r="J299" s="29" t="n"/>
      <c r="K299" s="31" t="inlineStr">
        <is>
          <t>N/A</t>
        </is>
      </c>
      <c r="L299" s="32" t="inlineStr">
        <is>
          <t>Claude (adb)</t>
        </is>
      </c>
      <c r="M299" s="33" t="n">
        <v>46301</v>
      </c>
      <c r="N299" s="32" t="inlineStr">
        <is>
          <t>1.0.0+1 debug</t>
        </is>
      </c>
      <c r="O299" s="32" t="inlineStr">
        <is>
          <t>emulator-5554 / Android 14</t>
        </is>
      </c>
      <c r="P299" s="32" t="n"/>
      <c r="Q299" s="32" t="inlineStr">
        <is>
          <t>6 Oct 2026: OWNER DECISION (5 Oct 2026, BL-CACHE-001/DEF-054): every screen calls its endpoints again when navigated to, so a repeat request on navigation is intended. It is a conditional request (If-None-Match -&gt; 304) and the saved content stays on screen meanwhile.</t>
        </is>
      </c>
    </row>
    <row r="300" ht="30" customHeight="1">
      <c r="A300" s="27" t="inlineStr">
        <is>
          <t>NET-006</t>
        </is>
      </c>
      <c r="B300" s="28" t="inlineStr">
        <is>
          <t>18 Network, offline &amp; cache (Hive)</t>
        </is>
      </c>
      <c r="C300" s="28" t="inlineStr">
        <is>
          <t>Scenario 5</t>
        </is>
      </c>
      <c r="D300" s="28" t="inlineStr">
        <is>
          <t>Stale cache (older than 24 h)</t>
        </is>
      </c>
      <c r="E300" s="28" t="inlineStr">
        <is>
          <t>Set the device date forward by 2 days offline, or leave the app unused for 24 h+</t>
        </is>
      </c>
      <c r="F300" s="28" t="inlineStr">
        <is>
          <t>Old data shows with a 'data from…' indication; refresh replaces it.</t>
        </is>
      </c>
      <c r="G300" s="29" t="inlineStr">
        <is>
          <t>P1</t>
        </is>
      </c>
      <c r="H300" s="29" t="inlineStr">
        <is>
          <t>Offline</t>
        </is>
      </c>
      <c r="I300" s="29" t="inlineStr">
        <is>
          <t>Both</t>
        </is>
      </c>
      <c r="J300" s="29" t="n"/>
      <c r="K300" s="31" t="inlineStr">
        <is>
          <t>Pass</t>
        </is>
      </c>
      <c r="L300" s="32" t="inlineStr">
        <is>
          <t>Claude (adb)</t>
        </is>
      </c>
      <c r="M300" s="33" t="n">
        <v>46301</v>
      </c>
      <c r="N300" s="32" t="inlineStr">
        <is>
          <t>1.0.0+1 debug</t>
        </is>
      </c>
      <c r="O300" s="32" t="inlineStr">
        <is>
          <t>emulator-5554 / Android 14</t>
        </is>
      </c>
      <c r="P300" s="32" t="n"/>
      <c r="Q300" s="32" t="inlineStr">
        <is>
          <t>6 Oct 2026: Emulator clock +25 h with the server unreachable: Records showed 'Data from 1 day ago • Tap to refresh'; refreshing replaced it (BL-CACHE-003, -004).</t>
        </is>
      </c>
    </row>
    <row r="301" ht="30" customHeight="1">
      <c r="A301" s="27" t="inlineStr">
        <is>
          <t>NET-007</t>
        </is>
      </c>
      <c r="B301" s="28" t="inlineStr">
        <is>
          <t>18 Network, offline &amp; cache (Hive)</t>
        </is>
      </c>
      <c r="C301" s="28" t="inlineStr">
        <is>
          <t>Scenario 6</t>
        </is>
      </c>
      <c r="D301" s="28" t="inlineStr">
        <is>
          <t>Conditional requests (304)</t>
        </is>
      </c>
      <c r="E301" s="28" t="inlineStr">
        <is>
          <t>With a proxy, refresh a screen whose data has not changed</t>
        </is>
      </c>
      <c r="F301" s="28" t="inlineStr">
        <is>
          <t>Request carries If-None-Match; a 304 keeps the cached data and updates its freshness.</t>
        </is>
      </c>
      <c r="G301" s="29" t="inlineStr">
        <is>
          <t>P2</t>
        </is>
      </c>
      <c r="H301" s="29" t="inlineStr">
        <is>
          <t>Performance</t>
        </is>
      </c>
      <c r="I301" s="29" t="inlineStr">
        <is>
          <t>Both</t>
        </is>
      </c>
      <c r="J301" s="29" t="n"/>
      <c r="K301" s="31" t="inlineStr">
        <is>
          <t>Pass</t>
        </is>
      </c>
      <c r="L301" s="32" t="inlineStr">
        <is>
          <t>Claude (adb)</t>
        </is>
      </c>
      <c r="M301" s="33" t="n">
        <v>46301</v>
      </c>
      <c r="N301" s="32" t="inlineStr">
        <is>
          <t>1.0.0+1 debug</t>
        </is>
      </c>
      <c r="O301" s="32" t="inlineStr">
        <is>
          <t>emulator-5554 / Android 14</t>
        </is>
      </c>
      <c r="P301" s="32" t="n"/>
      <c r="Q301" s="32" t="inlineStr">
        <is>
          <t>6 Oct 2026: Watched through the recorder: the refresh carries If-None-Match, the server answers 304, the saved data is kept and its freshness updated (BL-CACHE-004).</t>
        </is>
      </c>
    </row>
    <row r="302" ht="30" customHeight="1">
      <c r="A302" s="27" t="inlineStr">
        <is>
          <t>NET-008</t>
        </is>
      </c>
      <c r="B302" s="28" t="inlineStr">
        <is>
          <t>18 Network, offline &amp; cache (Hive)</t>
        </is>
      </c>
      <c r="C302" s="28" t="inlineStr">
        <is>
          <t>Scenario 7</t>
        </is>
      </c>
      <c r="D302" s="28" t="inlineStr">
        <is>
          <t>Concurrent request de-duplication</t>
        </is>
      </c>
      <c r="E302" s="28" t="inlineStr">
        <is>
          <t>Open a screen where two widgets need the same data</t>
        </is>
      </c>
      <c r="F302" s="28" t="inlineStr">
        <is>
          <t>One network call for that resource.</t>
        </is>
      </c>
      <c r="G302" s="29" t="inlineStr">
        <is>
          <t>P2</t>
        </is>
      </c>
      <c r="H302" s="29" t="inlineStr">
        <is>
          <t>Performance</t>
        </is>
      </c>
      <c r="I302" s="29" t="inlineStr">
        <is>
          <t>Both</t>
        </is>
      </c>
      <c r="J302" s="29" t="n"/>
      <c r="K302" s="31" t="inlineStr">
        <is>
          <t>Pass</t>
        </is>
      </c>
      <c r="L302" s="32" t="inlineStr">
        <is>
          <t>Claude (adb)</t>
        </is>
      </c>
      <c r="M302" s="33" t="n">
        <v>46301</v>
      </c>
      <c r="N302" s="32" t="inlineStr">
        <is>
          <t>1.0.0+1 debug</t>
        </is>
      </c>
      <c r="O302" s="32" t="inlineStr">
        <is>
          <t>emulator-5554 / Android 14</t>
        </is>
      </c>
      <c r="P302" s="32" t="n"/>
      <c r="Q302" s="32" t="inlineStr">
        <is>
          <t>6 Oct 2026: Two pulls to refresh in quick succession sent one request (BL-CACHE-025); concurrent reads of the same resource share one request (RequestPool in CachedFetcher).</t>
        </is>
      </c>
    </row>
    <row r="303" ht="30" customHeight="1">
      <c r="A303" s="27" t="inlineStr">
        <is>
          <t>NET-009</t>
        </is>
      </c>
      <c r="B303" s="28" t="inlineStr">
        <is>
          <t>18 Network, offline &amp; cache (Hive)</t>
        </is>
      </c>
      <c r="C303" s="28" t="inlineStr">
        <is>
          <t>Scenario 8</t>
        </is>
      </c>
      <c r="D303" s="28" t="inlineStr">
        <is>
          <t>Cache size limits and eviction</t>
        </is>
      </c>
      <c r="E303" s="28" t="inlineStr">
        <is>
          <t>1. Browse heavily (many doctors, hospitals, images)
2. Check app storage</t>
        </is>
      </c>
      <c r="F303" s="28" t="inlineStr">
        <is>
          <t>App storage stays within the configured ceiling; oldest entries are evicted; no crash.</t>
        </is>
      </c>
      <c r="G303" s="29" t="inlineStr">
        <is>
          <t>P2</t>
        </is>
      </c>
      <c r="H303" s="29" t="inlineStr">
        <is>
          <t>Performance</t>
        </is>
      </c>
      <c r="I303" s="29" t="inlineStr">
        <is>
          <t>Both</t>
        </is>
      </c>
      <c r="J303" s="29" t="n"/>
      <c r="K303" s="31" t="inlineStr">
        <is>
          <t>Pass</t>
        </is>
      </c>
      <c r="L303" s="32" t="inlineStr">
        <is>
          <t>Claude (adb)</t>
        </is>
      </c>
      <c r="M303" s="33" t="n">
        <v>46301</v>
      </c>
      <c r="N303" s="32" t="inlineStr">
        <is>
          <t>1.0.0+1 debug</t>
        </is>
      </c>
      <c r="O303" s="32" t="inlineStr">
        <is>
          <t>emulator-5554 / Android 14</t>
        </is>
      </c>
      <c r="P303" s="32" t="n"/>
      <c r="Q303" s="32" t="inlineStr">
        <is>
          <t>6 Oct 2026: Storage padded to 194 MB: the 5-minute monitor ran, wrote last_eviction_sweep_at and evicted the oldest entries; no crash (BL-CACHE-011).</t>
        </is>
      </c>
    </row>
    <row r="304" ht="30" customHeight="1">
      <c r="A304" s="27" t="inlineStr">
        <is>
          <t>NET-010</t>
        </is>
      </c>
      <c r="B304" s="28" t="inlineStr">
        <is>
          <t>18 Network, offline &amp; cache (Hive)</t>
        </is>
      </c>
      <c r="C304" s="28" t="inlineStr">
        <is>
          <t>Scenario 9</t>
        </is>
      </c>
      <c r="D304" s="28" t="inlineStr">
        <is>
          <t>Corrupted cache recovery</t>
        </is>
      </c>
      <c r="E304" s="28" t="inlineStr">
        <is>
          <t>1. On a debug build, corrupt a cache entry/box
2. Open the affected screen</t>
        </is>
      </c>
      <c r="F304" s="28" t="inlineStr">
        <is>
          <t>App recovers by refetching; no crash; the bad entry is dropped.</t>
        </is>
      </c>
      <c r="G304" s="29" t="inlineStr">
        <is>
          <t>P1</t>
        </is>
      </c>
      <c r="H304" s="29" t="inlineStr">
        <is>
          <t>Negative</t>
        </is>
      </c>
      <c r="I304" s="29" t="inlineStr">
        <is>
          <t>Both</t>
        </is>
      </c>
      <c r="J304" s="29" t="n"/>
      <c r="K304" s="31" t="inlineStr">
        <is>
          <t>Pass</t>
        </is>
      </c>
      <c r="L304" s="32" t="inlineStr">
        <is>
          <t>Claude (adb)</t>
        </is>
      </c>
      <c r="M304" s="33" t="n">
        <v>46301</v>
      </c>
      <c r="N304" s="32" t="inlineStr">
        <is>
          <t>1.0.0+1 debug</t>
        </is>
      </c>
      <c r="O304" s="32" t="inlineStr">
        <is>
          <t>emulator-5554 / Android 14</t>
        </is>
      </c>
      <c r="P304" s="32" t="n"/>
      <c r="Q304" s="32" t="inlineStr">
        <is>
          <t>6 Oct 2026: http_cache.hive overwritten with random bytes: 'Recovering corrupted box.', the app refetched and opened normally (INS-010 today; BL-CACHE-012).</t>
        </is>
      </c>
    </row>
    <row r="305" ht="30" customHeight="1">
      <c r="A305" s="27" t="inlineStr">
        <is>
          <t>NET-011</t>
        </is>
      </c>
      <c r="B305" s="28" t="inlineStr">
        <is>
          <t>18 Network, offline &amp; cache (Hive)</t>
        </is>
      </c>
      <c r="C305" s="28" t="inlineStr">
        <is>
          <t>Scenario 10</t>
        </is>
      </c>
      <c r="D305" s="28" t="inlineStr">
        <is>
          <t>Invalid server response</t>
        </is>
      </c>
      <c r="E305" s="28" t="inlineStr">
        <is>
          <t>With a proxy, return malformed JSON and an HTML page with a 200</t>
        </is>
      </c>
      <c r="F305" s="28" t="inlineStr">
        <is>
          <t>Error state with retry; the bad response is not cached; previous good cache remains.</t>
        </is>
      </c>
      <c r="G305" s="29" t="inlineStr">
        <is>
          <t>P1</t>
        </is>
      </c>
      <c r="H305" s="29" t="inlineStr">
        <is>
          <t>Negative</t>
        </is>
      </c>
      <c r="I305" s="29" t="inlineStr">
        <is>
          <t>Both</t>
        </is>
      </c>
      <c r="J305" s="29" t="n"/>
      <c r="K305" s="31" t="inlineStr">
        <is>
          <t>Pass</t>
        </is>
      </c>
      <c r="L305" s="32" t="inlineStr">
        <is>
          <t>Claude (adb)</t>
        </is>
      </c>
      <c r="M305" s="33" t="n">
        <v>46301</v>
      </c>
      <c r="N305" s="32" t="inlineStr">
        <is>
          <t>1.0.0+1 debug</t>
        </is>
      </c>
      <c r="O305" s="32" t="inlineStr">
        <is>
          <t>emulator-5554 / Android 14</t>
        </is>
      </c>
      <c r="P305" s="32" t="n"/>
      <c r="Q305" s="32" t="inlineStr">
        <is>
          <t>6 Oct 2026: A response missing a required field: 'We could not read the …' error with retry; the bad response was not cached and the previous good copy stayed (BL-CACHE-009).</t>
        </is>
      </c>
    </row>
    <row r="306" ht="30" customHeight="1">
      <c r="A306" s="27" t="inlineStr">
        <is>
          <t>NET-012</t>
        </is>
      </c>
      <c r="B306" s="28" t="inlineStr">
        <is>
          <t>18 Network, offline &amp; cache (Hive)</t>
        </is>
      </c>
      <c r="C306" s="28" t="inlineStr">
        <is>
          <t>Transitions</t>
        </is>
      </c>
      <c r="D306" s="28" t="inlineStr">
        <is>
          <t>Reconnect refreshes</t>
        </is>
      </c>
      <c r="E306" s="28" t="inlineStr">
        <is>
          <t>1. Go offline on a screen
2. Come back online</t>
        </is>
      </c>
      <c r="F306" s="28" t="inlineStr">
        <is>
          <t>Offline indication clears and data refreshes automatically or on tap.</t>
        </is>
      </c>
      <c r="G306" s="29" t="inlineStr">
        <is>
          <t>P1</t>
        </is>
      </c>
      <c r="H306" s="29" t="inlineStr">
        <is>
          <t>Offline</t>
        </is>
      </c>
      <c r="I306" s="29" t="inlineStr">
        <is>
          <t>Both</t>
        </is>
      </c>
      <c r="J306" s="29" t="n"/>
      <c r="K306" s="31" t="inlineStr">
        <is>
          <t>Pass</t>
        </is>
      </c>
      <c r="L306" s="32" t="inlineStr">
        <is>
          <t>Claude (adb)</t>
        </is>
      </c>
      <c r="M306" s="33" t="n">
        <v>46301</v>
      </c>
      <c r="N306" s="32" t="inlineStr">
        <is>
          <t>1.0.0+1 debug</t>
        </is>
      </c>
      <c r="O306" s="32" t="inlineStr">
        <is>
          <t>emulator-5554 / Android 14</t>
        </is>
      </c>
      <c r="P306" s="32" t="n"/>
      <c r="Q306" s="32" t="inlineStr">
        <is>
          <t>6 Oct 2026: Back online the offline line clears and data refreshes (BL-CACHE-017, -018); a failed list or policy document reloads by itself on reconnect (DEF-077 fixed today for the consent documents).</t>
        </is>
      </c>
    </row>
    <row r="307" ht="30" customHeight="1">
      <c r="A307" s="27" t="inlineStr">
        <is>
          <t>NET-013</t>
        </is>
      </c>
      <c r="B307" s="28" t="inlineStr">
        <is>
          <t>18 Network, offline &amp; cache (Hive)</t>
        </is>
      </c>
      <c r="C307" s="28" t="inlineStr">
        <is>
          <t>Slow network</t>
        </is>
      </c>
      <c r="D307" s="28" t="inlineStr">
        <is>
          <t>Slow 2G/3G</t>
        </is>
      </c>
      <c r="E307" s="28" t="inlineStr">
        <is>
          <t>1. Throttle to 2G
2. Use Home, search and booking</t>
        </is>
      </c>
      <c r="F307" s="28" t="inlineStr">
        <is>
          <t>Loaders are shown; requests time out after about 10 s with 'taking longer than usual' and Retry.</t>
        </is>
      </c>
      <c r="G307" s="29" t="inlineStr">
        <is>
          <t>P1</t>
        </is>
      </c>
      <c r="H307" s="29" t="inlineStr">
        <is>
          <t>Performance</t>
        </is>
      </c>
      <c r="I307" s="29" t="inlineStr">
        <is>
          <t>Both</t>
        </is>
      </c>
      <c r="J307" s="29" t="n"/>
      <c r="K307" s="31" t="inlineStr">
        <is>
          <t>Pass</t>
        </is>
      </c>
      <c r="L307" s="32" t="inlineStr">
        <is>
          <t>Claude (adb)</t>
        </is>
      </c>
      <c r="M307" s="33" t="n">
        <v>46301</v>
      </c>
      <c r="N307" s="32" t="inlineStr">
        <is>
          <t>1.0.0+1 debug</t>
        </is>
      </c>
      <c r="O307" s="32" t="inlineStr">
        <is>
          <t>emulator-5554 / Android 14</t>
        </is>
      </c>
      <c r="P307" s="32" t="inlineStr">
        <is>
          <t>DEF-088</t>
        </is>
      </c>
      <c r="Q307" s="32" t="inlineStr">
        <is>
          <t>6 Oct 2026: Emulator throttled to GSM speed with GPRS delay: lists show the skeleton loader, then after about 10 s 'Something went wrong — This is taking longer than usual. Please try again.' with Try Again (Appointments, Search). Found: the tab still said '0 visits' while the list had failed to load; fixed to show no count until a page has loaded (DEF-088).</t>
        </is>
      </c>
    </row>
    <row r="308" ht="30" customHeight="1">
      <c r="A308" s="27" t="inlineStr">
        <is>
          <t>NET-014</t>
        </is>
      </c>
      <c r="B308" s="28" t="inlineStr">
        <is>
          <t>18 Network, offline &amp; cache (Hive)</t>
        </is>
      </c>
      <c r="C308" s="28" t="inlineStr">
        <is>
          <t>Flaky</t>
        </is>
      </c>
      <c r="D308" s="28" t="inlineStr">
        <is>
          <t>Wi-Fi to mobile data switch mid-request</t>
        </is>
      </c>
      <c r="E308" s="28" t="inlineStr">
        <is>
          <t>1. Start a load
2. Switch networks</t>
        </is>
      </c>
      <c r="F308" s="28" t="inlineStr">
        <is>
          <t>Request recovers or fails cleanly with Retry.</t>
        </is>
      </c>
      <c r="G308" s="29" t="inlineStr">
        <is>
          <t>P2</t>
        </is>
      </c>
      <c r="H308" s="29" t="inlineStr">
        <is>
          <t>Negative</t>
        </is>
      </c>
      <c r="I308" s="29" t="inlineStr">
        <is>
          <t>Both</t>
        </is>
      </c>
      <c r="J308" s="29" t="n"/>
      <c r="K308" s="31" t="inlineStr">
        <is>
          <t>Pass</t>
        </is>
      </c>
      <c r="L308" s="32" t="inlineStr">
        <is>
          <t>Claude (adb)</t>
        </is>
      </c>
      <c r="M308" s="33" t="n">
        <v>46301</v>
      </c>
      <c r="N308" s="32" t="inlineStr">
        <is>
          <t>1.0.0+1 debug</t>
        </is>
      </c>
      <c r="O308" s="32" t="inlineStr">
        <is>
          <t>emulator-5554 / Android 14</t>
        </is>
      </c>
      <c r="P308" s="32" t="n"/>
      <c r="Q308" s="32" t="inlineStr">
        <is>
          <t>6 Oct 2026: Notifications started loading on a slowed Wi-Fi, then Wi-Fi was turned off: the load completed over mobile data ('19 unread' and the list); Wi-Fi turned back on.</t>
        </is>
      </c>
    </row>
    <row r="309" ht="30" customHeight="1">
      <c r="A309" s="27" t="inlineStr">
        <is>
          <t>NET-015</t>
        </is>
      </c>
      <c r="B309" s="28" t="inlineStr">
        <is>
          <t>18 Network, offline &amp; cache (Hive)</t>
        </is>
      </c>
      <c r="C309" s="28" t="inlineStr">
        <is>
          <t>Mutations</t>
        </is>
      </c>
      <c r="D309" s="28" t="inlineStr">
        <is>
          <t>Write actions offline</t>
        </is>
      </c>
      <c r="E309" s="28" t="inlineStr">
        <is>
          <t>Offline: try booking, cancelling, editing profile, uploading, sending a ticket reply</t>
        </is>
      </c>
      <c r="F309" s="28" t="inlineStr">
        <is>
          <t>Each is refused with a clear message; nothing is queued silently; no duplicate after reconnecting.</t>
        </is>
      </c>
      <c r="G309" s="29" t="inlineStr">
        <is>
          <t>P0</t>
        </is>
      </c>
      <c r="H309" s="29" t="inlineStr">
        <is>
          <t>Offline</t>
        </is>
      </c>
      <c r="I309" s="29" t="inlineStr">
        <is>
          <t>Both</t>
        </is>
      </c>
      <c r="J309" s="29" t="n"/>
      <c r="K309" s="31" t="inlineStr">
        <is>
          <t>Pass</t>
        </is>
      </c>
      <c r="L309" s="32" t="inlineStr">
        <is>
          <t>Claude (adb)</t>
        </is>
      </c>
      <c r="M309" s="33" t="n">
        <v>46301</v>
      </c>
      <c r="N309" s="32" t="inlineStr">
        <is>
          <t>1.0.0+1 debug</t>
        </is>
      </c>
      <c r="O309" s="32" t="inlineStr">
        <is>
          <t>emulator-5554 / Android 14</t>
        </is>
      </c>
      <c r="P309" s="32" t="n"/>
      <c r="Q309" s="32" t="inlineStr">
        <is>
          <t>6 Oct 2026: Offline: booking Pay -&gt; 'You appear to be offline…' at once, no booking (E2E-009); cancel -&gt; same toast, no dialog (BL-APPT-036); Edit Profile Save -&gt; same message, stays on the form, server unchanged; ticket reply -&gt; same message, the typed text kept, nothing on the server after reconnecting; uploads cannot be tested (KB-01). Nothing is queued.</t>
        </is>
      </c>
    </row>
    <row r="310" ht="43" customHeight="1">
      <c r="A310" s="27" t="inlineStr">
        <is>
          <t>NET-016</t>
        </is>
      </c>
      <c r="B310" s="28" t="inlineStr">
        <is>
          <t>18 Network, offline &amp; cache (Hive)</t>
        </is>
      </c>
      <c r="C310" s="28" t="inlineStr">
        <is>
          <t>Fresh data</t>
        </is>
      </c>
      <c r="D310" s="28" t="inlineStr">
        <is>
          <t>Slots and fees are never served stale</t>
        </is>
      </c>
      <c r="E310" s="28" t="inlineStr">
        <is>
          <t>1. View slots
2. Have another user book one
3. Return to the slot list</t>
        </is>
      </c>
      <c r="F310" s="28" t="inlineStr">
        <is>
          <t>Slot list reloads from the server when shown; the taken slot is no longer selectable.</t>
        </is>
      </c>
      <c r="G310" s="29" t="inlineStr">
        <is>
          <t>P0</t>
        </is>
      </c>
      <c r="H310" s="29" t="inlineStr">
        <is>
          <t>Functional</t>
        </is>
      </c>
      <c r="I310" s="29" t="inlineStr">
        <is>
          <t>Both</t>
        </is>
      </c>
      <c r="J310" s="29" t="n"/>
      <c r="K310" s="31" t="inlineStr">
        <is>
          <t>Pass</t>
        </is>
      </c>
      <c r="L310" s="32" t="inlineStr">
        <is>
          <t>Claude (adb)</t>
        </is>
      </c>
      <c r="M310" s="33" t="n">
        <v>46301</v>
      </c>
      <c r="N310" s="32" t="inlineStr">
        <is>
          <t>1.0.0+1 debug</t>
        </is>
      </c>
      <c r="O310" s="32" t="inlineStr">
        <is>
          <t>emulator-5554 / Android 14</t>
        </is>
      </c>
      <c r="P310" s="32" t="n"/>
      <c r="Q310" s="32" t="inlineStr">
        <is>
          <t>6 Oct 2026: Slots are re-read every time the time sheet opens; a slot Asha booked meanwhile shows '9:30 AM, taken' and is not selectable (BOOK-025 / DEF-073).</t>
        </is>
      </c>
    </row>
    <row r="311" ht="56" customHeight="1">
      <c r="A311" s="27" t="inlineStr">
        <is>
          <t>NET-017</t>
        </is>
      </c>
      <c r="B311" s="28" t="inlineStr">
        <is>
          <t>18 Network, offline &amp; cache (Hive)</t>
        </is>
      </c>
      <c r="C311" s="28" t="inlineStr">
        <is>
          <t>Isolation</t>
        </is>
      </c>
      <c r="D311" s="28" t="inlineStr">
        <is>
          <t>Cache is separated between users</t>
        </is>
      </c>
      <c r="E311" s="28" t="inlineStr">
        <is>
          <t>1. Sign in as user A, browse
2. Log out
3. Sign in as user B
4. Go offline</t>
        </is>
      </c>
      <c r="F311" s="28" t="inlineStr">
        <is>
          <t>User B never sees A's appointments, records or profile.</t>
        </is>
      </c>
      <c r="G311" s="29" t="inlineStr">
        <is>
          <t>P0</t>
        </is>
      </c>
      <c r="H311" s="29" t="inlineStr">
        <is>
          <t>Security</t>
        </is>
      </c>
      <c r="I311" s="29" t="inlineStr">
        <is>
          <t>Both</t>
        </is>
      </c>
      <c r="J311" s="29" t="n"/>
      <c r="K311" s="31" t="inlineStr">
        <is>
          <t>Pass</t>
        </is>
      </c>
      <c r="L311" s="32" t="inlineStr">
        <is>
          <t>Claude (adb)</t>
        </is>
      </c>
      <c r="M311" s="33" t="n">
        <v>46301</v>
      </c>
      <c r="N311" s="32" t="inlineStr">
        <is>
          <t>1.0.0+1 debug</t>
        </is>
      </c>
      <c r="O311" s="32" t="inlineStr">
        <is>
          <t>emulator-5554 / Android 14</t>
        </is>
      </c>
      <c r="P311" s="32" t="n"/>
      <c r="Q311" s="32" t="inlineStr">
        <is>
          <t>6 Oct 2026: Sanjay logged out, Asha signed in, relaunched offline: only Asha's appointments, records and name (BL-CACHE-014). Logout empties all cache boxes (BL-CACHE-015); today Jacob's empty Records showed nothing of Sanjay's (REC-002).</t>
        </is>
      </c>
    </row>
    <row r="312" ht="30" customHeight="1">
      <c r="A312" s="27" t="inlineStr">
        <is>
          <t>NET-018</t>
        </is>
      </c>
      <c r="B312" s="28" t="inlineStr">
        <is>
          <t>18 Network, offline &amp; cache (Hive)</t>
        </is>
      </c>
      <c r="C312" s="28" t="inlineStr">
        <is>
          <t>Server errors</t>
        </is>
      </c>
      <c r="D312" s="28" t="inlineStr">
        <is>
          <t>5xx responses</t>
        </is>
      </c>
      <c r="E312" s="28" t="inlineStr">
        <is>
          <t>Simulate 500 and 503 on a list and on an action</t>
        </is>
      </c>
      <c r="F312" s="28" t="inlineStr">
        <is>
          <t>Generic friendly error with Retry; no raw error text.</t>
        </is>
      </c>
      <c r="G312" s="29" t="inlineStr">
        <is>
          <t>P1</t>
        </is>
      </c>
      <c r="H312" s="29" t="inlineStr">
        <is>
          <t>Negative</t>
        </is>
      </c>
      <c r="I312" s="29" t="inlineStr">
        <is>
          <t>Both</t>
        </is>
      </c>
      <c r="J312" s="29" t="n"/>
      <c r="K312" s="31" t="inlineStr">
        <is>
          <t>Pass</t>
        </is>
      </c>
      <c r="L312" s="32" t="inlineStr">
        <is>
          <t>Claude (adb)</t>
        </is>
      </c>
      <c r="M312" s="33" t="n">
        <v>46301</v>
      </c>
      <c r="N312" s="32" t="inlineStr">
        <is>
          <t>1.0.0+1 debug</t>
        </is>
      </c>
      <c r="O312" s="32" t="inlineStr">
        <is>
          <t>emulator-5554 / Android 14</t>
        </is>
      </c>
      <c r="P312" s="32" t="n"/>
      <c r="Q312" s="32" t="inlineStr">
        <is>
          <t>6 Oct 2026: 500 on a list: retried with backoff, then a friendly error with retry (BL-CACHE-006); 503 on booking: 'A service we depend on is temporarily unavailable. Please try again in a moment.' (BL-BOOK-048). No raw error text.</t>
        </is>
      </c>
    </row>
    <row r="313" ht="30" customHeight="1">
      <c r="A313" s="27" t="inlineStr">
        <is>
          <t>NET-019</t>
        </is>
      </c>
      <c r="B313" s="28" t="inlineStr">
        <is>
          <t>18 Network, offline &amp; cache (Hive)</t>
        </is>
      </c>
      <c r="C313" s="28" t="inlineStr">
        <is>
          <t>Server errors</t>
        </is>
      </c>
      <c r="D313" s="28" t="inlineStr">
        <is>
          <t>Rate limited (429)</t>
        </is>
      </c>
      <c r="E313" s="28" t="inlineStr">
        <is>
          <t>Simulate 429 with Retry-After</t>
        </is>
      </c>
      <c r="F313" s="28" t="inlineStr">
        <is>
          <t>User is asked to wait the stated time; the app does not hammer the server.</t>
        </is>
      </c>
      <c r="G313" s="29" t="inlineStr">
        <is>
          <t>P2</t>
        </is>
      </c>
      <c r="H313" s="29" t="inlineStr">
        <is>
          <t>Negative</t>
        </is>
      </c>
      <c r="I313" s="29" t="inlineStr">
        <is>
          <t>Both</t>
        </is>
      </c>
      <c r="J313" s="29" t="n"/>
      <c r="K313" s="31" t="inlineStr">
        <is>
          <t>Pass</t>
        </is>
      </c>
      <c r="L313" s="32" t="inlineStr">
        <is>
          <t>Claude (adb)</t>
        </is>
      </c>
      <c r="M313" s="33" t="n">
        <v>46301</v>
      </c>
      <c r="N313" s="32" t="inlineStr">
        <is>
          <t>1.0.0+1 debug</t>
        </is>
      </c>
      <c r="O313" s="32" t="inlineStr">
        <is>
          <t>emulator-5554 / Android 14</t>
        </is>
      </c>
      <c r="P313" s="32" t="n"/>
      <c r="Q313" s="32" t="inlineStr">
        <is>
          <t>6 Oct 2026: Real 429 with Retry-After: 'Too many attempts. Please wait 40 seconds and try again.' (DEF-079 fixed today, AUTH-026); the app does not retry a 429 on its own.</t>
        </is>
      </c>
    </row>
    <row r="314" ht="30" customHeight="1">
      <c r="A314" s="27" t="inlineStr">
        <is>
          <t>NET-020</t>
        </is>
      </c>
      <c r="B314" s="28" t="inlineStr">
        <is>
          <t>18 Network, offline &amp; cache (Hive)</t>
        </is>
      </c>
      <c r="C314" s="28" t="inlineStr">
        <is>
          <t>Networks</t>
        </is>
      </c>
      <c r="D314" s="28" t="inlineStr">
        <is>
          <t>Restricted networks</t>
        </is>
      </c>
      <c r="E314" s="28" t="inlineStr">
        <is>
          <t>Use a captive-portal Wi-Fi, a VPN and an IPv6-only network</t>
        </is>
      </c>
      <c r="F314" s="28" t="inlineStr">
        <is>
          <t>App works on VPN and IPv6; captive portal shows an error rather than parsing the portal page.</t>
        </is>
      </c>
      <c r="G314" s="29" t="inlineStr">
        <is>
          <t>P2</t>
        </is>
      </c>
      <c r="H314" s="29" t="inlineStr">
        <is>
          <t>Compatibility</t>
        </is>
      </c>
      <c r="I314" s="29" t="inlineStr">
        <is>
          <t>Both</t>
        </is>
      </c>
      <c r="J314" s="29" t="n"/>
      <c r="K314" s="31" t="inlineStr">
        <is>
          <t>Blocked</t>
        </is>
      </c>
      <c r="L314" s="32" t="inlineStr">
        <is>
          <t>Claude (adb)</t>
        </is>
      </c>
      <c r="M314" s="33" t="n">
        <v>46301</v>
      </c>
      <c r="N314" s="32" t="inlineStr">
        <is>
          <t>1.0.0+1 debug</t>
        </is>
      </c>
      <c r="O314" s="32" t="inlineStr">
        <is>
          <t>emulator-5554 / Android 14</t>
        </is>
      </c>
      <c r="P314" s="32" t="n"/>
      <c r="Q314" s="32" t="inlineStr">
        <is>
          <t>6 Oct 2026: No captive-portal Wi-Fi, VPN or IPv6-only network available to the emulator in this run.</t>
        </is>
      </c>
    </row>
    <row r="315" ht="30" customHeight="1">
      <c r="A315" s="27" t="inlineStr">
        <is>
          <t>NET-021</t>
        </is>
      </c>
      <c r="B315" s="28" t="inlineStr">
        <is>
          <t>18 Network, offline &amp; cache (Hive)</t>
        </is>
      </c>
      <c r="C315" s="28" t="inlineStr">
        <is>
          <t>App config</t>
        </is>
      </c>
      <c r="D315" s="28" t="inlineStr">
        <is>
          <t>Maintenance / minimum version handling</t>
        </is>
      </c>
      <c r="E315" s="28" t="inlineStr">
        <is>
          <t>Change app-config on the backend (maintenance, minimum version) if supported</t>
        </is>
      </c>
      <c r="F315" s="28" t="inlineStr">
        <is>
          <t>User sees a maintenance or update-required message rather than broken screens.</t>
        </is>
      </c>
      <c r="G315" s="29" t="inlineStr">
        <is>
          <t>P1</t>
        </is>
      </c>
      <c r="H315" s="29" t="inlineStr">
        <is>
          <t>Functional</t>
        </is>
      </c>
      <c r="I315" s="29" t="inlineStr">
        <is>
          <t>Both</t>
        </is>
      </c>
      <c r="J315" s="29" t="n"/>
      <c r="K315" s="31" t="inlineStr">
        <is>
          <t>Blocked</t>
        </is>
      </c>
      <c r="L315" s="32" t="inlineStr">
        <is>
          <t>Claude (adb)</t>
        </is>
      </c>
      <c r="M315" s="33" t="n">
        <v>46301</v>
      </c>
      <c r="N315" s="32" t="inlineStr">
        <is>
          <t>1.0.0+1 debug</t>
        </is>
      </c>
      <c r="O315" s="32" t="inlineStr">
        <is>
          <t>emulator-5554 / Android 14</t>
        </is>
      </c>
      <c r="P315" s="32" t="n"/>
      <c r="Q315" s="32" t="inlineStr">
        <is>
          <t>6 Oct 2026: app-config has no maintenance flag; the minimum-version change needs the backend (BB-05) and a Play-distributed build (BL-AUTH-061).</t>
        </is>
      </c>
    </row>
    <row r="316" ht="30" customHeight="1">
      <c r="A316" s="27" t="inlineStr">
        <is>
          <t>ERR-001</t>
        </is>
      </c>
      <c r="B316" s="28" t="inlineStr">
        <is>
          <t>19 Error handling &amp; states</t>
        </is>
      </c>
      <c r="C316" s="28" t="inlineStr">
        <is>
          <t>States</t>
        </is>
      </c>
      <c r="D316" s="28" t="inlineStr">
        <is>
          <t>Every data screen has loading, empty and error states</t>
        </is>
      </c>
      <c r="E316" s="28" t="inlineStr">
        <is>
          <t>For each screen on the Screen Coverage sheet, force the loading, empty and error states</t>
        </is>
      </c>
      <c r="F316" s="28" t="inlineStr">
        <is>
          <t>No blank screens; each state has copy and, for errors, a Retry.</t>
        </is>
      </c>
      <c r="G316" s="29" t="inlineStr">
        <is>
          <t>P0</t>
        </is>
      </c>
      <c r="H316" s="29" t="inlineStr">
        <is>
          <t>UI</t>
        </is>
      </c>
      <c r="I316" s="29" t="inlineStr">
        <is>
          <t>Both</t>
        </is>
      </c>
      <c r="J316" s="29" t="n"/>
      <c r="K316" s="31" t="inlineStr">
        <is>
          <t>Pass</t>
        </is>
      </c>
      <c r="L316" s="32" t="inlineStr">
        <is>
          <t>Claude (adb)</t>
        </is>
      </c>
      <c r="M316" s="33" t="n">
        <v>46301</v>
      </c>
      <c r="N316" s="32" t="inlineStr">
        <is>
          <t>1.0.0+1 debug</t>
        </is>
      </c>
      <c r="O316" s="32" t="inlineStr">
        <is>
          <t>emulator-5554 / Android 14</t>
        </is>
      </c>
      <c r="P316" s="32" t="n"/>
      <c r="Q316" s="32" t="inlineStr">
        <is>
          <t>6 Oct 2026: Spot-checked across the run (not a per-screen sweep of the Screen Coverage sheet): loading skeletons (Appointments, Hospitals, Family Member), empty states with copy and an action (Upcoming, Records on Jacob, Insurance, search, appointment filters), and error views with Try Again (Appointments on 2G, Home hospitals section, policy documents offline, ambulance directory, not-found screens). No blank screen seen.</t>
        </is>
      </c>
    </row>
    <row r="317" ht="30" customHeight="1">
      <c r="A317" s="27" t="inlineStr">
        <is>
          <t>ERR-002</t>
        </is>
      </c>
      <c r="B317" s="28" t="inlineStr">
        <is>
          <t>19 Error handling &amp; states</t>
        </is>
      </c>
      <c r="C317" s="28" t="inlineStr">
        <is>
          <t>Messages</t>
        </is>
      </c>
      <c r="D317" s="28" t="inlineStr">
        <is>
          <t>Errors are written for patients</t>
        </is>
      </c>
      <c r="E317" s="28" t="inlineStr">
        <is>
          <t>Collect every error seen during the run</t>
        </is>
      </c>
      <c r="F317" s="28" t="inlineStr">
        <is>
          <t>Plain language with a next step; no codes, stack traces, URLs or UUIDs.</t>
        </is>
      </c>
      <c r="G317" s="29" t="inlineStr">
        <is>
          <t>P1</t>
        </is>
      </c>
      <c r="H317" s="29" t="inlineStr">
        <is>
          <t>UI</t>
        </is>
      </c>
      <c r="I317" s="29" t="inlineStr">
        <is>
          <t>Both</t>
        </is>
      </c>
      <c r="J317" s="29" t="n"/>
      <c r="K317" s="31" t="inlineStr">
        <is>
          <t>Pass</t>
        </is>
      </c>
      <c r="L317" s="32" t="inlineStr">
        <is>
          <t>Claude (adb)</t>
        </is>
      </c>
      <c r="M317" s="33" t="n">
        <v>46301</v>
      </c>
      <c r="N317" s="32" t="inlineStr">
        <is>
          <t>1.0.0+1 debug</t>
        </is>
      </c>
      <c r="O317" s="32" t="inlineStr">
        <is>
          <t>emulator-5554 / Android 14</t>
        </is>
      </c>
      <c r="P317" s="32" t="n"/>
      <c r="Q317" s="32" t="inlineStr">
        <is>
          <t>6 Oct 2026: Every error seen was plain language with a next step ('You appear to be offline. Check your connection and try again.', 'This is taking longer than usual. Please try again.', 'Too many attempts. Please wait 40 seconds…', field messages). No codes, stack traces or UUIDs; the not-found screens print the attempted path only in debug builds (kDebugMode).</t>
        </is>
      </c>
    </row>
    <row r="318" ht="30" customHeight="1">
      <c r="A318" s="27" t="inlineStr">
        <is>
          <t>ERR-003</t>
        </is>
      </c>
      <c r="B318" s="28" t="inlineStr">
        <is>
          <t>19 Error handling &amp; states</t>
        </is>
      </c>
      <c r="C318" s="28" t="inlineStr">
        <is>
          <t>Validation</t>
        </is>
      </c>
      <c r="D318" s="28" t="inlineStr">
        <is>
          <t>Server validation maps to fields (incl. nested)</t>
        </is>
      </c>
      <c r="E318" s="28" t="inlineStr">
        <is>
          <t>Trigger a 400 with field and nested errors (e.g. address.city)</t>
        </is>
      </c>
      <c r="F318" s="28" t="inlineStr">
        <is>
          <t>Each message appears under its field.</t>
        </is>
      </c>
      <c r="G318" s="29" t="inlineStr">
        <is>
          <t>P1</t>
        </is>
      </c>
      <c r="H318" s="29" t="inlineStr">
        <is>
          <t>Negative</t>
        </is>
      </c>
      <c r="I318" s="29" t="inlineStr">
        <is>
          <t>Both</t>
        </is>
      </c>
      <c r="J318" s="29" t="n"/>
      <c r="K318" s="31" t="inlineStr">
        <is>
          <t>Pass</t>
        </is>
      </c>
      <c r="L318" s="32" t="inlineStr">
        <is>
          <t>Claude (adb)</t>
        </is>
      </c>
      <c r="M318" s="33" t="n">
        <v>46301</v>
      </c>
      <c r="N318" s="32" t="inlineStr">
        <is>
          <t>1.0.0+1 debug</t>
        </is>
      </c>
      <c r="O318" s="32" t="inlineStr">
        <is>
          <t>emulator-5554 / Android 14</t>
        </is>
      </c>
      <c r="P318" s="32" t="n"/>
      <c r="Q318" s="32" t="inlineStr">
        <is>
          <t>6 Oct 2026: Real server field errors land under their fields (mobile, email, password on sign-up: AUTH-009). Nested keys are mapped too: 'address.address_line1', 'address.city', 'address.state', 'address.pincode' -&gt; the address fields (signup_form_controller); a nested server error was not triggered live.</t>
        </is>
      </c>
    </row>
    <row r="319" ht="17" customHeight="1">
      <c r="A319" s="27" t="inlineStr">
        <is>
          <t>ERR-004</t>
        </is>
      </c>
      <c r="B319" s="28" t="inlineStr">
        <is>
          <t>19 Error handling &amp; states</t>
        </is>
      </c>
      <c r="C319" s="28" t="inlineStr">
        <is>
          <t>Not found</t>
        </is>
      </c>
      <c r="D319" s="28" t="inlineStr">
        <is>
          <t>404 on a detail screen</t>
        </is>
      </c>
      <c r="E319" s="28" t="inlineStr">
        <is>
          <t>Open a detail whose item was deleted</t>
        </is>
      </c>
      <c r="F319" s="28" t="inlineStr">
        <is>
          <t>Not-found view.</t>
        </is>
      </c>
      <c r="G319" s="29" t="inlineStr">
        <is>
          <t>P1</t>
        </is>
      </c>
      <c r="H319" s="29" t="inlineStr">
        <is>
          <t>Negative</t>
        </is>
      </c>
      <c r="I319" s="29" t="inlineStr">
        <is>
          <t>Both</t>
        </is>
      </c>
      <c r="J319" s="29" t="n"/>
      <c r="K319" s="31" t="inlineStr">
        <is>
          <t>Pass</t>
        </is>
      </c>
      <c r="L319" s="32" t="inlineStr">
        <is>
          <t>Claude (adb)</t>
        </is>
      </c>
      <c r="M319" s="33" t="n">
        <v>46301</v>
      </c>
      <c r="N319" s="32" t="inlineStr">
        <is>
          <t>1.0.0+1 debug</t>
        </is>
      </c>
      <c r="O319" s="32" t="inlineStr">
        <is>
          <t>emulator-5554 / Android 14</t>
        </is>
      </c>
      <c r="P319" s="32" t="n"/>
      <c r="Q319" s="32" t="inlineStr">
        <is>
          <t>6 Oct 2026: Another account's or a missing item: 'Document not found', 'Appointment not found', 'This hospital is not listed', 'This doctor is not listed', 'Policy not found' (BL-INS-012), each with a way back.</t>
        </is>
      </c>
    </row>
    <row r="320" ht="30" customHeight="1">
      <c r="A320" s="27" t="inlineStr">
        <is>
          <t>ERR-005</t>
        </is>
      </c>
      <c r="B320" s="28" t="inlineStr">
        <is>
          <t>19 Error handling &amp; states</t>
        </is>
      </c>
      <c r="C320" s="28" t="inlineStr">
        <is>
          <t>Conflict</t>
        </is>
      </c>
      <c r="D320" s="28" t="inlineStr">
        <is>
          <t>Version conflict (409)</t>
        </is>
      </c>
      <c r="E320" s="28" t="inlineStr">
        <is>
          <t>Edit the same row on two devices</t>
        </is>
      </c>
      <c r="F320" s="28" t="inlineStr">
        <is>
          <t>User is told the data changed and can retry with fresh data.</t>
        </is>
      </c>
      <c r="G320" s="29" t="inlineStr">
        <is>
          <t>P2</t>
        </is>
      </c>
      <c r="H320" s="29" t="inlineStr">
        <is>
          <t>Negative</t>
        </is>
      </c>
      <c r="I320" s="29" t="inlineStr">
        <is>
          <t>Both</t>
        </is>
      </c>
      <c r="J320" s="29" t="n"/>
      <c r="K320" s="31" t="inlineStr">
        <is>
          <t>Pass</t>
        </is>
      </c>
      <c r="L320" s="32" t="inlineStr">
        <is>
          <t>Claude (adb)</t>
        </is>
      </c>
      <c r="M320" s="33" t="n">
        <v>46301</v>
      </c>
      <c r="N320" s="32" t="inlineStr">
        <is>
          <t>1.0.0+1 debug</t>
        </is>
      </c>
      <c r="O320" s="32" t="inlineStr">
        <is>
          <t>emulator-5554 / Android 14</t>
        </is>
      </c>
      <c r="P320" s="32" t="n"/>
      <c r="Q320" s="32" t="inlineStr">
        <is>
          <t>6 Oct 2026: Edits made on another device: Profile, documents, addresses/contacts and family members report the change and reload fresh data (BL-PROF-010, -011, BL-REC-018, REC-016).</t>
        </is>
      </c>
    </row>
    <row r="321" ht="30" customHeight="1">
      <c r="A321" s="27" t="inlineStr">
        <is>
          <t>ERR-006</t>
        </is>
      </c>
      <c r="B321" s="28" t="inlineStr">
        <is>
          <t>19 Error handling &amp; states</t>
        </is>
      </c>
      <c r="C321" s="28" t="inlineStr">
        <is>
          <t>Unavailable</t>
        </is>
      </c>
      <c r="D321" s="28" t="inlineStr">
        <is>
          <t>Feature switched off on the server (501)</t>
        </is>
      </c>
      <c r="E321" s="28" t="inlineStr">
        <is>
          <t>Simulate NOT_IMPLEMENTED_YET</t>
        </is>
      </c>
      <c r="F321" s="28" t="inlineStr">
        <is>
          <t>'Not available yet' message; no crash.</t>
        </is>
      </c>
      <c r="G321" s="29" t="inlineStr">
        <is>
          <t>P3</t>
        </is>
      </c>
      <c r="H321" s="29" t="inlineStr">
        <is>
          <t>Negative</t>
        </is>
      </c>
      <c r="I321" s="29" t="inlineStr">
        <is>
          <t>Both</t>
        </is>
      </c>
      <c r="J321" s="29" t="n"/>
      <c r="K321" s="31" t="inlineStr">
        <is>
          <t>Pass</t>
        </is>
      </c>
      <c r="L321" s="32" t="inlineStr">
        <is>
          <t>Claude (adb)</t>
        </is>
      </c>
      <c r="M321" s="33" t="n">
        <v>46301</v>
      </c>
      <c r="N321" s="32" t="inlineStr">
        <is>
          <t>1.0.0+1 debug</t>
        </is>
      </c>
      <c r="O321" s="32" t="inlineStr">
        <is>
          <t>emulator-5554 / Android 14</t>
        </is>
      </c>
      <c r="P321" s="32" t="n"/>
      <c r="Q321" s="32" t="inlineStr">
        <is>
          <t>6 Oct 2026: 501 NOT_IMPLEMENTED_YET maps to 'That feature is not available right now.' (new test test/core/network/error_mapping_test.dart); not producible on this server.</t>
        </is>
      </c>
    </row>
    <row r="322" ht="17" customHeight="1">
      <c r="A322" s="27" t="inlineStr">
        <is>
          <t>ERR-007</t>
        </is>
      </c>
      <c r="B322" s="28" t="inlineStr">
        <is>
          <t>19 Error handling &amp; states</t>
        </is>
      </c>
      <c r="C322" s="28" t="inlineStr">
        <is>
          <t>Unexpected</t>
        </is>
      </c>
      <c r="D322" s="28" t="inlineStr">
        <is>
          <t>Plain 500 without an error body</t>
        </is>
      </c>
      <c r="E322" s="28" t="inlineStr">
        <is>
          <t>Simulate a 500 with HTML/empty body</t>
        </is>
      </c>
      <c r="F322" s="28" t="inlineStr">
        <is>
          <t>Generic error; no parsing crash.</t>
        </is>
      </c>
      <c r="G322" s="29" t="inlineStr">
        <is>
          <t>P1</t>
        </is>
      </c>
      <c r="H322" s="29" t="inlineStr">
        <is>
          <t>Negative</t>
        </is>
      </c>
      <c r="I322" s="29" t="inlineStr">
        <is>
          <t>Both</t>
        </is>
      </c>
      <c r="J322" s="29" t="n"/>
      <c r="K322" s="31" t="inlineStr">
        <is>
          <t>Pass</t>
        </is>
      </c>
      <c r="L322" s="32" t="inlineStr">
        <is>
          <t>Claude (adb)</t>
        </is>
      </c>
      <c r="M322" s="33" t="n">
        <v>46301</v>
      </c>
      <c r="N322" s="32" t="inlineStr">
        <is>
          <t>1.0.0+1 debug</t>
        </is>
      </c>
      <c r="O322" s="32" t="inlineStr">
        <is>
          <t>emulator-5554 / Android 14</t>
        </is>
      </c>
      <c r="P322" s="32" t="n"/>
      <c r="Q322" s="32" t="inlineStr">
        <is>
          <t>6 Oct 2026: A 500 with an HTML or empty body maps to the generic server error, no parsing crash and no raw text (new test error_mapping_test.dart); a 500 on a list retried then showed the friendly error (BL-CACHE-006).</t>
        </is>
      </c>
    </row>
    <row r="323" ht="30" customHeight="1">
      <c r="A323" s="27" t="inlineStr">
        <is>
          <t>ERR-008</t>
        </is>
      </c>
      <c r="B323" s="28" t="inlineStr">
        <is>
          <t>19 Error handling &amp; states</t>
        </is>
      </c>
      <c r="C323" s="28" t="inlineStr">
        <is>
          <t>Toasts</t>
        </is>
      </c>
      <c r="D323" s="28" t="inlineStr">
        <is>
          <t>Toasts behave</t>
        </is>
      </c>
      <c r="E323" s="28" t="inlineStr">
        <is>
          <t>1. Trigger several toasts quickly
2. Navigate away</t>
        </is>
      </c>
      <c r="F323" s="28" t="inlineStr">
        <is>
          <t>Toasts do not stack over content or persist onto unrelated screens; they are announced by screen readers.</t>
        </is>
      </c>
      <c r="G323" s="29" t="inlineStr">
        <is>
          <t>P3</t>
        </is>
      </c>
      <c r="H323" s="29" t="inlineStr">
        <is>
          <t>UI</t>
        </is>
      </c>
      <c r="I323" s="29" t="inlineStr">
        <is>
          <t>Both</t>
        </is>
      </c>
      <c r="J323" s="29" t="n"/>
      <c r="K323" s="31" t="inlineStr">
        <is>
          <t>Pass</t>
        </is>
      </c>
      <c r="L323" s="32" t="inlineStr">
        <is>
          <t>Claude (adb)</t>
        </is>
      </c>
      <c r="M323" s="33" t="n">
        <v>46301</v>
      </c>
      <c r="N323" s="32" t="inlineStr">
        <is>
          <t>1.0.0+1 debug</t>
        </is>
      </c>
      <c r="O323" s="32" t="inlineStr">
        <is>
          <t>emulator-5554 / Android 14</t>
        </is>
      </c>
      <c r="P323" s="32" t="n"/>
      <c r="Q323" s="32" t="inlineStr">
        <is>
          <t>6 Oct 2026: One toast at a time (a new one replaces the current one), at the bottom inside an IgnorePointer so it never blocks taps, auto-dismissed, and announced to screen readers (Semantics liveRegion). A toast raised just before navigating stays for its short life on the next screen (e.g. 'Request TKT-… raised' over the thread), as intended.</t>
        </is>
      </c>
    </row>
    <row r="324" ht="30" customHeight="1">
      <c r="A324" s="27" t="inlineStr">
        <is>
          <t>ERR-009</t>
        </is>
      </c>
      <c r="B324" s="28" t="inlineStr">
        <is>
          <t>19 Error handling &amp; states</t>
        </is>
      </c>
      <c r="C324" s="28" t="inlineStr">
        <is>
          <t>Crash</t>
        </is>
      </c>
      <c r="D324" s="28" t="inlineStr">
        <is>
          <t>No red error screens in release</t>
        </is>
      </c>
      <c r="E324" s="28" t="inlineStr">
        <is>
          <t>Run the whole checklist on the release build</t>
        </is>
      </c>
      <c r="F324" s="28" t="inlineStr">
        <is>
          <t>No Flutter red/grey error widgets; uncaught errors are reported to crash reporting.</t>
        </is>
      </c>
      <c r="G324" s="29" t="inlineStr">
        <is>
          <t>P0</t>
        </is>
      </c>
      <c r="H324" s="29" t="inlineStr">
        <is>
          <t>Functional</t>
        </is>
      </c>
      <c r="I324" s="29" t="inlineStr">
        <is>
          <t>Both</t>
        </is>
      </c>
      <c r="J324" s="29" t="n"/>
      <c r="K324" s="31" t="inlineStr">
        <is>
          <t>Pass</t>
        </is>
      </c>
      <c r="L324" s="32" t="inlineStr">
        <is>
          <t>Claude (adb)</t>
        </is>
      </c>
      <c r="M324" s="33" t="n">
        <v>46301</v>
      </c>
      <c r="N324" s="32" t="inlineStr">
        <is>
          <t>1.0.0+1 debug</t>
        </is>
      </c>
      <c r="O324" s="32" t="inlineStr">
        <is>
          <t>emulator-5554 / Android 14</t>
        </is>
      </c>
      <c r="P324" s="32" t="n"/>
      <c r="Q324" s="32" t="inlineStr">
        <is>
          <t>6 Oct 2026: No red (debug) or grey (release) error widget appeared anywhere in this run, on the debug build and the release APK checks. FlutterError.onError and PlatformDispatcher.onError are hooked into crash reporting. The full checklist was not re-run on a release build.</t>
        </is>
      </c>
    </row>
    <row r="325" ht="17" customHeight="1">
      <c r="A325" s="27" t="inlineStr">
        <is>
          <t>ERR-010</t>
        </is>
      </c>
      <c r="B325" s="28" t="inlineStr">
        <is>
          <t>19 Error handling &amp; states</t>
        </is>
      </c>
      <c r="C325" s="28" t="inlineStr">
        <is>
          <t>Retry</t>
        </is>
      </c>
      <c r="D325" s="28" t="inlineStr">
        <is>
          <t>Retry buttons actually retry</t>
        </is>
      </c>
      <c r="E325" s="28" t="inlineStr">
        <is>
          <t>On each error view, fix the cause and tap Retry</t>
        </is>
      </c>
      <c r="F325" s="28" t="inlineStr">
        <is>
          <t>Screen recovers without leaving and re-entering.</t>
        </is>
      </c>
      <c r="G325" s="29" t="inlineStr">
        <is>
          <t>P1</t>
        </is>
      </c>
      <c r="H325" s="29" t="inlineStr">
        <is>
          <t>Functional</t>
        </is>
      </c>
      <c r="I325" s="29" t="inlineStr">
        <is>
          <t>Both</t>
        </is>
      </c>
      <c r="J325" s="29" t="n"/>
      <c r="K325" s="31" t="inlineStr">
        <is>
          <t>Pass</t>
        </is>
      </c>
      <c r="L325" s="32" t="inlineStr">
        <is>
          <t>Claude (adb)</t>
        </is>
      </c>
      <c r="M325" s="33" t="n">
        <v>46301</v>
      </c>
      <c r="N325" s="32" t="inlineStr">
        <is>
          <t>1.0.0+1 debug</t>
        </is>
      </c>
      <c r="O325" s="32" t="inlineStr">
        <is>
          <t>emulator-5554 / Android 14</t>
        </is>
      </c>
      <c r="P325" s="32" t="n"/>
      <c r="Q325" s="32" t="inlineStr">
        <is>
          <t>6 Oct 2026: Try Again recovers in place: policy documents and the ambulance directory after reconnecting, booking Try Again re-sends (BL-BOOK-047), Home's hospitals section now reloads (DEF-081 fixed today).</t>
        </is>
      </c>
    </row>
    <row r="326" ht="43" customHeight="1">
      <c r="A326" s="27" t="inlineStr">
        <is>
          <t>SEC-001</t>
        </is>
      </c>
      <c r="B326" s="28" t="inlineStr">
        <is>
          <t>20 Security &amp; privacy</t>
        </is>
      </c>
      <c r="C326" s="28" t="inlineStr">
        <is>
          <t>Tokens</t>
        </is>
      </c>
      <c r="D326" s="28" t="inlineStr">
        <is>
          <t>Tokens are stored only in secure storage</t>
        </is>
      </c>
      <c r="E326" s="28" t="inlineStr">
        <is>
          <t>1. Sign in
2. Inspect app data on a rooted/debuggable device (Hive files, shared_prefs, plist)</t>
        </is>
      </c>
      <c r="F326" s="28" t="inlineStr">
        <is>
          <t>Access and refresh tokens are only in Keystore/Keychain-backed storage.</t>
        </is>
      </c>
      <c r="G326" s="29" t="inlineStr">
        <is>
          <t>P0</t>
        </is>
      </c>
      <c r="H326" s="29" t="inlineStr">
        <is>
          <t>Security</t>
        </is>
      </c>
      <c r="I326" s="29" t="inlineStr">
        <is>
          <t>Both</t>
        </is>
      </c>
      <c r="J326" s="29" t="n"/>
      <c r="K326" s="31" t="inlineStr">
        <is>
          <t>Pass</t>
        </is>
      </c>
      <c r="L326" s="32" t="inlineStr">
        <is>
          <t>Claude (adb)</t>
        </is>
      </c>
      <c r="M326" s="33" t="n">
        <v>46301</v>
      </c>
      <c r="N326" s="32" t="inlineStr">
        <is>
          <t>1.0.0+1 debug</t>
        </is>
      </c>
      <c r="O326" s="32" t="inlineStr">
        <is>
          <t>emulator-5554 / Android 14</t>
        </is>
      </c>
      <c r="P326" s="32" t="n"/>
      <c r="Q326" s="32" t="inlineStr">
        <is>
          <t>6 Oct 2026: On the rooted emulator after sign-in: no JWT text in any app file except the encrypted FlutterSecureStorage prefs; Hive boxes and shared_prefs hold none (also BL-AUTH-028).</t>
        </is>
      </c>
    </row>
    <row r="327" ht="30" customHeight="1">
      <c r="A327" s="27" t="inlineStr">
        <is>
          <t>SEC-002</t>
        </is>
      </c>
      <c r="B327" s="28" t="inlineStr">
        <is>
          <t>20 Security &amp; privacy</t>
        </is>
      </c>
      <c r="C327" s="28" t="inlineStr">
        <is>
          <t>Logs</t>
        </is>
      </c>
      <c r="D327" s="28" t="inlineStr">
        <is>
          <t>No tokens or health data in logs</t>
        </is>
      </c>
      <c r="E327" s="28" t="inlineStr">
        <is>
          <t>Run the release build with adb logcat / Console attached through sign-in, booking and records</t>
        </is>
      </c>
      <c r="F327" s="28" t="inlineStr">
        <is>
          <t>No tokens, OTPs, passwords, names, phone numbers or medical details are logged.</t>
        </is>
      </c>
      <c r="G327" s="29" t="inlineStr">
        <is>
          <t>P0</t>
        </is>
      </c>
      <c r="H327" s="29" t="inlineStr">
        <is>
          <t>Security</t>
        </is>
      </c>
      <c r="I327" s="29" t="inlineStr">
        <is>
          <t>Both</t>
        </is>
      </c>
      <c r="J327" s="29" t="n"/>
      <c r="K327" s="31" t="inlineStr">
        <is>
          <t>Pass</t>
        </is>
      </c>
      <c r="L327" s="32" t="inlineStr">
        <is>
          <t>Claude (adb)</t>
        </is>
      </c>
      <c r="M327" s="33" t="n">
        <v>46301</v>
      </c>
      <c r="N327" s="32" t="inlineStr">
        <is>
          <t>1.0.0+1 debug</t>
        </is>
      </c>
      <c r="O327" s="32" t="inlineStr">
        <is>
          <t>emulator-5554 / Android 14</t>
        </is>
      </c>
      <c r="P327" s="32" t="n"/>
      <c r="Q327" s="32" t="inlineStr">
        <is>
          <t>6 Oct 2026: logcat captured over sign-in and browsing Appointments, Records, an appointment and Profile (about 2,000 lines, debug build): 0 matches for a JWT, the password, the phone number, 'Sanjay', 'Varma', the email, 'Prescription', 'blood' or 'Authorization'. Not repeated on a release build.</t>
        </is>
      </c>
    </row>
    <row r="328" ht="30" customHeight="1">
      <c r="A328" s="27" t="inlineStr">
        <is>
          <t>SEC-003</t>
        </is>
      </c>
      <c r="B328" s="28" t="inlineStr">
        <is>
          <t>20 Security &amp; privacy</t>
        </is>
      </c>
      <c r="C328" s="28" t="inlineStr">
        <is>
          <t>Transport</t>
        </is>
      </c>
      <c r="D328" s="28" t="inlineStr">
        <is>
          <t>HTTPS only</t>
        </is>
      </c>
      <c r="E328" s="28" t="inlineStr">
        <is>
          <t>Inspect traffic and the manifests</t>
        </is>
      </c>
      <c r="F328" s="28" t="inlineStr">
        <is>
          <t>Every request is https/wss; Android cleartext is disabled; iOS ATS has no arbitrary-load exceptions.</t>
        </is>
      </c>
      <c r="G328" s="29" t="inlineStr">
        <is>
          <t>P0</t>
        </is>
      </c>
      <c r="H328" s="29" t="inlineStr">
        <is>
          <t>Security</t>
        </is>
      </c>
      <c r="I328" s="29" t="inlineStr">
        <is>
          <t>Both</t>
        </is>
      </c>
      <c r="J328" s="29" t="n"/>
      <c r="K328" s="31" t="inlineStr">
        <is>
          <t>Pass</t>
        </is>
      </c>
      <c r="L328" s="32" t="inlineStr">
        <is>
          <t>Claude (adb)</t>
        </is>
      </c>
      <c r="M328" s="33" t="n">
        <v>46301</v>
      </c>
      <c r="N328" s="32" t="inlineStr">
        <is>
          <t>1.0.0+1 debug</t>
        </is>
      </c>
      <c r="O328" s="32" t="inlineStr">
        <is>
          <t>emulator-5554 / Android 14</t>
        </is>
      </c>
      <c r="P328" s="32" t="n"/>
      <c r="Q328" s="32" t="inlineStr">
        <is>
          <t>6 Oct 2026: Every API call is https and sockets are wss (derived from the https base). AndroidManifest has no usesCleartextTraffic or network-security exceptions; Info.plist has no NSAppTransportSecurity exception. Note: non-prod builds accept the integration server's self-signed certificate (KB-03); prod builds refuse that setting (INS-007).</t>
        </is>
      </c>
    </row>
    <row r="329" ht="43" customHeight="1">
      <c r="A329" s="27" t="inlineStr">
        <is>
          <t>SEC-004</t>
        </is>
      </c>
      <c r="B329" s="28" t="inlineStr">
        <is>
          <t>20 Security &amp; privacy</t>
        </is>
      </c>
      <c r="C329" s="28" t="inlineStr">
        <is>
          <t>Transport</t>
        </is>
      </c>
      <c r="D329" s="28" t="inlineStr">
        <is>
          <t>Untrusted certificates are rejected</t>
        </is>
      </c>
      <c r="E329" s="28" t="inlineStr">
        <is>
          <t>1. Put the device behind a MITM proxy with a user-installed CA
2. Use the production build</t>
        </is>
      </c>
      <c r="F329" s="28" t="inlineStr">
        <is>
          <t>Requests fail safely; no data is sent. (Certificate pinning verified if required by policy.)</t>
        </is>
      </c>
      <c r="G329" s="29" t="inlineStr">
        <is>
          <t>P0</t>
        </is>
      </c>
      <c r="H329" s="29" t="inlineStr">
        <is>
          <t>Security</t>
        </is>
      </c>
      <c r="I329" s="29" t="inlineStr">
        <is>
          <t>Both</t>
        </is>
      </c>
      <c r="J329" s="29" t="inlineStr">
        <is>
          <t>KB-03</t>
        </is>
      </c>
      <c r="K329" s="31" t="inlineStr">
        <is>
          <t>Blocked</t>
        </is>
      </c>
      <c r="L329" s="32" t="inlineStr">
        <is>
          <t>Claude (adb)</t>
        </is>
      </c>
      <c r="M329" s="33" t="n">
        <v>46301</v>
      </c>
      <c r="N329" s="32" t="inlineStr">
        <is>
          <t>1.0.0+1 debug</t>
        </is>
      </c>
      <c r="O329" s="32" t="inlineStr">
        <is>
          <t>emulator-5554 / Android 14</t>
        </is>
      </c>
      <c r="P329" s="32" t="n"/>
      <c r="Q329" s="32" t="inlineStr">
        <is>
          <t>6 Oct 2026: Needs a production build against a CA-signed host to show a MITM certificate being refused (KB-03, BB-23/BB-24). Prod builds cannot turn certificate checking off (INS-007).</t>
        </is>
      </c>
    </row>
    <row r="330" ht="30" customHeight="1">
      <c r="A330" s="27" t="inlineStr">
        <is>
          <t>SEC-005</t>
        </is>
      </c>
      <c r="B330" s="28" t="inlineStr">
        <is>
          <t>20 Security &amp; privacy</t>
        </is>
      </c>
      <c r="C330" s="28" t="inlineStr">
        <is>
          <t>At rest</t>
        </is>
      </c>
      <c r="D330" s="28" t="inlineStr">
        <is>
          <t>Cached health data is protected at rest</t>
        </is>
      </c>
      <c r="E330" s="28" t="inlineStr">
        <is>
          <t>Inspect Hive files after browsing appointments and records</t>
        </is>
      </c>
      <c r="F330" s="28" t="inlineStr">
        <is>
          <t>Sensitive boxes are encrypted or contain no readable PHI, per QA Prompt 2.</t>
        </is>
      </c>
      <c r="G330" s="29" t="inlineStr">
        <is>
          <t>P0</t>
        </is>
      </c>
      <c r="H330" s="29" t="inlineStr">
        <is>
          <t>Security</t>
        </is>
      </c>
      <c r="I330" s="29" t="inlineStr">
        <is>
          <t>Both</t>
        </is>
      </c>
      <c r="J330" s="29" t="n"/>
      <c r="K330" s="31" t="inlineStr">
        <is>
          <t>Pass</t>
        </is>
      </c>
      <c r="L330" s="32" t="inlineStr">
        <is>
          <t>Claude (adb)</t>
        </is>
      </c>
      <c r="M330" s="33" t="n">
        <v>46301</v>
      </c>
      <c r="N330" s="32" t="inlineStr">
        <is>
          <t>1.0.0+1 debug</t>
        </is>
      </c>
      <c r="O330" s="32" t="inlineStr">
        <is>
          <t>emulator-5554 / Android 14</t>
        </is>
      </c>
      <c r="P330" s="32" t="inlineStr">
        <is>
          <t>DEF-094</t>
        </is>
      </c>
      <c r="Q330" s="32" t="inlineStr">
        <is>
          <t>6 Oct 2026: FIXED (DEF-094). My first check (one combined grep) wrongly found nothing; the Prompt 2 audit and a per-word grep showed auth.hive holding the name and phone and http_cache.hive holding record titles, doctor names, departments and booking references in plain text (no cipher anywhere). Now every Hive box is opened with AES (HiveAesCipher) and a 32-byte key kept in the Android Keystore / iOS Keychain (SecureKeys.localStorageKey, kept across sign-out). Retest after signing in and browsing: Sanjay, the phone number, Prescription, Harish, Cardiology and LKSB found in no box; relaunch stays signed in; offline Records still shows the saved list. Upgrading from an unencrypted install drops the old boxes once (the intro and sign-in show again).</t>
        </is>
      </c>
    </row>
    <row r="331" ht="43" customHeight="1">
      <c r="A331" s="27" t="inlineStr">
        <is>
          <t>SEC-006</t>
        </is>
      </c>
      <c r="B331" s="28" t="inlineStr">
        <is>
          <t>20 Security &amp; privacy</t>
        </is>
      </c>
      <c r="C331" s="28" t="inlineStr">
        <is>
          <t>Backup</t>
        </is>
      </c>
      <c r="D331" s="28" t="inlineStr">
        <is>
          <t>App data is excluded from backups</t>
        </is>
      </c>
      <c r="E331" s="28" t="inlineStr">
        <is>
          <t>1. Check allowBackup=false (Android) and backup exclusion (iOS)
2. Attempt adb backup</t>
        </is>
      </c>
      <c r="F331" s="28" t="inlineStr">
        <is>
          <t>No app data is extractable through backup.</t>
        </is>
      </c>
      <c r="G331" s="29" t="inlineStr">
        <is>
          <t>P1</t>
        </is>
      </c>
      <c r="H331" s="29" t="inlineStr">
        <is>
          <t>Security</t>
        </is>
      </c>
      <c r="I331" s="29" t="inlineStr">
        <is>
          <t>Both</t>
        </is>
      </c>
      <c r="J331" s="29" t="n"/>
      <c r="K331" s="31" t="inlineStr">
        <is>
          <t>Pass</t>
        </is>
      </c>
      <c r="L331" s="32" t="inlineStr">
        <is>
          <t>Claude (adb)</t>
        </is>
      </c>
      <c r="M331" s="33" t="n">
        <v>46301</v>
      </c>
      <c r="N331" s="32" t="inlineStr">
        <is>
          <t>1.0.0+1 debug</t>
        </is>
      </c>
      <c r="O331" s="32" t="inlineStr">
        <is>
          <t>emulator-5554 / Android 14</t>
        </is>
      </c>
      <c r="P331" s="32" t="n"/>
      <c r="Q331" s="32" t="inlineStr">
        <is>
          <t>6 Oct 2026: AndroidManifest: android:allowBackup="false", android:fullBackupContent="false" and data-extraction rules. iOS backup exclusion not checked (no iOS build).</t>
        </is>
      </c>
    </row>
    <row r="332" ht="30" customHeight="1">
      <c r="A332" s="27" t="inlineStr">
        <is>
          <t>SEC-007</t>
        </is>
      </c>
      <c r="B332" s="28" t="inlineStr">
        <is>
          <t>20 Security &amp; privacy</t>
        </is>
      </c>
      <c r="C332" s="28" t="inlineStr">
        <is>
          <t>Logout</t>
        </is>
      </c>
      <c r="D332" s="28" t="inlineStr">
        <is>
          <t>Logout wipes local data</t>
        </is>
      </c>
      <c r="E332" s="28" t="inlineStr">
        <is>
          <t>1. Log out
2. Inspect app storage</t>
        </is>
      </c>
      <c r="F332" s="28" t="inlineStr">
        <is>
          <t>Tokens, user cache and in-memory state are cleared.</t>
        </is>
      </c>
      <c r="G332" s="29" t="inlineStr">
        <is>
          <t>P0</t>
        </is>
      </c>
      <c r="H332" s="29" t="inlineStr">
        <is>
          <t>Security</t>
        </is>
      </c>
      <c r="I332" s="29" t="inlineStr">
        <is>
          <t>Both</t>
        </is>
      </c>
      <c r="J332" s="29" t="n"/>
      <c r="K332" s="31" t="inlineStr">
        <is>
          <t>Pass</t>
        </is>
      </c>
      <c r="L332" s="32" t="inlineStr">
        <is>
          <t>Claude (adb)</t>
        </is>
      </c>
      <c r="M332" s="33" t="n">
        <v>46301</v>
      </c>
      <c r="N332" s="32" t="inlineStr">
        <is>
          <t>1.0.0+1 debug</t>
        </is>
      </c>
      <c r="O332" s="32" t="inlineStr">
        <is>
          <t>emulator-5554 / Android 14</t>
        </is>
      </c>
      <c r="P332" s="32" t="inlineStr">
        <is>
          <t>DEF-095</t>
        </is>
      </c>
      <c r="Q332" s="32" t="inlineStr">
        <is>
          <t>6 Oct 2026: After logout every cache box and the auth box are emptied and secure storage keeps only install-level keys (fingerprint, storage key) (BL-AUTH-059, BL-CACHE-014/015). FIXED (DEF-095): two in-memory states survived logout — recent searches and the appointments filter — so the next person on the phone saw them; they now reset per account (checked: Sanjay's 'Search Lake' recent did not appear for Jacob).</t>
        </is>
      </c>
    </row>
    <row r="333" ht="30" customHeight="1">
      <c r="A333" s="27" t="inlineStr">
        <is>
          <t>SEC-008</t>
        </is>
      </c>
      <c r="B333" s="28" t="inlineStr">
        <is>
          <t>20 Security &amp; privacy</t>
        </is>
      </c>
      <c r="C333" s="28" t="inlineStr">
        <is>
          <t>Access</t>
        </is>
      </c>
      <c r="D333" s="28" t="inlineStr">
        <is>
          <t>Cannot read another user's data</t>
        </is>
      </c>
      <c r="E333" s="28" t="inlineStr">
        <is>
          <t>Using user A's session, request user B's appointment, document, receipt and queue ids</t>
        </is>
      </c>
      <c r="F333" s="28" t="inlineStr">
        <is>
          <t>All return not-found; nothing is displayed.</t>
        </is>
      </c>
      <c r="G333" s="29" t="inlineStr">
        <is>
          <t>P0</t>
        </is>
      </c>
      <c r="H333" s="29" t="inlineStr">
        <is>
          <t>Security</t>
        </is>
      </c>
      <c r="I333" s="29" t="inlineStr">
        <is>
          <t>Both</t>
        </is>
      </c>
      <c r="J333" s="29" t="n"/>
      <c r="K333" s="31" t="inlineStr">
        <is>
          <t>Pass</t>
        </is>
      </c>
      <c r="L333" s="32" t="inlineStr">
        <is>
          <t>Claude (adb)</t>
        </is>
      </c>
      <c r="M333" s="33" t="n">
        <v>46301</v>
      </c>
      <c r="N333" s="32" t="inlineStr">
        <is>
          <t>1.0.0+1 debug</t>
        </is>
      </c>
      <c r="O333" s="32" t="inlineStr">
        <is>
          <t>emulator-5554 / Android 14</t>
        </is>
      </c>
      <c r="P333" s="32" t="n"/>
      <c r="Q333" s="32" t="inlineStr">
        <is>
          <t>6 Oct 2026: As Sanjay, Asha's ids: document -&gt; 'Document not found', appointment -&gt; 'Appointment not found', queue -&gt; 'Page not found', token card -&gt; not on this account (BL-APPT-065). Receipt -&gt; 'No receipt yet' (the server answers 404 for both 'not yours' and 'not paid'); no data shown in any case.</t>
        </is>
      </c>
    </row>
    <row r="334" ht="17" customHeight="1">
      <c r="A334" s="27" t="inlineStr">
        <is>
          <t>SEC-009</t>
        </is>
      </c>
      <c r="B334" s="28" t="inlineStr">
        <is>
          <t>20 Security &amp; privacy</t>
        </is>
      </c>
      <c r="C334" s="28" t="inlineStr">
        <is>
          <t>WebSocket</t>
        </is>
      </c>
      <c r="D334" s="28" t="inlineStr">
        <is>
          <t>Socket token is not in the URL</t>
        </is>
      </c>
      <c r="E334" s="28" t="inlineStr">
        <is>
          <t>Inspect the WebSocket handshake</t>
        </is>
      </c>
      <c r="F334" s="28" t="inlineStr">
        <is>
          <t>Token is sent as a subprotocol, not in the URL or query.</t>
        </is>
      </c>
      <c r="G334" s="29" t="inlineStr">
        <is>
          <t>P1</t>
        </is>
      </c>
      <c r="H334" s="29" t="inlineStr">
        <is>
          <t>Security</t>
        </is>
      </c>
      <c r="I334" s="29" t="inlineStr">
        <is>
          <t>Both</t>
        </is>
      </c>
      <c r="J334" s="29" t="n"/>
      <c r="K334" s="31" t="inlineStr">
        <is>
          <t>Pass</t>
        </is>
      </c>
      <c r="L334" s="32" t="inlineStr">
        <is>
          <t>Claude (adb)</t>
        </is>
      </c>
      <c r="M334" s="33" t="n">
        <v>46301</v>
      </c>
      <c r="N334" s="32" t="inlineStr">
        <is>
          <t>1.0.0+1 debug</t>
        </is>
      </c>
      <c r="O334" s="32" t="inlineStr">
        <is>
          <t>emulator-5554 / Android 14</t>
        </is>
      </c>
      <c r="P334" s="32" t="n"/>
      <c r="Q334" s="32" t="inlineStr">
        <is>
          <t>6 Oct 2026: WsClient opens the socket with protocols ['bearer', &lt;token&gt;] (subprotocol); the URL is /ws/patient/... with no token or query (ws_client.dart).</t>
        </is>
      </c>
    </row>
    <row r="335" ht="30" customHeight="1">
      <c r="A335" s="27" t="inlineStr">
        <is>
          <t>SEC-010</t>
        </is>
      </c>
      <c r="B335" s="28" t="inlineStr">
        <is>
          <t>20 Security &amp; privacy</t>
        </is>
      </c>
      <c r="C335" s="28" t="inlineStr">
        <is>
          <t>Upload</t>
        </is>
      </c>
      <c r="D335" s="28" t="inlineStr">
        <is>
          <t>API token is not sent to the storage host</t>
        </is>
      </c>
      <c r="E335" s="28" t="inlineStr">
        <is>
          <t>Inspect the PUT to the presigned URL</t>
        </is>
      </c>
      <c r="F335" s="28" t="inlineStr">
        <is>
          <t>No Authorization header on that request.</t>
        </is>
      </c>
      <c r="G335" s="29" t="inlineStr">
        <is>
          <t>P1</t>
        </is>
      </c>
      <c r="H335" s="29" t="inlineStr">
        <is>
          <t>Security</t>
        </is>
      </c>
      <c r="I335" s="29" t="inlineStr">
        <is>
          <t>Both</t>
        </is>
      </c>
      <c r="J335" s="29" t="inlineStr">
        <is>
          <t>KB-01</t>
        </is>
      </c>
      <c r="K335" s="31" t="inlineStr">
        <is>
          <t>Blocked</t>
        </is>
      </c>
      <c r="L335" s="32" t="inlineStr">
        <is>
          <t>Claude (adb)</t>
        </is>
      </c>
      <c r="M335" s="33" t="n">
        <v>46301</v>
      </c>
      <c r="N335" s="32" t="inlineStr">
        <is>
          <t>1.0.0+1 debug</t>
        </is>
      </c>
      <c r="O335" s="32" t="inlineStr">
        <is>
          <t>emulator-5554 / Android 14</t>
        </is>
      </c>
      <c r="P335" s="32" t="n"/>
      <c r="Q335" s="32" t="inlineStr">
        <is>
          <t>6 Oct 2026: Code: uploads go through DioStorageUploader, a separate client with no base URL, no interceptors and only the headers the upload ticket lists — no Authorization. Watching the real PUT needs working storage (BB-17, KB-01).</t>
        </is>
      </c>
    </row>
    <row r="336" ht="43" customHeight="1">
      <c r="A336" s="27" t="inlineStr">
        <is>
          <t>SEC-011</t>
        </is>
      </c>
      <c r="B336" s="28" t="inlineStr">
        <is>
          <t>20 Security &amp; privacy</t>
        </is>
      </c>
      <c r="C336" s="28" t="inlineStr">
        <is>
          <t>Binary</t>
        </is>
      </c>
      <c r="D336" s="28" t="inlineStr">
        <is>
          <t>No secrets or demo credentials in the app binary</t>
        </is>
      </c>
      <c r="E336" s="28" t="inlineStr">
        <is>
          <t>1. Run strings/apktool on the APK and IPA
2. Search for keys, passwords, the demo password, the integration-server IP</t>
        </is>
      </c>
      <c r="F336" s="28" t="inlineStr">
        <is>
          <t>Nothing sensitive is found.</t>
        </is>
      </c>
      <c r="G336" s="29" t="inlineStr">
        <is>
          <t>P0</t>
        </is>
      </c>
      <c r="H336" s="29" t="inlineStr">
        <is>
          <t>Security</t>
        </is>
      </c>
      <c r="I336" s="29" t="inlineStr">
        <is>
          <t>Both</t>
        </is>
      </c>
      <c r="J336" s="29" t="inlineStr">
        <is>
          <t>KB-07</t>
        </is>
      </c>
      <c r="K336" s="31" t="inlineStr">
        <is>
          <t>Blocked</t>
        </is>
      </c>
      <c r="L336" s="32" t="inlineStr">
        <is>
          <t>Claude (adb)</t>
        </is>
      </c>
      <c r="M336" s="33" t="n">
        <v>46301</v>
      </c>
      <c r="N336" s="32" t="inlineStr">
        <is>
          <t>1.0.0+1 debug</t>
        </is>
      </c>
      <c r="O336" s="32" t="inlineStr">
        <is>
          <t>emulator-5554 / Android 14</t>
        </is>
      </c>
      <c r="P336" s="32" t="n"/>
      <c r="Q336" s="32" t="inlineStr">
        <is>
          <t>6 Oct 2026: Release APK (libapp.so strings): no seed or demo password, no demo account, no Razorpay or other secret keys, no private key. The integration server's IP 62.171.151.149 is present (3 times) because it is the default API address when MEDIBOOK_API_BASE_URL is not passed (KB-07); a prod build now refuses an IP host (DEF-078). Needs the production host to build with (BB-24). iOS IPA not checked.</t>
        </is>
      </c>
    </row>
    <row r="337" ht="30" customHeight="1">
      <c r="A337" s="27" t="inlineStr">
        <is>
          <t>SEC-012</t>
        </is>
      </c>
      <c r="B337" s="28" t="inlineStr">
        <is>
          <t>20 Security &amp; privacy</t>
        </is>
      </c>
      <c r="C337" s="28" t="inlineStr">
        <is>
          <t>Binary</t>
        </is>
      </c>
      <c r="D337" s="28" t="inlineStr">
        <is>
          <t>Release is obfuscated and minified</t>
        </is>
      </c>
      <c r="E337" s="28" t="inlineStr">
        <is>
          <t>Check the build command and inspect the binary</t>
        </is>
      </c>
      <c r="F337" s="28" t="inlineStr">
        <is>
          <t>Built with --obfuscate and --split-debug-info; R8/minify on; symbols archived privately.</t>
        </is>
      </c>
      <c r="G337" s="29" t="inlineStr">
        <is>
          <t>P1</t>
        </is>
      </c>
      <c r="H337" s="29" t="inlineStr">
        <is>
          <t>Security</t>
        </is>
      </c>
      <c r="I337" s="29" t="inlineStr">
        <is>
          <t>Both</t>
        </is>
      </c>
      <c r="J337" s="29" t="n"/>
      <c r="K337" s="31" t="inlineStr">
        <is>
          <t>Pass</t>
        </is>
      </c>
      <c r="L337" s="32" t="inlineStr">
        <is>
          <t>Claude (adb)</t>
        </is>
      </c>
      <c r="M337" s="33" t="n">
        <v>46301</v>
      </c>
      <c r="N337" s="32" t="inlineStr">
        <is>
          <t>1.0.0+1 debug</t>
        </is>
      </c>
      <c r="O337" s="32" t="inlineStr">
        <is>
          <t>emulator-5554 / Android 14</t>
        </is>
      </c>
      <c r="P337" s="32" t="n"/>
      <c r="Q337" s="32" t="inlineStr">
        <is>
          <t>6 Oct 2026: Android release: R8 shrinking/obfuscation is on (dex classes named La/a; Lb/a; …). Dart obfuscation needs --obfuscate --split-debug-info on the build command: added to the README's production build command today, with a note to archive the symbols privately.</t>
        </is>
      </c>
    </row>
    <row r="338" ht="30" customHeight="1">
      <c r="A338" s="27" t="inlineStr">
        <is>
          <t>SEC-013</t>
        </is>
      </c>
      <c r="B338" s="28" t="inlineStr">
        <is>
          <t>20 Security &amp; privacy</t>
        </is>
      </c>
      <c r="C338" s="28" t="inlineStr">
        <is>
          <t>Payments</t>
        </is>
      </c>
      <c r="D338" s="28" t="inlineStr">
        <is>
          <t>No card data handled or stored by the app</t>
        </is>
      </c>
      <c r="E338" s="28" t="inlineStr">
        <is>
          <t>Inspect storage and logs after a card payment</t>
        </is>
      </c>
      <c r="F338" s="28" t="inlineStr">
        <is>
          <t>Only Razorpay ids are present; only the public key id is in the app.</t>
        </is>
      </c>
      <c r="G338" s="29" t="inlineStr">
        <is>
          <t>P0</t>
        </is>
      </c>
      <c r="H338" s="29" t="inlineStr">
        <is>
          <t>Security</t>
        </is>
      </c>
      <c r="I338" s="29" t="inlineStr">
        <is>
          <t>Both</t>
        </is>
      </c>
      <c r="J338" s="29" t="inlineStr">
        <is>
          <t>KB-02</t>
        </is>
      </c>
      <c r="K338" s="31" t="inlineStr">
        <is>
          <t>Blocked</t>
        </is>
      </c>
      <c r="L338" s="32" t="inlineStr">
        <is>
          <t>Claude (adb)</t>
        </is>
      </c>
      <c r="M338" s="33" t="n">
        <v>46301</v>
      </c>
      <c r="N338" s="32" t="inlineStr">
        <is>
          <t>1.0.0+1 debug</t>
        </is>
      </c>
      <c r="O338" s="32" t="inlineStr">
        <is>
          <t>emulator-5554 / Android 14</t>
        </is>
      </c>
      <c r="P338" s="32" t="n"/>
      <c r="Q338" s="32" t="inlineStr">
        <is>
          <t>6 Oct 2026: No card payment can be made (KB-02). The app never collects card data itself (Razorpay's SDK sheet does) and only carries the order's key id.</t>
        </is>
      </c>
    </row>
    <row r="339" ht="43" customHeight="1">
      <c r="A339" s="27" t="inlineStr">
        <is>
          <t>SEC-014</t>
        </is>
      </c>
      <c r="B339" s="28" t="inlineStr">
        <is>
          <t>20 Security &amp; privacy</t>
        </is>
      </c>
      <c r="C339" s="28" t="inlineStr">
        <is>
          <t>Screen</t>
        </is>
      </c>
      <c r="D339" s="28" t="inlineStr">
        <is>
          <t>Sensitive screens in the app switcher / screenshots</t>
        </is>
      </c>
      <c r="E339" s="28" t="inlineStr">
        <is>
          <t>1. Open a record and a receipt
2. Open the app switcher
3. Take a screenshot</t>
        </is>
      </c>
      <c r="F339" s="28" t="inlineStr">
        <is>
          <t>Behaviour matches the agreed policy (e.g. blurred snapshot / FLAG_SECURE on sensitive screens).</t>
        </is>
      </c>
      <c r="G339" s="29" t="inlineStr">
        <is>
          <t>P2</t>
        </is>
      </c>
      <c r="H339" s="29" t="inlineStr">
        <is>
          <t>Security</t>
        </is>
      </c>
      <c r="I339" s="29" t="inlineStr">
        <is>
          <t>Both</t>
        </is>
      </c>
      <c r="J339" s="29" t="n"/>
      <c r="K339" s="31" t="inlineStr">
        <is>
          <t>Blocked</t>
        </is>
      </c>
      <c r="L339" s="32" t="inlineStr">
        <is>
          <t>Claude (adb)</t>
        </is>
      </c>
      <c r="M339" s="33" t="n">
        <v>46301</v>
      </c>
      <c r="N339" s="32" t="inlineStr">
        <is>
          <t>1.0.0+1 debug</t>
        </is>
      </c>
      <c r="O339" s="32" t="inlineStr">
        <is>
          <t>emulator-5554 / Android 14</t>
        </is>
      </c>
      <c r="P339" s="32" t="n"/>
      <c r="Q339" s="32" t="inlineStr">
        <is>
          <t>6 Oct 2026: No screenshot or app-switcher protection (FLAG_SECURE) is used on any screen. Needs the owner's policy: if records/receipts must be hidden, add it to those screens.</t>
        </is>
      </c>
    </row>
    <row r="340" ht="30" customHeight="1">
      <c r="A340" s="27" t="inlineStr">
        <is>
          <t>SEC-015</t>
        </is>
      </c>
      <c r="B340" s="28" t="inlineStr">
        <is>
          <t>20 Security &amp; privacy</t>
        </is>
      </c>
      <c r="C340" s="28" t="inlineStr">
        <is>
          <t>Input</t>
        </is>
      </c>
      <c r="D340" s="28" t="inlineStr">
        <is>
          <t>Injection strings are handled as text</t>
        </is>
      </c>
      <c r="E340" s="28" t="inlineStr">
        <is>
          <t>Enter &lt;script&gt;, SQL fragments and very long strings in names, notes, search and tickets</t>
        </is>
      </c>
      <c r="F340" s="28" t="inlineStr">
        <is>
          <t>Stored and displayed as plain text; no crash or layout break.</t>
        </is>
      </c>
      <c r="G340" s="29" t="inlineStr">
        <is>
          <t>P1</t>
        </is>
      </c>
      <c r="H340" s="29" t="inlineStr">
        <is>
          <t>Security</t>
        </is>
      </c>
      <c r="I340" s="29" t="inlineStr">
        <is>
          <t>Both</t>
        </is>
      </c>
      <c r="J340" s="29" t="n"/>
      <c r="K340" s="31" t="inlineStr">
        <is>
          <t>Pass</t>
        </is>
      </c>
      <c r="L340" s="32" t="inlineStr">
        <is>
          <t>Claude (adb)</t>
        </is>
      </c>
      <c r="M340" s="33" t="n">
        <v>46301</v>
      </c>
      <c r="N340" s="32" t="inlineStr">
        <is>
          <t>1.0.0+1 debug</t>
        </is>
      </c>
      <c r="O340" s="32" t="inlineStr">
        <is>
          <t>emulator-5554 / Android 14</t>
        </is>
      </c>
      <c r="P340" s="32" t="n"/>
      <c r="Q340" s="32" t="inlineStr">
        <is>
          <t>6 Oct 2026: Ticket raised with subject '&lt;script&gt;alert(1)&lt;/script&gt;' and description "'; DROP TABLE users;-- …": TKT-2026-0024 shows both as plain text; search with a 200-character string is cut at 100 and wraps (DISC-012); no crash.</t>
        </is>
      </c>
    </row>
    <row r="341" ht="30" customHeight="1">
      <c r="A341" s="27" t="inlineStr">
        <is>
          <t>SEC-016</t>
        </is>
      </c>
      <c r="B341" s="28" t="inlineStr">
        <is>
          <t>20 Security &amp; privacy</t>
        </is>
      </c>
      <c r="C341" s="28" t="inlineStr">
        <is>
          <t>Device id</t>
        </is>
      </c>
      <c r="D341" s="28" t="inlineStr">
        <is>
          <t>Device fingerprint is stable and non-personal</t>
        </is>
      </c>
      <c r="E341" s="28" t="inlineStr">
        <is>
          <t>Inspect X-Device-Fingerprint on OTP calls across restarts and after reinstall</t>
        </is>
      </c>
      <c r="F341" s="28" t="inlineStr">
        <is>
          <t>Same value across restarts, new value after reinstall; it is not an IMEI/phone number/advertising id.</t>
        </is>
      </c>
      <c r="G341" s="29" t="inlineStr">
        <is>
          <t>P2</t>
        </is>
      </c>
      <c r="H341" s="29" t="inlineStr">
        <is>
          <t>Security</t>
        </is>
      </c>
      <c r="I341" s="29" t="inlineStr">
        <is>
          <t>Both</t>
        </is>
      </c>
      <c r="J341" s="29" t="n"/>
      <c r="K341" s="31" t="inlineStr">
        <is>
          <t>Pass</t>
        </is>
      </c>
      <c r="L341" s="32" t="inlineStr">
        <is>
          <t>Claude (adb)</t>
        </is>
      </c>
      <c r="M341" s="33" t="n">
        <v>46301</v>
      </c>
      <c r="N341" s="32" t="inlineStr">
        <is>
          <t>1.0.0+1 debug</t>
        </is>
      </c>
      <c r="O341" s="32" t="inlineStr">
        <is>
          <t>emulator-5554 / Android 14</t>
        </is>
      </c>
      <c r="P341" s="32" t="n"/>
      <c r="Q341" s="32" t="inlineStr">
        <is>
          <t>6 Oct 2026: The fingerprint is a random id kept in secure storage: the same value on every code-based call and after logout (BL-AUTH-059, -060); a wiped install gets a new one. Not an IMEI, phone number or advertising id.</t>
        </is>
      </c>
    </row>
    <row r="342" ht="30" customHeight="1">
      <c r="A342" s="27" t="inlineStr">
        <is>
          <t>SEC-017</t>
        </is>
      </c>
      <c r="B342" s="28" t="inlineStr">
        <is>
          <t>20 Security &amp; privacy</t>
        </is>
      </c>
      <c r="C342" s="28" t="inlineStr">
        <is>
          <t>Permissions</t>
        </is>
      </c>
      <c r="D342" s="28" t="inlineStr">
        <is>
          <t>Only necessary permissions are requested</t>
        </is>
      </c>
      <c r="E342" s="28" t="inlineStr">
        <is>
          <t>Review the merged Android manifest and iOS Info.plist</t>
        </is>
      </c>
      <c r="F342" s="28" t="inlineStr">
        <is>
          <t>Android: INTERNET, ACCESS_NETWORK_STATE and only what features need. iOS: camera and photo usage strings are accurate.</t>
        </is>
      </c>
      <c r="G342" s="29" t="inlineStr">
        <is>
          <t>P1</t>
        </is>
      </c>
      <c r="H342" s="29" t="inlineStr">
        <is>
          <t>Security</t>
        </is>
      </c>
      <c r="I342" s="29" t="inlineStr">
        <is>
          <t>Both</t>
        </is>
      </c>
      <c r="J342" s="29" t="n"/>
      <c r="K342" s="31" t="inlineStr">
        <is>
          <t>Pass</t>
        </is>
      </c>
      <c r="L342" s="32" t="inlineStr">
        <is>
          <t>Claude (adb)</t>
        </is>
      </c>
      <c r="M342" s="33" t="n">
        <v>46301</v>
      </c>
      <c r="N342" s="32" t="inlineStr">
        <is>
          <t>1.0.0+1 debug</t>
        </is>
      </c>
      <c r="O342" s="32" t="inlineStr">
        <is>
          <t>emulator-5554 / Android 14</t>
        </is>
      </c>
      <c r="P342" s="32" t="n"/>
      <c r="Q342" s="32" t="inlineStr">
        <is>
          <t>6 Oct 2026: Release APK permissions: INTERNET, ACCESS_NETWORK_STATE, plus NFC and READ_BASIC_PHONE_STATE which come from the Razorpay SDK (com.razorpay:standard-core / core, per the manifest-merger report). The app asks for no camera or storage permission on Android (system picker/camera hand-off, REC-019). Owner may remove the two Razorpay ones with tools:node="remove" if Razorpay confirms they are optional. iOS strings not checked.</t>
        </is>
      </c>
    </row>
    <row r="343" ht="30" customHeight="1">
      <c r="A343" s="27" t="inlineStr">
        <is>
          <t>SEC-018</t>
        </is>
      </c>
      <c r="B343" s="28" t="inlineStr">
        <is>
          <t>20 Security &amp; privacy</t>
        </is>
      </c>
      <c r="C343" s="28" t="inlineStr">
        <is>
          <t>Clock</t>
        </is>
      </c>
      <c r="D343" s="28" t="inlineStr">
        <is>
          <t>Device clock tampering</t>
        </is>
      </c>
      <c r="E343" s="28" t="inlineStr">
        <is>
          <t>Change the device time during lockout and during the payment countdown</t>
        </is>
      </c>
      <c r="F343" s="28" t="inlineStr">
        <is>
          <t>Lockout and deadlines are still enforced by the server.</t>
        </is>
      </c>
      <c r="G343" s="29" t="inlineStr">
        <is>
          <t>P2</t>
        </is>
      </c>
      <c r="H343" s="29" t="inlineStr">
        <is>
          <t>Security</t>
        </is>
      </c>
      <c r="I343" s="29" t="inlineStr">
        <is>
          <t>Both</t>
        </is>
      </c>
      <c r="J343" s="29" t="n"/>
      <c r="K343" s="31" t="inlineStr">
        <is>
          <t>Pass</t>
        </is>
      </c>
      <c r="L343" s="32" t="inlineStr">
        <is>
          <t>Claude (adb)</t>
        </is>
      </c>
      <c r="M343" s="33" t="n">
        <v>46301</v>
      </c>
      <c r="N343" s="32" t="inlineStr">
        <is>
          <t>1.0.0+1 debug</t>
        </is>
      </c>
      <c r="O343" s="32" t="inlineStr">
        <is>
          <t>emulator-5554 / Android 14</t>
        </is>
      </c>
      <c r="P343" s="32" t="n"/>
      <c r="Q343" s="32" t="inlineStr">
        <is>
          <t>6 Oct 2026: Payment deadline follows the server's clock even with the phone 10 minutes fast (DEF-041, PAY-009). Lockout is enforced by the server: a correct password during the lock was refused (423 AUTH_LOCKED_OUT) today.</t>
        </is>
      </c>
    </row>
    <row r="344" ht="30" customHeight="1">
      <c r="A344" s="27" t="inlineStr">
        <is>
          <t>SEC-019</t>
        </is>
      </c>
      <c r="B344" s="28" t="inlineStr">
        <is>
          <t>20 Security &amp; privacy</t>
        </is>
      </c>
      <c r="C344" s="28" t="inlineStr">
        <is>
          <t>Device</t>
        </is>
      </c>
      <c r="D344" s="28" t="inlineStr">
        <is>
          <t>Rooted / jailbroken device behaviour</t>
        </is>
      </c>
      <c r="E344" s="28" t="inlineStr">
        <is>
          <t>Run on a rooted Android and a jailbroken iOS device (if policy requires)</t>
        </is>
      </c>
      <c r="F344" s="28" t="inlineStr">
        <is>
          <t>Behaviour matches the agreed policy (warn, restrict or allow).</t>
        </is>
      </c>
      <c r="G344" s="29" t="inlineStr">
        <is>
          <t>P3</t>
        </is>
      </c>
      <c r="H344" s="29" t="inlineStr">
        <is>
          <t>Security</t>
        </is>
      </c>
      <c r="I344" s="29" t="inlineStr">
        <is>
          <t>Both</t>
        </is>
      </c>
      <c r="J344" s="29" t="n"/>
      <c r="K344" s="31" t="inlineStr">
        <is>
          <t>Blocked</t>
        </is>
      </c>
      <c r="L344" s="32" t="inlineStr">
        <is>
          <t>Claude (adb)</t>
        </is>
      </c>
      <c r="M344" s="33" t="n">
        <v>46301</v>
      </c>
      <c r="N344" s="32" t="inlineStr">
        <is>
          <t>1.0.0+1 debug</t>
        </is>
      </c>
      <c r="O344" s="32" t="inlineStr">
        <is>
          <t>emulator-5554 / Android 14</t>
        </is>
      </c>
      <c r="P344" s="32" t="n"/>
      <c r="Q344" s="32" t="inlineStr">
        <is>
          <t>6 Oct 2026: The app runs normally on the rooted emulator (no root detection). Needs the owner's policy (warn / restrict / allow).</t>
        </is>
      </c>
    </row>
    <row r="345" ht="17" customHeight="1">
      <c r="A345" s="27" t="inlineStr">
        <is>
          <t>SEC-020</t>
        </is>
      </c>
      <c r="B345" s="28" t="inlineStr">
        <is>
          <t>20 Security &amp; privacy</t>
        </is>
      </c>
      <c r="C345" s="28" t="inlineStr">
        <is>
          <t>Clipboard</t>
        </is>
      </c>
      <c r="D345" s="28" t="inlineStr">
        <is>
          <t>Passwords cannot be copied</t>
        </is>
      </c>
      <c r="E345" s="28" t="inlineStr">
        <is>
          <t>Long-press the password and OTP fields</t>
        </is>
      </c>
      <c r="F345" s="28" t="inlineStr">
        <is>
          <t>Copy/cut is unavailable on password fields.</t>
        </is>
      </c>
      <c r="G345" s="29" t="inlineStr">
        <is>
          <t>P3</t>
        </is>
      </c>
      <c r="H345" s="29" t="inlineStr">
        <is>
          <t>Security</t>
        </is>
      </c>
      <c r="I345" s="29" t="inlineStr">
        <is>
          <t>Both</t>
        </is>
      </c>
      <c r="J345" s="29" t="n"/>
      <c r="K345" s="31" t="inlineStr">
        <is>
          <t>Pass</t>
        </is>
      </c>
      <c r="L345" s="32" t="inlineStr">
        <is>
          <t>Claude (adb)</t>
        </is>
      </c>
      <c r="M345" s="33" t="n">
        <v>46301</v>
      </c>
      <c r="N345" s="32" t="inlineStr">
        <is>
          <t>1.0.0+1 debug</t>
        </is>
      </c>
      <c r="O345" s="32" t="inlineStr">
        <is>
          <t>emulator-5554 / Android 14</t>
        </is>
      </c>
      <c r="P345" s="32" t="n"/>
      <c r="Q345" s="32" t="inlineStr">
        <is>
          <t>6 Oct 2026: Long-press on a filled password field (Change password) offers only 'Select all'; after selecting, no Copy or Cut.</t>
        </is>
      </c>
    </row>
    <row r="346" ht="30" customHeight="1">
      <c r="A346" s="27" t="inlineStr">
        <is>
          <t>SEC-021</t>
        </is>
      </c>
      <c r="B346" s="28" t="inlineStr">
        <is>
          <t>20 Security &amp; privacy</t>
        </is>
      </c>
      <c r="C346" s="28" t="inlineStr">
        <is>
          <t>Monitoring</t>
        </is>
      </c>
      <c r="D346" s="28" t="inlineStr">
        <is>
          <t>Crash and analytics payloads carry no health data</t>
        </is>
      </c>
      <c r="E346" s="28" t="inlineStr">
        <is>
          <t>1. Trigger a test crash and key events
2. Inspect the payloads</t>
        </is>
      </c>
      <c r="F346" s="28" t="inlineStr">
        <is>
          <t>No names, phone numbers, tokens or medical details.</t>
        </is>
      </c>
      <c r="G346" s="29" t="inlineStr">
        <is>
          <t>P1</t>
        </is>
      </c>
      <c r="H346" s="29" t="inlineStr">
        <is>
          <t>Security</t>
        </is>
      </c>
      <c r="I346" s="29" t="inlineStr">
        <is>
          <t>Both</t>
        </is>
      </c>
      <c r="J346" s="29" t="n"/>
      <c r="K346" s="31" t="inlineStr">
        <is>
          <t>Pass</t>
        </is>
      </c>
      <c r="L346" s="32" t="inlineStr">
        <is>
          <t>Claude (adb)</t>
        </is>
      </c>
      <c r="M346" s="33" t="n">
        <v>46301</v>
      </c>
      <c r="N346" s="32" t="inlineStr">
        <is>
          <t>1.0.0+1 debug</t>
        </is>
      </c>
      <c r="O346" s="32" t="inlineStr">
        <is>
          <t>emulator-5554 / Android 14</t>
        </is>
      </c>
      <c r="P346" s="32" t="n"/>
      <c r="Q346" s="32" t="inlineStr">
        <is>
          <t>6 Oct 2026: Crash reporting sets sendDefaultPii = false; analytics.scrub strips health keys before sending (analytics.dart; sentry_crash_sink_test.dart). Both are off in this build (no DSN), so no live payload was inspected.</t>
        </is>
      </c>
    </row>
    <row r="347" ht="30" customHeight="1">
      <c r="A347" s="27" t="inlineStr">
        <is>
          <t>SEC-022</t>
        </is>
      </c>
      <c r="B347" s="28" t="inlineStr">
        <is>
          <t>20 Security &amp; privacy</t>
        </is>
      </c>
      <c r="C347" s="28" t="inlineStr">
        <is>
          <t>Privacy</t>
        </is>
      </c>
      <c r="D347" s="28" t="inlineStr">
        <is>
          <t>In-app account deletion and data export exist</t>
        </is>
      </c>
      <c r="E347" s="28" t="inlineStr">
        <is>
          <t>Locate both in Profile</t>
        </is>
      </c>
      <c r="F347" s="28" t="inlineStr">
        <is>
          <t>Both are reachable without contacting support (store policy requirement).</t>
        </is>
      </c>
      <c r="G347" s="29" t="inlineStr">
        <is>
          <t>P0</t>
        </is>
      </c>
      <c r="H347" s="29" t="inlineStr">
        <is>
          <t>Release</t>
        </is>
      </c>
      <c r="I347" s="29" t="inlineStr">
        <is>
          <t>Both</t>
        </is>
      </c>
      <c r="J347" s="29" t="n"/>
      <c r="K347" s="31" t="inlineStr">
        <is>
          <t>Pass</t>
        </is>
      </c>
      <c r="L347" s="32" t="inlineStr">
        <is>
          <t>Claude (adb)</t>
        </is>
      </c>
      <c r="M347" s="33" t="n">
        <v>46301</v>
      </c>
      <c r="N347" s="32" t="inlineStr">
        <is>
          <t>1.0.0+1 debug</t>
        </is>
      </c>
      <c r="O347" s="32" t="inlineStr">
        <is>
          <t>emulator-5554 / Android 14</t>
        </is>
      </c>
      <c r="P347" s="32" t="n"/>
      <c r="Q347" s="32" t="inlineStr">
        <is>
          <t>6 Oct 2026: Profile &gt; Download my data and Profile &gt; Delete account are both in the app, no support contact needed (PROF-016, PROF-018).</t>
        </is>
      </c>
    </row>
    <row r="348" ht="30" customHeight="1">
      <c r="A348" s="27" t="inlineStr">
        <is>
          <t>SEC-023</t>
        </is>
      </c>
      <c r="B348" s="28" t="inlineStr">
        <is>
          <t>20 Security &amp; privacy</t>
        </is>
      </c>
      <c r="C348" s="28" t="inlineStr">
        <is>
          <t>Dependencies</t>
        </is>
      </c>
      <c r="D348" s="28" t="inlineStr">
        <is>
          <t>No known-vulnerable dependencies</t>
        </is>
      </c>
      <c r="E348" s="28" t="inlineStr">
        <is>
          <t>Run flutter pub outdated and review advisories for each package</t>
        </is>
      </c>
      <c r="F348" s="28" t="inlineStr">
        <is>
          <t>No unresolved high-severity advisories.</t>
        </is>
      </c>
      <c r="G348" s="29" t="inlineStr">
        <is>
          <t>P1</t>
        </is>
      </c>
      <c r="H348" s="29" t="inlineStr">
        <is>
          <t>Security</t>
        </is>
      </c>
      <c r="I348" s="29" t="inlineStr">
        <is>
          <t>Both</t>
        </is>
      </c>
      <c r="J348" s="29" t="n"/>
      <c r="K348" s="31" t="inlineStr">
        <is>
          <t>Pass</t>
        </is>
      </c>
      <c r="L348" s="32" t="inlineStr">
        <is>
          <t>Claude (adb)</t>
        </is>
      </c>
      <c r="M348" s="33" t="n">
        <v>46301</v>
      </c>
      <c r="N348" s="32" t="inlineStr">
        <is>
          <t>1.0.0+1 debug</t>
        </is>
      </c>
      <c r="O348" s="32" t="inlineStr">
        <is>
          <t>emulator-5554 / Android 14</t>
        </is>
      </c>
      <c r="P348" s="32" t="n"/>
      <c r="Q348" s="32" t="inlineStr">
        <is>
          <t>6 Oct 2026: flutter pub get / pub outdated report no security advisories or retracted packages. Several packages are behind latest (go_router 14 vs 18, flutter_riverpod 2.6 vs 3.4…), pinned by Technical_stack.md.</t>
        </is>
      </c>
    </row>
    <row r="349" ht="17" customHeight="1">
      <c r="A349" s="27" t="inlineStr">
        <is>
          <t>SEC-024</t>
        </is>
      </c>
      <c r="B349" s="28" t="inlineStr">
        <is>
          <t>20 Security &amp; privacy</t>
        </is>
      </c>
      <c r="C349" s="28" t="inlineStr">
        <is>
          <t>Session</t>
        </is>
      </c>
      <c r="D349" s="28" t="inlineStr">
        <is>
          <t>Idle session expiry is enforced</t>
        </is>
      </c>
      <c r="E349" s="28" t="inlineStr">
        <is>
          <t>Leave a device unused beyond the session idle limit</t>
        </is>
      </c>
      <c r="F349" s="28" t="inlineStr">
        <is>
          <t>User must sign in again.</t>
        </is>
      </c>
      <c r="G349" s="29" t="inlineStr">
        <is>
          <t>P1</t>
        </is>
      </c>
      <c r="H349" s="29" t="inlineStr">
        <is>
          <t>Security</t>
        </is>
      </c>
      <c r="I349" s="29" t="inlineStr">
        <is>
          <t>Both</t>
        </is>
      </c>
      <c r="J349" s="29" t="n"/>
      <c r="K349" s="31" t="inlineStr">
        <is>
          <t>Blocked</t>
        </is>
      </c>
      <c r="L349" s="32" t="inlineStr">
        <is>
          <t>Claude (adb)</t>
        </is>
      </c>
      <c r="M349" s="33" t="n">
        <v>46301</v>
      </c>
      <c r="N349" s="32" t="inlineStr">
        <is>
          <t>1.0.0+1 debug</t>
        </is>
      </c>
      <c r="O349" s="32" t="inlineStr">
        <is>
          <t>emulator-5554 / Android 14</t>
        </is>
      </c>
      <c r="P349" s="32" t="n"/>
      <c r="Q349" s="32" t="inlineStr">
        <is>
          <t>6 Oct 2026: Server idle limit is 7 days; not waited out. A session the server ends sends the user to sign-in (BL-AUTH-049).</t>
        </is>
      </c>
    </row>
    <row r="350" ht="30" customHeight="1">
      <c r="A350" s="27" t="inlineStr">
        <is>
          <t>PERF-001</t>
        </is>
      </c>
      <c r="B350" s="28" t="inlineStr">
        <is>
          <t>21 Performance &amp; stability</t>
        </is>
      </c>
      <c r="C350" s="28" t="inlineStr">
        <is>
          <t>Startup</t>
        </is>
      </c>
      <c r="D350" s="28" t="inlineStr">
        <is>
          <t>Cold start time</t>
        </is>
      </c>
      <c r="E350" s="28" t="inlineStr">
        <is>
          <t>Measure cold start on a mid-range Android and an older iPhone (release build)</t>
        </is>
      </c>
      <c r="F350" s="28" t="inlineStr">
        <is>
          <t>First usable screen within about 3 s.</t>
        </is>
      </c>
      <c r="G350" s="29" t="inlineStr">
        <is>
          <t>P1</t>
        </is>
      </c>
      <c r="H350" s="29" t="inlineStr">
        <is>
          <t>Performance</t>
        </is>
      </c>
      <c r="I350" s="29" t="inlineStr">
        <is>
          <t>Both</t>
        </is>
      </c>
      <c r="J350" s="29" t="n"/>
      <c r="K350" s="31" t="inlineStr">
        <is>
          <t>Pass</t>
        </is>
      </c>
      <c r="L350" s="32" t="inlineStr">
        <is>
          <t>Claude (adb)</t>
        </is>
      </c>
      <c r="M350" s="33" t="n">
        <v>46301</v>
      </c>
      <c r="N350" s="32" t="inlineStr">
        <is>
          <t>1.0.0+1 debug</t>
        </is>
      </c>
      <c r="O350" s="32" t="inlineStr">
        <is>
          <t>emulator-5554 / Android 14</t>
        </is>
      </c>
      <c r="P350" s="32" t="n"/>
      <c r="Q350" s="32" t="inlineStr">
        <is>
          <t>6 Oct 2026: Release APK, signed in, force-stopped each time: Android reports the first frame at 495–749 ms (am start TotalTime); Home itself (navy header and search bar) appeared at 1.18–1.22 s in three runs, timed with 0.12 s screenshots. Measured on the Android 14 emulator (not a physical mid-range phone). No older iPhone available.</t>
        </is>
      </c>
    </row>
    <row r="351" ht="17" customHeight="1">
      <c r="A351" s="27" t="inlineStr">
        <is>
          <t>PERF-002</t>
        </is>
      </c>
      <c r="B351" s="28" t="inlineStr">
        <is>
          <t>21 Performance &amp; stability</t>
        </is>
      </c>
      <c r="C351" s="28" t="inlineStr">
        <is>
          <t>Startup</t>
        </is>
      </c>
      <c r="D351" s="28" t="inlineStr">
        <is>
          <t>Warm start time</t>
        </is>
      </c>
      <c r="E351" s="28" t="inlineStr">
        <is>
          <t>Background and reopen</t>
        </is>
      </c>
      <c r="F351" s="28" t="inlineStr">
        <is>
          <t>Resumes in under about 1.5 s on the same screen.</t>
        </is>
      </c>
      <c r="G351" s="29" t="inlineStr">
        <is>
          <t>P2</t>
        </is>
      </c>
      <c r="H351" s="29" t="inlineStr">
        <is>
          <t>Performance</t>
        </is>
      </c>
      <c r="I351" s="29" t="inlineStr">
        <is>
          <t>Both</t>
        </is>
      </c>
      <c r="J351" s="29" t="n"/>
      <c r="K351" s="31" t="inlineStr">
        <is>
          <t>Pass</t>
        </is>
      </c>
      <c r="L351" s="32" t="inlineStr">
        <is>
          <t>Claude (adb)</t>
        </is>
      </c>
      <c r="M351" s="33" t="n">
        <v>46301</v>
      </c>
      <c r="N351" s="32" t="inlineStr">
        <is>
          <t>1.0.0+1 debug</t>
        </is>
      </c>
      <c r="O351" s="32" t="inlineStr">
        <is>
          <t>emulator-5554 / Android 14</t>
        </is>
      </c>
      <c r="P351" s="32" t="n"/>
      <c r="Q351" s="32" t="inlineStr">
        <is>
          <t>6 Oct 2026: Release APK, Home key then reopen: HOT start, 35–49 ms to the same screen, three runs. Measured on the Android 14 emulator (not a physical mid-range phone).</t>
        </is>
      </c>
    </row>
    <row r="352" ht="30" customHeight="1">
      <c r="A352" s="27" t="inlineStr">
        <is>
          <t>PERF-003</t>
        </is>
      </c>
      <c r="B352" s="28" t="inlineStr">
        <is>
          <t>21 Performance &amp; stability</t>
        </is>
      </c>
      <c r="C352" s="28" t="inlineStr">
        <is>
          <t>Scrolling</t>
        </is>
      </c>
      <c r="D352" s="28" t="inlineStr">
        <is>
          <t>Lists scroll smoothly</t>
        </is>
      </c>
      <c r="E352" s="28" t="inlineStr">
        <is>
          <t>In profile mode scroll Appointments, Hospitals, Records and Notifications with the performance overlay</t>
        </is>
      </c>
      <c r="F352" s="28" t="inlineStr">
        <is>
          <t>No sustained jank; frames mostly under 16 ms.</t>
        </is>
      </c>
      <c r="G352" s="29" t="inlineStr">
        <is>
          <t>P1</t>
        </is>
      </c>
      <c r="H352" s="29" t="inlineStr">
        <is>
          <t>Performance</t>
        </is>
      </c>
      <c r="I352" s="29" t="inlineStr">
        <is>
          <t>Both</t>
        </is>
      </c>
      <c r="J352" s="29" t="n"/>
      <c r="K352" s="31" t="inlineStr">
        <is>
          <t>Pass</t>
        </is>
      </c>
      <c r="L352" s="32" t="inlineStr">
        <is>
          <t>Claude (adb)</t>
        </is>
      </c>
      <c r="M352" s="33" t="n">
        <v>46301</v>
      </c>
      <c r="N352" s="32" t="inlineStr">
        <is>
          <t>1.0.0+1 debug</t>
        </is>
      </c>
      <c r="O352" s="32" t="inlineStr">
        <is>
          <t>emulator-5554 / Android 14</t>
        </is>
      </c>
      <c r="P352" s="32" t="n"/>
      <c r="Q352" s="32" t="inlineStr">
        <is>
          <t>6 Oct 2026: Release APK, frame times from the compositor while flinging Appointments (Canceled, 29 rows), Notifications and Hospitals: median 16.6–16.7 ms (60 fps), 90th percentile 17.0–17.7 ms, frames over 33 ms 0–5% (emulator graphics). Android's own gfxinfo does not see Flutter's surface, so SurfaceFlinger latency was used; profile-mode overlay not run.</t>
        </is>
      </c>
    </row>
    <row r="353" ht="30" customHeight="1">
      <c r="A353" s="27" t="inlineStr">
        <is>
          <t>PERF-004</t>
        </is>
      </c>
      <c r="B353" s="28" t="inlineStr">
        <is>
          <t>21 Performance &amp; stability</t>
        </is>
      </c>
      <c r="C353" s="28" t="inlineStr">
        <is>
          <t>Memory</t>
        </is>
      </c>
      <c r="D353" s="28" t="inlineStr">
        <is>
          <t>No memory growth over a long session</t>
        </is>
      </c>
      <c r="E353" s="28" t="inlineStr">
        <is>
          <t>Use the app for 30 minutes across all tabs while watching memory</t>
        </is>
      </c>
      <c r="F353" s="28" t="inlineStr">
        <is>
          <t>Memory plateaus; no steady climb; no out-of-memory kill.</t>
        </is>
      </c>
      <c r="G353" s="29" t="inlineStr">
        <is>
          <t>P1</t>
        </is>
      </c>
      <c r="H353" s="29" t="inlineStr">
        <is>
          <t>Performance</t>
        </is>
      </c>
      <c r="I353" s="29" t="inlineStr">
        <is>
          <t>Both</t>
        </is>
      </c>
      <c r="J353" s="29" t="n"/>
      <c r="K353" s="31" t="inlineStr">
        <is>
          <t>Pass</t>
        </is>
      </c>
      <c r="L353" s="32" t="inlineStr">
        <is>
          <t>Claude (adb)</t>
        </is>
      </c>
      <c r="M353" s="33" t="n">
        <v>46301</v>
      </c>
      <c r="N353" s="32" t="inlineStr">
        <is>
          <t>1.0.0+1 debug</t>
        </is>
      </c>
      <c r="O353" s="32" t="inlineStr">
        <is>
          <t>emulator-5554 / Android 14</t>
        </is>
      </c>
      <c r="P353" s="32" t="n"/>
      <c r="Q353" s="32" t="inlineStr">
        <is>
          <t>6 Oct 2026: Release APK: memory (PSS) 121.6 MB at start, then 138.1 / 137.1 / 132.3 MB after three full 21-screen sweeps (about 6 minutes) — it levels off, no steady climb, no kill. A 30-minute session was not run.</t>
        </is>
      </c>
    </row>
    <row r="354" ht="30" customHeight="1">
      <c r="A354" s="27" t="inlineStr">
        <is>
          <t>PERF-005</t>
        </is>
      </c>
      <c r="B354" s="28" t="inlineStr">
        <is>
          <t>21 Performance &amp; stability</t>
        </is>
      </c>
      <c r="C354" s="28" t="inlineStr">
        <is>
          <t>Stability</t>
        </is>
      </c>
      <c r="D354" s="28" t="inlineStr">
        <is>
          <t>Monkey / soak test</t>
        </is>
      </c>
      <c r="E354" s="28" t="inlineStr">
        <is>
          <t>Run adb monkey (or an hour of random use) on the release build</t>
        </is>
      </c>
      <c r="F354" s="28" t="inlineStr">
        <is>
          <t>No crash or ANR.</t>
        </is>
      </c>
      <c r="G354" s="29" t="inlineStr">
        <is>
          <t>P1</t>
        </is>
      </c>
      <c r="H354" s="29" t="inlineStr">
        <is>
          <t>Performance</t>
        </is>
      </c>
      <c r="I354" s="29" t="inlineStr">
        <is>
          <t>Android</t>
        </is>
      </c>
      <c r="J354" s="29" t="n"/>
      <c r="K354" s="31" t="inlineStr">
        <is>
          <t>Pass</t>
        </is>
      </c>
      <c r="L354" s="32" t="inlineStr">
        <is>
          <t>Claude (adb)</t>
        </is>
      </c>
      <c r="M354" s="33" t="n">
        <v>46301</v>
      </c>
      <c r="N354" s="32" t="inlineStr">
        <is>
          <t>1.0.0+1 debug</t>
        </is>
      </c>
      <c r="O354" s="32" t="inlineStr">
        <is>
          <t>emulator-5554 / Android 14</t>
        </is>
      </c>
      <c r="P354" s="32" t="n"/>
      <c r="Q354" s="32" t="inlineStr">
        <is>
          <t>6 Oct 2026: Release APK, adb monkey 3,000 events (throttle 80 ms, no system keys or app switches) on the signed-out screens: 'Monkey finished', 0 crashes, 0 ANRs in logcat. Run signed out on purpose: random taps on the shared signed-in account could confirm destructive actions (delete account, remove family member).</t>
        </is>
      </c>
    </row>
    <row r="355" ht="17" customHeight="1">
      <c r="A355" s="27" t="inlineStr">
        <is>
          <t>PERF-006</t>
        </is>
      </c>
      <c r="B355" s="28" t="inlineStr">
        <is>
          <t>21 Performance &amp; stability</t>
        </is>
      </c>
      <c r="C355" s="28" t="inlineStr">
        <is>
          <t>Size</t>
        </is>
      </c>
      <c r="D355" s="28" t="inlineStr">
        <is>
          <t>App download size</t>
        </is>
      </c>
      <c r="E355" s="28" t="inlineStr">
        <is>
          <t>Check the AAB/IPA size reports</t>
        </is>
      </c>
      <c r="F355" s="28" t="inlineStr">
        <is>
          <t>Within the agreed budget; split per ABI on Android.</t>
        </is>
      </c>
      <c r="G355" s="29" t="inlineStr">
        <is>
          <t>P2</t>
        </is>
      </c>
      <c r="H355" s="29" t="inlineStr">
        <is>
          <t>Performance</t>
        </is>
      </c>
      <c r="I355" s="29" t="inlineStr">
        <is>
          <t>Both</t>
        </is>
      </c>
      <c r="J355" s="29" t="n"/>
      <c r="K355" s="31" t="inlineStr">
        <is>
          <t>Pass</t>
        </is>
      </c>
      <c r="L355" s="32" t="inlineStr">
        <is>
          <t>Claude (adb)</t>
        </is>
      </c>
      <c r="M355" s="33" t="n">
        <v>46301</v>
      </c>
      <c r="N355" s="32" t="inlineStr">
        <is>
          <t>1.0.0+1 debug</t>
        </is>
      </c>
      <c r="O355" s="32" t="inlineStr">
        <is>
          <t>emulator-5554 / Android 14</t>
        </is>
      </c>
      <c r="P355" s="32" t="n"/>
      <c r="Q355" s="32" t="inlineStr">
        <is>
          <t>6 Oct 2026: Universal release APK 69.9 MB; split per ABI: arm64-v8a 25.9 MB, armeabi-v7a 23.5 MB, x86_64 27.4 MB (Play's app bundle splits automatically). The size budget itself needs the owner's figure. IPA not built.</t>
        </is>
      </c>
    </row>
    <row r="356" ht="30" customHeight="1">
      <c r="A356" s="27" t="inlineStr">
        <is>
          <t>PERF-007</t>
        </is>
      </c>
      <c r="B356" s="28" t="inlineStr">
        <is>
          <t>21 Performance &amp; stability</t>
        </is>
      </c>
      <c r="C356" s="28" t="inlineStr">
        <is>
          <t>Network use</t>
        </is>
      </c>
      <c r="D356" s="28" t="inlineStr">
        <is>
          <t>No duplicate or wasteful requests</t>
        </is>
      </c>
      <c r="E356" s="28" t="inlineStr">
        <is>
          <t>With a proxy, open each main screen once</t>
        </is>
      </c>
      <c r="F356" s="28" t="inlineStr">
        <is>
          <t>Each resource is fetched once per visit; no polling while backgrounded.</t>
        </is>
      </c>
      <c r="G356" s="29" t="inlineStr">
        <is>
          <t>P2</t>
        </is>
      </c>
      <c r="H356" s="29" t="inlineStr">
        <is>
          <t>Performance</t>
        </is>
      </c>
      <c r="I356" s="29" t="inlineStr">
        <is>
          <t>Both</t>
        </is>
      </c>
      <c r="J356" s="29" t="n"/>
      <c r="K356" s="31" t="inlineStr">
        <is>
          <t>Pass</t>
        </is>
      </c>
      <c r="L356" s="32" t="inlineStr">
        <is>
          <t>Claude (adb)</t>
        </is>
      </c>
      <c r="M356" s="33" t="n">
        <v>46301</v>
      </c>
      <c r="N356" s="32" t="inlineStr">
        <is>
          <t>1.0.0+1 debug</t>
        </is>
      </c>
      <c r="O356" s="32" t="inlineStr">
        <is>
          <t>emulator-5554 / Android 14</t>
        </is>
      </c>
      <c r="P356" s="32" t="n"/>
      <c r="Q356" s="32" t="inlineStr">
        <is>
          <t>6 Oct 2026: Owner decision (BL-CACHE-001): each screen re-requests its data once per visit, as a conditional request (304 when unchanged); repeated pulls collapse to one request (BL-CACHE-025). Since the DEF-093 fix nothing runs in the background.</t>
        </is>
      </c>
    </row>
    <row r="357" ht="30" customHeight="1">
      <c r="A357" s="27" t="inlineStr">
        <is>
          <t>PERF-008</t>
        </is>
      </c>
      <c r="B357" s="28" t="inlineStr">
        <is>
          <t>21 Performance &amp; stability</t>
        </is>
      </c>
      <c r="C357" s="28" t="inlineStr">
        <is>
          <t>Battery</t>
        </is>
      </c>
      <c r="D357" s="28" t="inlineStr">
        <is>
          <t>Background behaviour</t>
        </is>
      </c>
      <c r="E357" s="28" t="inlineStr">
        <is>
          <t>1. Leave the app in the background for 30 minutes
2. Check battery and network use</t>
        </is>
      </c>
      <c r="F357" s="28" t="inlineStr">
        <is>
          <t>No timers, sockets or polling keep running.</t>
        </is>
      </c>
      <c r="G357" s="29" t="inlineStr">
        <is>
          <t>P2</t>
        </is>
      </c>
      <c r="H357" s="29" t="inlineStr">
        <is>
          <t>Performance</t>
        </is>
      </c>
      <c r="I357" s="29" t="inlineStr">
        <is>
          <t>Both</t>
        </is>
      </c>
      <c r="J357" s="29" t="n"/>
      <c r="K357" s="31" t="inlineStr">
        <is>
          <t>Pass</t>
        </is>
      </c>
      <c r="L357" s="32" t="inlineStr">
        <is>
          <t>Claude (adb)</t>
        </is>
      </c>
      <c r="M357" s="33" t="n">
        <v>46301</v>
      </c>
      <c r="N357" s="32" t="inlineStr">
        <is>
          <t>1.0.0+1 debug</t>
        </is>
      </c>
      <c r="O357" s="32" t="inlineStr">
        <is>
          <t>emulator-5554 / Android 14</t>
        </is>
      </c>
      <c r="P357" s="32" t="inlineStr">
        <is>
          <t>DEF-093</t>
        </is>
      </c>
      <c r="Q357" s="32" t="inlineStr">
        <is>
          <t>6 Oct 2026: FIXED (DEF-093). Found: with the app in the background the notifications socket kept reconnecting (1–2 connections to the server for the whole 2 minutes; the server drops idle sockets every few seconds, BB-04). Now the socket closes when the app is hidden and nothing retries: connections fell to 0 within about 12 s and stayed 0 for 90 s; on return it reconnects and re-reads the badge ('19 unread'). Battery use not measured.</t>
        </is>
      </c>
    </row>
    <row r="358" ht="30" customHeight="1">
      <c r="A358" s="27" t="inlineStr">
        <is>
          <t>PERF-009</t>
        </is>
      </c>
      <c r="B358" s="28" t="inlineStr">
        <is>
          <t>21 Performance &amp; stability</t>
        </is>
      </c>
      <c r="C358" s="28" t="inlineStr">
        <is>
          <t>Large data</t>
        </is>
      </c>
      <c r="D358" s="28" t="inlineStr">
        <is>
          <t>Accounts with a lot of data</t>
        </is>
      </c>
      <c r="E358" s="28" t="inlineStr">
        <is>
          <t>Use an account with 200+ appointments, notifications and records</t>
        </is>
      </c>
      <c r="F358" s="28" t="inlineStr">
        <is>
          <t>Lists paginate and stay responsive.</t>
        </is>
      </c>
      <c r="G358" s="29" t="inlineStr">
        <is>
          <t>P2</t>
        </is>
      </c>
      <c r="H358" s="29" t="inlineStr">
        <is>
          <t>Performance</t>
        </is>
      </c>
      <c r="I358" s="29" t="inlineStr">
        <is>
          <t>Both</t>
        </is>
      </c>
      <c r="J358" s="29" t="n"/>
      <c r="K358" s="31" t="inlineStr">
        <is>
          <t>Blocked</t>
        </is>
      </c>
      <c r="L358" s="32" t="inlineStr">
        <is>
          <t>Claude (adb)</t>
        </is>
      </c>
      <c r="M358" s="33" t="n">
        <v>46301</v>
      </c>
      <c r="N358" s="32" t="inlineStr">
        <is>
          <t>1.0.0+1 debug</t>
        </is>
      </c>
      <c r="O358" s="32" t="inlineStr">
        <is>
          <t>emulator-5554 / Android 14</t>
        </is>
      </c>
      <c r="P358" s="32" t="n"/>
      <c r="Q358" s="32" t="inlineStr">
        <is>
          <t>6 Oct 2026: No account with 200+ appointments, notifications or records (Sanjay: 34 appointments, 66 notifications, 2 records). BB-10.</t>
        </is>
      </c>
    </row>
    <row r="359" ht="17" customHeight="1">
      <c r="A359" s="27" t="inlineStr">
        <is>
          <t>PERF-010</t>
        </is>
      </c>
      <c r="B359" s="28" t="inlineStr">
        <is>
          <t>21 Performance &amp; stability</t>
        </is>
      </c>
      <c r="C359" s="28" t="inlineStr">
        <is>
          <t>Low-end</t>
        </is>
      </c>
      <c r="D359" s="28" t="inlineStr">
        <is>
          <t>Low-end device</t>
        </is>
      </c>
      <c r="E359" s="28" t="inlineStr">
        <is>
          <t>Run the core journeys on a 2–3 GB RAM Android device</t>
        </is>
      </c>
      <c r="F359" s="28" t="inlineStr">
        <is>
          <t>Usable; no crashes; animations acceptable.</t>
        </is>
      </c>
      <c r="G359" s="29" t="inlineStr">
        <is>
          <t>P1</t>
        </is>
      </c>
      <c r="H359" s="29" t="inlineStr">
        <is>
          <t>Performance</t>
        </is>
      </c>
      <c r="I359" s="29" t="inlineStr">
        <is>
          <t>Android</t>
        </is>
      </c>
      <c r="J359" s="29" t="n"/>
      <c r="K359" s="31" t="inlineStr">
        <is>
          <t>Blocked</t>
        </is>
      </c>
      <c r="L359" s="32" t="inlineStr">
        <is>
          <t>Claude (adb)</t>
        </is>
      </c>
      <c r="M359" s="33" t="n">
        <v>46301</v>
      </c>
      <c r="N359" s="32" t="inlineStr">
        <is>
          <t>1.0.0+1 debug</t>
        </is>
      </c>
      <c r="O359" s="32" t="inlineStr">
        <is>
          <t>emulator-5554 / Android 14</t>
        </is>
      </c>
      <c r="P359" s="32" t="n"/>
      <c r="Q359" s="32" t="inlineStr">
        <is>
          <t>6 Oct 2026: No 2–3 GB RAM Android phone available; only the emulator.</t>
        </is>
      </c>
    </row>
    <row r="360" ht="30" customHeight="1">
      <c r="A360" s="27" t="inlineStr">
        <is>
          <t>PERF-011</t>
        </is>
      </c>
      <c r="B360" s="28" t="inlineStr">
        <is>
          <t>21 Performance &amp; stability</t>
        </is>
      </c>
      <c r="C360" s="28" t="inlineStr">
        <is>
          <t>Storage</t>
        </is>
      </c>
      <c r="D360" s="28" t="inlineStr">
        <is>
          <t>Device storage almost full</t>
        </is>
      </c>
      <c r="E360" s="28" t="inlineStr">
        <is>
          <t>1. Fill device storage
2. Use the app and try an upload</t>
        </is>
      </c>
      <c r="F360" s="28" t="inlineStr">
        <is>
          <t>Graceful errors; no crash or corrupted cache.</t>
        </is>
      </c>
      <c r="G360" s="29" t="inlineStr">
        <is>
          <t>P3</t>
        </is>
      </c>
      <c r="H360" s="29" t="inlineStr">
        <is>
          <t>Negative</t>
        </is>
      </c>
      <c r="I360" s="29" t="inlineStr">
        <is>
          <t>Both</t>
        </is>
      </c>
      <c r="J360" s="29" t="n"/>
      <c r="K360" s="31" t="inlineStr">
        <is>
          <t>Blocked</t>
        </is>
      </c>
      <c r="L360" s="32" t="inlineStr">
        <is>
          <t>Claude (adb)</t>
        </is>
      </c>
      <c r="M360" s="33" t="n">
        <v>46301</v>
      </c>
      <c r="N360" s="32" t="inlineStr">
        <is>
          <t>1.0.0+1 debug</t>
        </is>
      </c>
      <c r="O360" s="32" t="inlineStr">
        <is>
          <t>emulator-5554 / Android 14</t>
        </is>
      </c>
      <c r="P360" s="32" t="n"/>
      <c r="Q360" s="32" t="inlineStr">
        <is>
          <t>6 Oct 2026: Filling the device storage was not done (it would affect the shared emulator). A padded app store and a corrupted box are handled (BL-CACHE-011, -013); uploads fail on this server anyway (KB-01).</t>
        </is>
      </c>
    </row>
    <row r="361" ht="30" customHeight="1">
      <c r="A361" s="27" t="inlineStr">
        <is>
          <t>PERF-012</t>
        </is>
      </c>
      <c r="B361" s="28" t="inlineStr">
        <is>
          <t>21 Performance &amp; stability</t>
        </is>
      </c>
      <c r="C361" s="28" t="inlineStr">
        <is>
          <t>Images</t>
        </is>
      </c>
      <c r="D361" s="28" t="inlineStr">
        <is>
          <t>Image memory and caching</t>
        </is>
      </c>
      <c r="E361" s="28" t="inlineStr">
        <is>
          <t>Scroll long lists of doctors/hospitals with photos</t>
        </is>
      </c>
      <c r="F361" s="28" t="inlineStr">
        <is>
          <t>Images are cached and sized appropriately; no flicker on revisit.</t>
        </is>
      </c>
      <c r="G361" s="29" t="inlineStr">
        <is>
          <t>P2</t>
        </is>
      </c>
      <c r="H361" s="29" t="inlineStr">
        <is>
          <t>Performance</t>
        </is>
      </c>
      <c r="I361" s="29" t="inlineStr">
        <is>
          <t>Both</t>
        </is>
      </c>
      <c r="J361" s="29" t="n"/>
      <c r="K361" s="31" t="inlineStr">
        <is>
          <t>Blocked</t>
        </is>
      </c>
      <c r="L361" s="32" t="inlineStr">
        <is>
          <t>Claude (adb)</t>
        </is>
      </c>
      <c r="M361" s="33" t="n">
        <v>46301</v>
      </c>
      <c r="N361" s="32" t="inlineStr">
        <is>
          <t>1.0.0+1 debug</t>
        </is>
      </c>
      <c r="O361" s="32" t="inlineStr">
        <is>
          <t>emulator-5554 / Android 14</t>
        </is>
      </c>
      <c r="P361" s="32" t="n"/>
      <c r="Q361" s="32" t="inlineStr">
        <is>
          <t>6 Oct 2026: All images on this server fail to load (storage.fake.local, KB-01), so image caching and sizing cannot be observed; the placeholders render without flicker on revisit.</t>
        </is>
      </c>
    </row>
    <row r="362" ht="30" customHeight="1">
      <c r="A362" s="27" t="inlineStr">
        <is>
          <t>UI-001</t>
        </is>
      </c>
      <c r="B362" s="28" t="inlineStr">
        <is>
          <t>22 UI, responsiveness &amp; accessibility</t>
        </is>
      </c>
      <c r="C362" s="28" t="inlineStr">
        <is>
          <t>Small screen</t>
        </is>
      </c>
      <c r="D362" s="28" t="inlineStr">
        <is>
          <t>Small phone layout</t>
        </is>
      </c>
      <c r="E362" s="28" t="inlineStr">
        <is>
          <t>Run every screen on a 360 x 640 dp Android and an iPhone SE</t>
        </is>
      </c>
      <c r="F362" s="28" t="inlineStr">
        <is>
          <t>No overflow stripes, clipped text or unreachable buttons.</t>
        </is>
      </c>
      <c r="G362" s="29" t="inlineStr">
        <is>
          <t>P0</t>
        </is>
      </c>
      <c r="H362" s="29" t="inlineStr">
        <is>
          <t>UI</t>
        </is>
      </c>
      <c r="I362" s="29" t="inlineStr">
        <is>
          <t>Both</t>
        </is>
      </c>
      <c r="J362" s="29" t="n"/>
      <c r="K362" s="31" t="inlineStr">
        <is>
          <t>Pass</t>
        </is>
      </c>
      <c r="L362" s="32" t="inlineStr">
        <is>
          <t>Claude (adb)</t>
        </is>
      </c>
      <c r="M362" s="33" t="n">
        <v>46301</v>
      </c>
      <c r="N362" s="32" t="inlineStr">
        <is>
          <t>1.0.0+1 debug</t>
        </is>
      </c>
      <c r="O362" s="32" t="inlineStr">
        <is>
          <t>emulator-5554 / Android 14</t>
        </is>
      </c>
      <c r="P362" s="32" t="n"/>
      <c r="Q362" s="32" t="inlineStr">
        <is>
          <t>6 Oct 2026: Emulator set to 720x1280 at 320 dpi (360 x 640 dp). Visited 21 screens (Home, the four tabs, notifications, support, FAQ, insurance, family, Edit Profile, doctor, hospital, appointment, receipt, booking, hospitals, search, ambulance, a ticket, devices, Terms), scrolling each, and counted Flutter 'overflowed by' errors in the debug log: 0. Screenshots of Appointment Details and Home: nothing clipped, all buttons reachable. iPhone SE not run.</t>
        </is>
      </c>
    </row>
    <row r="363" ht="30" customHeight="1">
      <c r="A363" s="27" t="inlineStr">
        <is>
          <t>UI-002</t>
        </is>
      </c>
      <c r="B363" s="28" t="inlineStr">
        <is>
          <t>22 UI, responsiveness &amp; accessibility</t>
        </is>
      </c>
      <c r="C363" s="28" t="inlineStr">
        <is>
          <t>Large screen</t>
        </is>
      </c>
      <c r="D363" s="28" t="inlineStr">
        <is>
          <t>Large phone layout</t>
        </is>
      </c>
      <c r="E363" s="28" t="inlineStr">
        <is>
          <t>Run every screen on a 6.7" phone</t>
        </is>
      </c>
      <c r="F363" s="28" t="inlineStr">
        <is>
          <t>Proportions hold; nothing stretched or tiny.</t>
        </is>
      </c>
      <c r="G363" s="29" t="inlineStr">
        <is>
          <t>P1</t>
        </is>
      </c>
      <c r="H363" s="29" t="inlineStr">
        <is>
          <t>UI</t>
        </is>
      </c>
      <c r="I363" s="29" t="inlineStr">
        <is>
          <t>Both</t>
        </is>
      </c>
      <c r="J363" s="29" t="n"/>
      <c r="K363" s="31" t="inlineStr">
        <is>
          <t>Pass</t>
        </is>
      </c>
      <c r="L363" s="32" t="inlineStr">
        <is>
          <t>Claude (adb)</t>
        </is>
      </c>
      <c r="M363" s="33" t="n">
        <v>46301</v>
      </c>
      <c r="N363" s="32" t="inlineStr">
        <is>
          <t>1.0.0+1 debug</t>
        </is>
      </c>
      <c r="O363" s="32" t="inlineStr">
        <is>
          <t>emulator-5554 / Android 14</t>
        </is>
      </c>
      <c r="P363" s="32" t="n"/>
      <c r="Q363" s="32" t="inlineStr">
        <is>
          <t>6 Oct 2026: Emulator set to 1440x3120 at 560 dpi (about 411 dp, a 6.7" class phone). Visited 21 screens (Home, the four tabs, notifications, support, FAQ, insurance, family, Edit Profile, doctor, hospital, appointment, receipt, booking, hospitals, search, ambulance, a ticket, devices, Terms), scrolling each, and counted Flutter 'overflowed by' errors in the debug log: 0. ScreenUtil scales the 390-wide design to the width, so proportions hold.</t>
        </is>
      </c>
    </row>
    <row r="364" ht="30" customHeight="1">
      <c r="A364" s="27" t="inlineStr">
        <is>
          <t>UI-003</t>
        </is>
      </c>
      <c r="B364" s="28" t="inlineStr">
        <is>
          <t>22 UI, responsiveness &amp; accessibility</t>
        </is>
      </c>
      <c r="C364" s="28" t="inlineStr">
        <is>
          <t>Tablet</t>
        </is>
      </c>
      <c r="D364" s="28" t="inlineStr">
        <is>
          <t>Tablet layout (if distributed to tablets)</t>
        </is>
      </c>
      <c r="E364" s="28" t="inlineStr">
        <is>
          <t>Run on an iPad and an Android tablet</t>
        </is>
      </c>
      <c r="F364" s="28" t="inlineStr">
        <is>
          <t>Usable layout, or tablets are excluded in the store listing.</t>
        </is>
      </c>
      <c r="G364" s="29" t="inlineStr">
        <is>
          <t>P2</t>
        </is>
      </c>
      <c r="H364" s="29" t="inlineStr">
        <is>
          <t>UI</t>
        </is>
      </c>
      <c r="I364" s="29" t="inlineStr">
        <is>
          <t>Both</t>
        </is>
      </c>
      <c r="J364" s="29" t="n"/>
      <c r="K364" s="31" t="inlineStr">
        <is>
          <t>Pass</t>
        </is>
      </c>
      <c r="L364" s="32" t="inlineStr">
        <is>
          <t>Claude (adb)</t>
        </is>
      </c>
      <c r="M364" s="33" t="n">
        <v>46301</v>
      </c>
      <c r="N364" s="32" t="inlineStr">
        <is>
          <t>1.0.0+1 debug</t>
        </is>
      </c>
      <c r="O364" s="32" t="inlineStr">
        <is>
          <t>emulator-5554 / Android 14</t>
        </is>
      </c>
      <c r="P364" s="32" t="n"/>
      <c r="Q364" s="32" t="inlineStr">
        <is>
          <t>6 Oct 2026: The iOS target includes iPad (TARGETED_DEVICE_FAMILY 1,2) and Android has no size limit, so tablets are in scope. Simulated 800 dp tablet (1600x2560 @320): 0 overflow on the 21-screen sweep; the phone layout is scaled up to the width — usable but large. iPad not run. Owner may prefer to exclude tablets in the store listing.</t>
        </is>
      </c>
    </row>
    <row r="365" ht="30" customHeight="1">
      <c r="A365" s="27" t="inlineStr">
        <is>
          <t>UI-004</t>
        </is>
      </c>
      <c r="B365" s="28" t="inlineStr">
        <is>
          <t>22 UI, responsiveness &amp; accessibility</t>
        </is>
      </c>
      <c r="C365" s="28" t="inlineStr">
        <is>
          <t>Design</t>
        </is>
      </c>
      <c r="D365" s="28" t="inlineStr">
        <is>
          <t>Screens match the design spec</t>
        </is>
      </c>
      <c r="E365" s="28" t="inlineStr">
        <is>
          <t>Compare key screens with docs/DESIGN-SPEC.md / Figma (login, home, booking, payment, appointments, records, profile)</t>
        </is>
      </c>
      <c r="F365" s="28" t="inlineStr">
        <is>
          <t>Spacing, type, colour and components match within tolerance.</t>
        </is>
      </c>
      <c r="G365" s="29" t="inlineStr">
        <is>
          <t>P1</t>
        </is>
      </c>
      <c r="H365" s="29" t="inlineStr">
        <is>
          <t>UI</t>
        </is>
      </c>
      <c r="I365" s="29" t="inlineStr">
        <is>
          <t>Both</t>
        </is>
      </c>
      <c r="J365" s="29" t="n"/>
      <c r="K365" s="31" t="inlineStr">
        <is>
          <t>Not Run</t>
        </is>
      </c>
      <c r="L365" s="32" t="inlineStr">
        <is>
          <t>Claude (adb)</t>
        </is>
      </c>
      <c r="M365" s="33" t="n">
        <v>46301</v>
      </c>
      <c r="N365" s="32" t="inlineStr">
        <is>
          <t>1.0.0+1 debug</t>
        </is>
      </c>
      <c r="O365" s="32" t="inlineStr">
        <is>
          <t>emulator-5554 / Android 14</t>
        </is>
      </c>
      <c r="P365" s="32" t="n"/>
      <c r="Q365" s="32" t="inlineStr">
        <is>
          <t>6 Oct 2026: Not done in this pass: a value-by-value comparison of key screens with docs/DESIGN-SPEC.md / Figma (the flutter-design-qa audit) is a separate review.</t>
        </is>
      </c>
    </row>
    <row r="366" ht="30" customHeight="1">
      <c r="A366" s="27" t="inlineStr">
        <is>
          <t>UI-005</t>
        </is>
      </c>
      <c r="B366" s="28" t="inlineStr">
        <is>
          <t>22 UI, responsiveness &amp; accessibility</t>
        </is>
      </c>
      <c r="C366" s="28" t="inlineStr">
        <is>
          <t>Text scale</t>
        </is>
      </c>
      <c r="D366" s="28" t="inlineStr">
        <is>
          <t>Large system font</t>
        </is>
      </c>
      <c r="E366" s="28" t="inlineStr">
        <is>
          <t>Set the system font to the largest size</t>
        </is>
      </c>
      <c r="F366" s="28" t="inlineStr">
        <is>
          <t>Text is clamped sensibly; nothing essential is truncated or overlapped.</t>
        </is>
      </c>
      <c r="G366" s="29" t="inlineStr">
        <is>
          <t>P1</t>
        </is>
      </c>
      <c r="H366" s="29" t="inlineStr">
        <is>
          <t>Accessibility</t>
        </is>
      </c>
      <c r="I366" s="29" t="inlineStr">
        <is>
          <t>Both</t>
        </is>
      </c>
      <c r="J366" s="29" t="n"/>
      <c r="K366" s="31" t="inlineStr">
        <is>
          <t>Pass</t>
        </is>
      </c>
      <c r="L366" s="32" t="inlineStr">
        <is>
          <t>Claude (adb)</t>
        </is>
      </c>
      <c r="M366" s="33" t="n">
        <v>46301</v>
      </c>
      <c r="N366" s="32" t="inlineStr">
        <is>
          <t>1.0.0+1 debug</t>
        </is>
      </c>
      <c r="O366" s="32" t="inlineStr">
        <is>
          <t>emulator-5554 / Android 14</t>
        </is>
      </c>
      <c r="P366" s="32" t="n"/>
      <c r="Q366" s="32" t="inlineStr">
        <is>
          <t>6 Oct 2026: System font scale 2.0 (largest): the app clamps text to 1.3x (AppConstants.maxTextScale); Visited 21 screens (Home, the four tabs, notifications, support, FAQ, insurance, family, Edit Profile, doctor, hospital, appointment, receipt, booking, hospitals, search, ambulance, a ticket, devices, Terms), scrolling each, and counted Flutter 'overflowed by' errors in the debug log: 0.</t>
        </is>
      </c>
    </row>
    <row r="367" ht="30" customHeight="1">
      <c r="A367" s="27" t="inlineStr">
        <is>
          <t>UI-006</t>
        </is>
      </c>
      <c r="B367" s="28" t="inlineStr">
        <is>
          <t>22 UI, responsiveness &amp; accessibility</t>
        </is>
      </c>
      <c r="C367" s="28" t="inlineStr">
        <is>
          <t>Display size</t>
        </is>
      </c>
      <c r="D367" s="28" t="inlineStr">
        <is>
          <t>Largest display size / zoom</t>
        </is>
      </c>
      <c r="E367" s="28" t="inlineStr">
        <is>
          <t>Android: largest display size. iOS: Display Zoom</t>
        </is>
      </c>
      <c r="F367" s="28" t="inlineStr">
        <is>
          <t>Layouts still fit.</t>
        </is>
      </c>
      <c r="G367" s="29" t="inlineStr">
        <is>
          <t>P2</t>
        </is>
      </c>
      <c r="H367" s="29" t="inlineStr">
        <is>
          <t>Accessibility</t>
        </is>
      </c>
      <c r="I367" s="29" t="inlineStr">
        <is>
          <t>Both</t>
        </is>
      </c>
      <c r="J367" s="29" t="n"/>
      <c r="K367" s="31" t="inlineStr">
        <is>
          <t>Pass</t>
        </is>
      </c>
      <c r="L367" s="32" t="inlineStr">
        <is>
          <t>Claude (adb)</t>
        </is>
      </c>
      <c r="M367" s="33" t="n">
        <v>46301</v>
      </c>
      <c r="N367" s="32" t="inlineStr">
        <is>
          <t>1.0.0+1 debug</t>
        </is>
      </c>
      <c r="O367" s="32" t="inlineStr">
        <is>
          <t>emulator-5554 / Android 14</t>
        </is>
      </c>
      <c r="P367" s="32" t="n"/>
      <c r="Q367" s="32" t="inlineStr">
        <is>
          <t>6 Oct 2026: Largest display size (density 560 on the 1080-wide screen, about 308 dp): Visited 21 screens (Home, the four tabs, notifications, support, FAQ, insurance, family, Edit Profile, doctor, hospital, appointment, receipt, booking, hospitals, search, ambulance, a ticket, devices, Terms), scrolling each, and counted Flutter 'overflowed by' errors in the debug log: 0; Profile and Doctor screenshots fit.</t>
        </is>
      </c>
    </row>
    <row r="368" ht="30" customHeight="1">
      <c r="A368" s="27" t="inlineStr">
        <is>
          <t>UI-007</t>
        </is>
      </c>
      <c r="B368" s="28" t="inlineStr">
        <is>
          <t>22 UI, responsiveness &amp; accessibility</t>
        </is>
      </c>
      <c r="C368" s="28" t="inlineStr">
        <is>
          <t>Keyboard</t>
        </is>
      </c>
      <c r="D368" s="28" t="inlineStr">
        <is>
          <t>Keyboard does not hide inputs</t>
        </is>
      </c>
      <c r="E368" s="28" t="inlineStr">
        <is>
          <t>Focus every field on every form, especially the lowest ones</t>
        </is>
      </c>
      <c r="F368" s="28" t="inlineStr">
        <is>
          <t>Field scrolls into view; submit stays reachable; keyboard type suits the field.</t>
        </is>
      </c>
      <c r="G368" s="29" t="inlineStr">
        <is>
          <t>P1</t>
        </is>
      </c>
      <c r="H368" s="29" t="inlineStr">
        <is>
          <t>UI</t>
        </is>
      </c>
      <c r="I368" s="29" t="inlineStr">
        <is>
          <t>Both</t>
        </is>
      </c>
      <c r="J368" s="29" t="n"/>
      <c r="K368" s="31" t="inlineStr">
        <is>
          <t>Pass</t>
        </is>
      </c>
      <c r="L368" s="32" t="inlineStr">
        <is>
          <t>Claude (adb)</t>
        </is>
      </c>
      <c r="M368" s="33" t="n">
        <v>46301</v>
      </c>
      <c r="N368" s="32" t="inlineStr">
        <is>
          <t>1.0.0+1 debug</t>
        </is>
      </c>
      <c r="O368" s="32" t="inlineStr">
        <is>
          <t>emulator-5554 / Android 14</t>
        </is>
      </c>
      <c r="P368" s="32" t="n"/>
      <c r="Q368" s="32" t="inlineStr">
        <is>
          <t>6 Oct 2026: Forms used today (sign-up down to the PIN code, Edit Profile, family member, insurance, ticket reply, change password): the focused field scrolls above the keyboard and the submit button stays reachable; mobile and code fields open a number pad, email fields an email keyboard.</t>
        </is>
      </c>
    </row>
    <row r="369" ht="30" customHeight="1">
      <c r="A369" s="27" t="inlineStr">
        <is>
          <t>UI-008</t>
        </is>
      </c>
      <c r="B369" s="28" t="inlineStr">
        <is>
          <t>22 UI, responsiveness &amp; accessibility</t>
        </is>
      </c>
      <c r="C369" s="28" t="inlineStr">
        <is>
          <t>Safe areas</t>
        </is>
      </c>
      <c r="D369" s="28" t="inlineStr">
        <is>
          <t>Notch, Dynamic Island and gesture bar</t>
        </is>
      </c>
      <c r="E369" s="28" t="inlineStr">
        <is>
          <t>Check headers, bottom nav and sheets on notched devices and with gesture navigation</t>
        </is>
      </c>
      <c r="F369" s="28" t="inlineStr">
        <is>
          <t>Nothing is hidden under system areas.</t>
        </is>
      </c>
      <c r="G369" s="29" t="inlineStr">
        <is>
          <t>P1</t>
        </is>
      </c>
      <c r="H369" s="29" t="inlineStr">
        <is>
          <t>UI</t>
        </is>
      </c>
      <c r="I369" s="29" t="inlineStr">
        <is>
          <t>Both</t>
        </is>
      </c>
      <c r="J369" s="29" t="n"/>
      <c r="K369" s="31" t="inlineStr">
        <is>
          <t>Pass</t>
        </is>
      </c>
      <c r="L369" s="32" t="inlineStr">
        <is>
          <t>Claude (adb)</t>
        </is>
      </c>
      <c r="M369" s="33" t="n">
        <v>46301</v>
      </c>
      <c r="N369" s="32" t="inlineStr">
        <is>
          <t>1.0.0+1 debug</t>
        </is>
      </c>
      <c r="O369" s="32" t="inlineStr">
        <is>
          <t>emulator-5554 / Android 14</t>
        </is>
      </c>
      <c r="P369" s="32" t="n"/>
      <c r="Q369" s="32" t="inlineStr">
        <is>
          <t>6 Oct 2026: Gesture navigation on the emulator: headers clear the status bar and the bottom nav, footers and sheets sit above the gesture bar (screenshots throughout). No notched device or Dynamic Island in this run.</t>
        </is>
      </c>
    </row>
    <row r="370" ht="30" customHeight="1">
      <c r="A370" s="27" t="inlineStr">
        <is>
          <t>UI-009</t>
        </is>
      </c>
      <c r="B370" s="28" t="inlineStr">
        <is>
          <t>22 UI, responsiveness &amp; accessibility</t>
        </is>
      </c>
      <c r="C370" s="28" t="inlineStr">
        <is>
          <t>Long content</t>
        </is>
      </c>
      <c r="D370" s="28" t="inlineStr">
        <is>
          <t>Long and non-Latin text</t>
        </is>
      </c>
      <c r="E370" s="28" t="inlineStr">
        <is>
          <t>Use 50+ character names, long hospital names, Malayalam/Hindi names, emoji</t>
        </is>
      </c>
      <c r="F370" s="28" t="inlineStr">
        <is>
          <t>Text wraps or ellipsises; no overflow.</t>
        </is>
      </c>
      <c r="G370" s="29" t="inlineStr">
        <is>
          <t>P1</t>
        </is>
      </c>
      <c r="H370" s="29" t="inlineStr">
        <is>
          <t>UI</t>
        </is>
      </c>
      <c r="I370" s="29" t="inlineStr">
        <is>
          <t>Both</t>
        </is>
      </c>
      <c r="J370" s="29" t="n"/>
      <c r="K370" s="31" t="inlineStr">
        <is>
          <t>Pass</t>
        </is>
      </c>
      <c r="L370" s="32" t="inlineStr">
        <is>
          <t>Claude (adb)</t>
        </is>
      </c>
      <c r="M370" s="33" t="n">
        <v>46301</v>
      </c>
      <c r="N370" s="32" t="inlineStr">
        <is>
          <t>1.0.0+1 debug</t>
        </is>
      </c>
      <c r="O370" s="32" t="inlineStr">
        <is>
          <t>emulator-5554 / Android 14</t>
        </is>
      </c>
      <c r="P370" s="32" t="inlineStr">
        <is>
          <t>DEF-092</t>
        </is>
      </c>
      <c r="Q370" s="32" t="inlineStr">
        <is>
          <t>6 Oct 2026: FIXED (DEF-092). A family member created via the API as 'ശ്രീലക്ഷ്മി वर्मा-Venkatanarasimharajuvaripeta Subrahmanyam 🌸' renders on the Family list wrapped over four lines with Malayalam initials, no overflow; long hospital names ellipsise on Home cards ('Lakeshore Multispeciality H…'); 200-character search wraps. Found: the app's name rule only allowed A–Z, so a Malayalam or Hindi name could not be typed (the server accepts them). Now letters of any script are allowed (digits/symbols/emoji still refused); tests in validators_test.dart. Test member deleted.</t>
        </is>
      </c>
    </row>
    <row r="371" ht="30" customHeight="1">
      <c r="A371" s="27" t="inlineStr">
        <is>
          <t>UI-010</t>
        </is>
      </c>
      <c r="B371" s="28" t="inlineStr">
        <is>
          <t>22 UI, responsiveness &amp; accessibility</t>
        </is>
      </c>
      <c r="C371" s="28" t="inlineStr">
        <is>
          <t>Formats</t>
        </is>
      </c>
      <c r="D371" s="28" t="inlineStr">
        <is>
          <t>Currency and date formats</t>
        </is>
      </c>
      <c r="E371" s="28" t="inlineStr">
        <is>
          <t>Review all amounts and dates</t>
        </is>
      </c>
      <c r="F371" s="28" t="inlineStr">
        <is>
          <t>Rupee symbol with correct grouping and two decimals; dates and times are consistent throughout.</t>
        </is>
      </c>
      <c r="G371" s="29" t="inlineStr">
        <is>
          <t>P1</t>
        </is>
      </c>
      <c r="H371" s="29" t="inlineStr">
        <is>
          <t>UI</t>
        </is>
      </c>
      <c r="I371" s="29" t="inlineStr">
        <is>
          <t>Both</t>
        </is>
      </c>
      <c r="J371" s="29" t="n"/>
      <c r="K371" s="31" t="inlineStr">
        <is>
          <t>Pass</t>
        </is>
      </c>
      <c r="L371" s="32" t="inlineStr">
        <is>
          <t>Claude (adb)</t>
        </is>
      </c>
      <c r="M371" s="33" t="n">
        <v>46301</v>
      </c>
      <c r="N371" s="32" t="inlineStr">
        <is>
          <t>1.0.0+1 debug</t>
        </is>
      </c>
      <c r="O371" s="32" t="inlineStr">
        <is>
          <t>emulator-5554 / Android 14</t>
        </is>
      </c>
      <c r="P371" s="32" t="n"/>
      <c r="Q371" s="32" t="inlineStr">
        <is>
          <t>6 Oct 2026: OWNER DECISION: the amount shown must be the amount Razorpay is opened with. Both come from the server's payment order: the Pay button reads 'Pay &lt;Money.inr(order.amountPaise)&gt; with Razorpay' and the checkout options carry amount = order.amountPaise (paise), currency INR, the order id. New test razorpay_amount_test.dart (42,400 / 42,450 / 100,000 paise): the options' amount equals the amount on the button. If the order differs from the quote, the app shows a price-change dialog first (BL-BOOK-035). Whole rupees show as ₹424, other amounts with paise (₹424.50). The real Razorpay sheet cannot be opened on this server (KB-02).</t>
        </is>
      </c>
    </row>
    <row r="372" ht="30" customHeight="1">
      <c r="A372" s="27" t="inlineStr">
        <is>
          <t>UI-011</t>
        </is>
      </c>
      <c r="B372" s="28" t="inlineStr">
        <is>
          <t>22 UI, responsiveness &amp; accessibility</t>
        </is>
      </c>
      <c r="C372" s="28" t="inlineStr">
        <is>
          <t>Locale</t>
        </is>
      </c>
      <c r="D372" s="28" t="inlineStr">
        <is>
          <t>Non-English device language</t>
        </is>
      </c>
      <c r="E372" s="28" t="inlineStr">
        <is>
          <t>Set the device to Hindi, Malayalam and Arabic (RTL)</t>
        </is>
      </c>
      <c r="F372" s="28" t="inlineStr">
        <is>
          <t>App stays fully usable; system pickers behave; no mirrored/broken layouts.</t>
        </is>
      </c>
      <c r="G372" s="29" t="inlineStr">
        <is>
          <t>P2</t>
        </is>
      </c>
      <c r="H372" s="29" t="inlineStr">
        <is>
          <t>Compatibility</t>
        </is>
      </c>
      <c r="I372" s="29" t="inlineStr">
        <is>
          <t>Both</t>
        </is>
      </c>
      <c r="J372" s="29" t="n"/>
      <c r="K372" s="31" t="inlineStr">
        <is>
          <t>Pass</t>
        </is>
      </c>
      <c r="L372" s="32" t="inlineStr">
        <is>
          <t>Claude (adb)</t>
        </is>
      </c>
      <c r="M372" s="33" t="n">
        <v>46301</v>
      </c>
      <c r="N372" s="32" t="inlineStr">
        <is>
          <t>1.0.0+1 debug</t>
        </is>
      </c>
      <c r="O372" s="32" t="inlineStr">
        <is>
          <t>emulator-5554 / Android 14</t>
        </is>
      </c>
      <c r="P372" s="32" t="n"/>
      <c r="Q372" s="32" t="inlineStr">
        <is>
          <t>6 Oct 2026: App language set to Hindi and to Arabic (cmd locale set-app-locales): the app stays usable; its own copy and date picker stay English and left-to-right, nothing mirrored or broken. Reset to English.</t>
        </is>
      </c>
    </row>
    <row r="373" ht="30" customHeight="1">
      <c r="A373" s="27" t="inlineStr">
        <is>
          <t>UI-012</t>
        </is>
      </c>
      <c r="B373" s="28" t="inlineStr">
        <is>
          <t>22 UI, responsiveness &amp; accessibility</t>
        </is>
      </c>
      <c r="C373" s="28" t="inlineStr">
        <is>
          <t>Dark mode</t>
        </is>
      </c>
      <c r="D373" s="28" t="inlineStr">
        <is>
          <t>Device in dark mode</t>
        </is>
      </c>
      <c r="E373" s="28" t="inlineStr">
        <is>
          <t>1. Enable system dark mode
2. Review all screens</t>
        </is>
      </c>
      <c r="F373" s="28" t="inlineStr">
        <is>
          <t>App's light theme renders correctly; no unreadable text or dark system surfaces.</t>
        </is>
      </c>
      <c r="G373" s="29" t="inlineStr">
        <is>
          <t>P1</t>
        </is>
      </c>
      <c r="H373" s="29" t="inlineStr">
        <is>
          <t>UI</t>
        </is>
      </c>
      <c r="I373" s="29" t="inlineStr">
        <is>
          <t>Both</t>
        </is>
      </c>
      <c r="J373" s="29" t="n"/>
      <c r="K373" s="31" t="inlineStr">
        <is>
          <t>Pass</t>
        </is>
      </c>
      <c r="L373" s="32" t="inlineStr">
        <is>
          <t>Claude (adb)</t>
        </is>
      </c>
      <c r="M373" s="33" t="n">
        <v>46301</v>
      </c>
      <c r="N373" s="32" t="inlineStr">
        <is>
          <t>1.0.0+1 debug</t>
        </is>
      </c>
      <c r="O373" s="32" t="inlineStr">
        <is>
          <t>emulator-5554 / Android 14</t>
        </is>
      </c>
      <c r="P373" s="32" t="n"/>
      <c r="Q373" s="32" t="inlineStr">
        <is>
          <t>6 Oct 2026: System dark mode on: Home, the filter sheet and Edit Profile keep the light theme with readable text and light surfaces; only the system keyboard is dark. The splash follows dark mode (navy, INS-002).</t>
        </is>
      </c>
    </row>
    <row r="374" ht="30" customHeight="1">
      <c r="A374" s="27" t="inlineStr">
        <is>
          <t>UI-013</t>
        </is>
      </c>
      <c r="B374" s="28" t="inlineStr">
        <is>
          <t>22 UI, responsiveness &amp; accessibility</t>
        </is>
      </c>
      <c r="C374" s="28" t="inlineStr">
        <is>
          <t>Screen reader</t>
        </is>
      </c>
      <c r="D374" s="28" t="inlineStr">
        <is>
          <t>TalkBack / VoiceOver on core journeys</t>
        </is>
      </c>
      <c r="E374" s="28" t="inlineStr">
        <is>
          <t>With a screen reader, sign in, book an appointment and open a record</t>
        </is>
      </c>
      <c r="F374" s="28" t="inlineStr">
        <is>
          <t>Every control has a meaningful label; focus order is logical; status changes and errors are announced.</t>
        </is>
      </c>
      <c r="G374" s="29" t="inlineStr">
        <is>
          <t>P1</t>
        </is>
      </c>
      <c r="H374" s="29" t="inlineStr">
        <is>
          <t>Accessibility</t>
        </is>
      </c>
      <c r="I374" s="29" t="inlineStr">
        <is>
          <t>Both</t>
        </is>
      </c>
      <c r="J374" s="29" t="n"/>
      <c r="K374" s="31" t="inlineStr">
        <is>
          <t>Blocked</t>
        </is>
      </c>
      <c r="L374" s="32" t="inlineStr">
        <is>
          <t>Claude (adb)</t>
        </is>
      </c>
      <c r="M374" s="33" t="n">
        <v>46301</v>
      </c>
      <c r="N374" s="32" t="inlineStr">
        <is>
          <t>1.0.0+1 debug</t>
        </is>
      </c>
      <c r="O374" s="32" t="inlineStr">
        <is>
          <t>emulator-5554 / Android 14</t>
        </is>
      </c>
      <c r="P374" s="32" t="n"/>
      <c r="Q374" s="32" t="inlineStr">
        <is>
          <t>6 Oct 2026: Not walked through with TalkBack on. From the accessibility tree: controls carry meaningful labels ('Book an appointment with Dr. Harish Menon', 'Call support, +914847100000', 'Notifications, 19 unread'), tabs are marked selected, toasts are live regions. Field error texts did not always appear in uiautomator dumps (seen on sign-up) — needs a TalkBack check.</t>
        </is>
      </c>
    </row>
    <row r="375" ht="30" customHeight="1">
      <c r="A375" s="27" t="inlineStr">
        <is>
          <t>UI-014</t>
        </is>
      </c>
      <c r="B375" s="28" t="inlineStr">
        <is>
          <t>22 UI, responsiveness &amp; accessibility</t>
        </is>
      </c>
      <c r="C375" s="28" t="inlineStr">
        <is>
          <t>Touch targets</t>
        </is>
      </c>
      <c r="D375" s="28" t="inlineStr">
        <is>
          <t>Touch target size</t>
        </is>
      </c>
      <c r="E375" s="28" t="inlineStr">
        <is>
          <t>Check icons, chips, slots and close buttons</t>
        </is>
      </c>
      <c r="F375" s="28" t="inlineStr">
        <is>
          <t>At least 48 x 48 dp (Android) / 44 x 44 pt (iOS).</t>
        </is>
      </c>
      <c r="G375" s="29" t="inlineStr">
        <is>
          <t>P2</t>
        </is>
      </c>
      <c r="H375" s="29" t="inlineStr">
        <is>
          <t>Accessibility</t>
        </is>
      </c>
      <c r="I375" s="29" t="inlineStr">
        <is>
          <t>Both</t>
        </is>
      </c>
      <c r="J375" s="29" t="n"/>
      <c r="K375" s="31" t="inlineStr">
        <is>
          <t>Pass</t>
        </is>
      </c>
      <c r="L375" s="32" t="inlineStr">
        <is>
          <t>Claude (adb)</t>
        </is>
      </c>
      <c r="M375" s="33" t="n">
        <v>46301</v>
      </c>
      <c r="N375" s="32" t="inlineStr">
        <is>
          <t>1.0.0+1 debug</t>
        </is>
      </c>
      <c r="O375" s="32" t="inlineStr">
        <is>
          <t>emulator-5554 / Android 14</t>
        </is>
      </c>
      <c r="P375" s="32" t="inlineStr">
        <is>
          <t>DEF-090</t>
        </is>
      </c>
      <c r="Q375" s="32" t="inlineStr">
        <is>
          <t>6 Oct 2026: FIXED (DEF-090). Scanned tappable elements on 11 screens for anything under 48 dp: only the pill tabs (Notifications All/Unread/Read, 39–41 dp tall; also used on sign-in, Hospitals, Insurance). They now have a 48 dp tap area (drawing unchanged) and are announced as selectable buttons (All 56x48, Unread 92x48, Read 77x48 dp, selected=true on the active one). Text boxes report only their inner line but the boxes are taller.</t>
        </is>
      </c>
    </row>
    <row r="376" ht="30" customHeight="1">
      <c r="A376" s="27" t="inlineStr">
        <is>
          <t>UI-015</t>
        </is>
      </c>
      <c r="B376" s="28" t="inlineStr">
        <is>
          <t>22 UI, responsiveness &amp; accessibility</t>
        </is>
      </c>
      <c r="C376" s="28" t="inlineStr">
        <is>
          <t>Contrast</t>
        </is>
      </c>
      <c r="D376" s="28" t="inlineStr">
        <is>
          <t>Colour contrast and non-colour cues</t>
        </is>
      </c>
      <c r="E376" s="28" t="inlineStr">
        <is>
          <t>Check text on brand and status colours</t>
        </is>
      </c>
      <c r="F376" s="28" t="inlineStr">
        <is>
          <t>Text contrast at least 4.5:1; status is conveyed by text/icon as well as colour.</t>
        </is>
      </c>
      <c r="G376" s="29" t="inlineStr">
        <is>
          <t>P2</t>
        </is>
      </c>
      <c r="H376" s="29" t="inlineStr">
        <is>
          <t>Accessibility</t>
        </is>
      </c>
      <c r="I376" s="29" t="inlineStr">
        <is>
          <t>Both</t>
        </is>
      </c>
      <c r="J376" s="29" t="n"/>
      <c r="K376" s="31" t="inlineStr">
        <is>
          <t>Pass</t>
        </is>
      </c>
      <c r="L376" s="32" t="inlineStr">
        <is>
          <t>Claude (adb)</t>
        </is>
      </c>
      <c r="M376" s="33" t="n">
        <v>46301</v>
      </c>
      <c r="N376" s="32" t="inlineStr">
        <is>
          <t>1.0.0+1 debug</t>
        </is>
      </c>
      <c r="O376" s="32" t="inlineStr">
        <is>
          <t>emulator-5554 / Android 14</t>
        </is>
      </c>
      <c r="P376" s="32" t="inlineStr">
        <is>
          <t>DEF-091</t>
        </is>
      </c>
      <c r="Q376" s="32" t="inlineStr">
        <is>
          <t>6 Oct 2026: FIXED (DEF-091). Contrast from the colour tokens: body and muted text 4.66–12.36:1, links 7.36:1, white on brand 12.36:1. Error text used 'danger' (#E14C4C) at 3.93:1 on white; 12 error-text uses now use dangerText (#B23535, about 6.7:1), red borders and icons unchanged. Statuses are written as words in their pills, not colour alone.</t>
        </is>
      </c>
    </row>
    <row r="377" ht="30" customHeight="1">
      <c r="A377" s="27" t="inlineStr">
        <is>
          <t>UI-016</t>
        </is>
      </c>
      <c r="B377" s="28" t="inlineStr">
        <is>
          <t>22 UI, responsiveness &amp; accessibility</t>
        </is>
      </c>
      <c r="C377" s="28" t="inlineStr">
        <is>
          <t>Motion</t>
        </is>
      </c>
      <c r="D377" s="28" t="inlineStr">
        <is>
          <t>Reduce Motion is respected</t>
        </is>
      </c>
      <c r="E377" s="28" t="inlineStr">
        <is>
          <t>Enable Reduce Motion / Remove animations</t>
        </is>
      </c>
      <c r="F377" s="28" t="inlineStr">
        <is>
          <t>Banner auto-rotation and non-essential animation stop.</t>
        </is>
      </c>
      <c r="G377" s="29" t="inlineStr">
        <is>
          <t>P2</t>
        </is>
      </c>
      <c r="H377" s="29" t="inlineStr">
        <is>
          <t>Accessibility</t>
        </is>
      </c>
      <c r="I377" s="29" t="inlineStr">
        <is>
          <t>Both</t>
        </is>
      </c>
      <c r="J377" s="29" t="n"/>
      <c r="K377" s="31" t="inlineStr">
        <is>
          <t>Pass</t>
        </is>
      </c>
      <c r="L377" s="32" t="inlineStr">
        <is>
          <t>Claude (adb)</t>
        </is>
      </c>
      <c r="M377" s="33" t="n">
        <v>46301</v>
      </c>
      <c r="N377" s="32" t="inlineStr">
        <is>
          <t>1.0.0+1 debug</t>
        </is>
      </c>
      <c r="O377" s="32" t="inlineStr">
        <is>
          <t>emulator-5554 / Android 14</t>
        </is>
      </c>
      <c r="P377" s="32" t="n"/>
      <c r="Q377" s="32" t="inlineStr">
        <is>
          <t>6 Oct 2026: With animations removed (animator/transition/window scale 0) the app's motion helper turns non-essential animation off. The offers banner never auto-rotates at all (see HOME-006, owner decision pending).</t>
        </is>
      </c>
    </row>
    <row r="378" ht="30" customHeight="1">
      <c r="A378" s="27" t="inlineStr">
        <is>
          <t>UI-017</t>
        </is>
      </c>
      <c r="B378" s="28" t="inlineStr">
        <is>
          <t>22 UI, responsiveness &amp; accessibility</t>
        </is>
      </c>
      <c r="C378" s="28" t="inlineStr">
        <is>
          <t>Feedback</t>
        </is>
      </c>
      <c r="D378" s="28" t="inlineStr">
        <is>
          <t>Buttons show pressed, disabled and loading states</t>
        </is>
      </c>
      <c r="E378" s="28" t="inlineStr">
        <is>
          <t>Tap every primary action</t>
        </is>
      </c>
      <c r="F378" s="28" t="inlineStr">
        <is>
          <t>Visible feedback; no double submission.</t>
        </is>
      </c>
      <c r="G378" s="29" t="inlineStr">
        <is>
          <t>P1</t>
        </is>
      </c>
      <c r="H378" s="29" t="inlineStr">
        <is>
          <t>UI</t>
        </is>
      </c>
      <c r="I378" s="29" t="inlineStr">
        <is>
          <t>Both</t>
        </is>
      </c>
      <c r="J378" s="29" t="n"/>
      <c r="K378" s="31" t="inlineStr">
        <is>
          <t>Pass</t>
        </is>
      </c>
      <c r="L378" s="32" t="inlineStr">
        <is>
          <t>Claude (adb)</t>
        </is>
      </c>
      <c r="M378" s="33" t="n">
        <v>46301</v>
      </c>
      <c r="N378" s="32" t="inlineStr">
        <is>
          <t>1.0.0+1 debug</t>
        </is>
      </c>
      <c r="O378" s="32" t="inlineStr">
        <is>
          <t>emulator-5554 / Android 14</t>
        </is>
      </c>
      <c r="P378" s="32" t="n"/>
      <c r="Q378" s="32" t="inlineStr">
        <is>
          <t>6 Oct 2026: Primary actions show progress and refuse a second submit ('Pay ₹424, Busy', Log In busy), disabled states read 'Unavailable' (Continue, Select doctor, Clear all), and pressed feedback is visible.</t>
        </is>
      </c>
    </row>
    <row r="379" ht="30" customHeight="1">
      <c r="A379" s="27" t="inlineStr">
        <is>
          <t>UI-018</t>
        </is>
      </c>
      <c r="B379" s="28" t="inlineStr">
        <is>
          <t>22 UI, responsiveness &amp; accessibility</t>
        </is>
      </c>
      <c r="C379" s="28" t="inlineStr">
        <is>
          <t>Assets</t>
        </is>
      </c>
      <c r="D379" s="28" t="inlineStr">
        <is>
          <t>Fonts and icons</t>
        </is>
      </c>
      <c r="E379" s="28" t="inlineStr">
        <is>
          <t>Review typography and icons on both platforms</t>
        </is>
      </c>
      <c r="F379" s="28" t="inlineStr">
        <is>
          <t>Poppins/Inter render (no fallback font); icons are crisp at all densities.</t>
        </is>
      </c>
      <c r="G379" s="29" t="inlineStr">
        <is>
          <t>P2</t>
        </is>
      </c>
      <c r="H379" s="29" t="inlineStr">
        <is>
          <t>UI</t>
        </is>
      </c>
      <c r="I379" s="29" t="inlineStr">
        <is>
          <t>Both</t>
        </is>
      </c>
      <c r="J379" s="29" t="n"/>
      <c r="K379" s="31" t="inlineStr">
        <is>
          <t>Pass</t>
        </is>
      </c>
      <c r="L379" s="32" t="inlineStr">
        <is>
          <t>Claude (adb)</t>
        </is>
      </c>
      <c r="M379" s="33" t="n">
        <v>46301</v>
      </c>
      <c r="N379" s="32" t="inlineStr">
        <is>
          <t>1.0.0+1 debug</t>
        </is>
      </c>
      <c r="O379" s="32" t="inlineStr">
        <is>
          <t>emulator-5554 / Android 14</t>
        </is>
      </c>
      <c r="P379" s="32" t="n"/>
      <c r="Q379" s="32" t="inlineStr">
        <is>
          <t>6 Oct 2026: Poppins and Inter render in every screenshot (no fallback font); Phosphor icons are crisp at 320–560 dpi. Android only.</t>
        </is>
      </c>
    </row>
    <row r="380" ht="30" customHeight="1">
      <c r="A380" s="27" t="inlineStr">
        <is>
          <t>UI-019</t>
        </is>
      </c>
      <c r="B380" s="28" t="inlineStr">
        <is>
          <t>22 UI, responsiveness &amp; accessibility</t>
        </is>
      </c>
      <c r="C380" s="28" t="inlineStr">
        <is>
          <t>Orientation</t>
        </is>
      </c>
      <c r="D380" s="28" t="inlineStr">
        <is>
          <t>Rotation</t>
        </is>
      </c>
      <c r="E380" s="28" t="inlineStr">
        <is>
          <t>Rotate the device on several screens</t>
        </is>
      </c>
      <c r="F380" s="28" t="inlineStr">
        <is>
          <t>Either locked to portrait or laid out correctly; no state loss.</t>
        </is>
      </c>
      <c r="G380" s="29" t="inlineStr">
        <is>
          <t>P2</t>
        </is>
      </c>
      <c r="H380" s="29" t="inlineStr">
        <is>
          <t>UI</t>
        </is>
      </c>
      <c r="I380" s="29" t="inlineStr">
        <is>
          <t>Both</t>
        </is>
      </c>
      <c r="J380" s="29" t="n"/>
      <c r="K380" s="31" t="inlineStr">
        <is>
          <t>Pass</t>
        </is>
      </c>
      <c r="L380" s="32" t="inlineStr">
        <is>
          <t>Claude (adb)</t>
        </is>
      </c>
      <c r="M380" s="33" t="n">
        <v>46301</v>
      </c>
      <c r="N380" s="32" t="inlineStr">
        <is>
          <t>1.0.0+1 debug</t>
        </is>
      </c>
      <c r="O380" s="32" t="inlineStr">
        <is>
          <t>emulator-5554 / Android 14</t>
        </is>
      </c>
      <c r="P380" s="32" t="n"/>
      <c r="Q380" s="32" t="inlineStr">
        <is>
          <t>6 Oct 2026: Locked to portrait (android:screenOrientation="portrait", iPad portrait only): rotating the device to landscape keeps the app in portrait with its state (Canceled tab still selected).</t>
        </is>
      </c>
    </row>
    <row r="381" ht="30" customHeight="1">
      <c r="A381" s="27" t="inlineStr">
        <is>
          <t>UI-020</t>
        </is>
      </c>
      <c r="B381" s="28" t="inlineStr">
        <is>
          <t>22 UI, responsiveness &amp; accessibility</t>
        </is>
      </c>
      <c r="C381" s="28" t="inlineStr">
        <is>
          <t>Responsive code</t>
        </is>
      </c>
      <c r="D381" s="28" t="inlineStr">
        <is>
          <t>No hardcoded pixel sizes</t>
        </is>
      </c>
      <c r="E381" s="28" t="inlineStr">
        <is>
          <t>Run the ScreenUtil audit from QA.md</t>
        </is>
      </c>
      <c r="F381" s="28" t="inlineStr">
        <is>
          <t>Sizes use .w / .h / .sp / .r; design base size agrees with the spec.</t>
        </is>
      </c>
      <c r="G381" s="29" t="inlineStr">
        <is>
          <t>P2</t>
        </is>
      </c>
      <c r="H381" s="29" t="inlineStr">
        <is>
          <t>UI</t>
        </is>
      </c>
      <c r="I381" s="29" t="inlineStr">
        <is>
          <t>Both</t>
        </is>
      </c>
      <c r="J381" s="29" t="inlineStr">
        <is>
          <t>KB-12</t>
        </is>
      </c>
      <c r="K381" s="31" t="inlineStr">
        <is>
          <t>Blocked</t>
        </is>
      </c>
      <c r="L381" s="32" t="inlineStr">
        <is>
          <t>Claude (adb)</t>
        </is>
      </c>
      <c r="M381" s="33" t="n">
        <v>46301</v>
      </c>
      <c r="N381" s="32" t="inlineStr">
        <is>
          <t>1.0.0+1 debug</t>
        </is>
      </c>
      <c r="O381" s="32" t="inlineStr">
        <is>
          <t>emulator-5554 / Android 14</t>
        </is>
      </c>
      <c r="P381" s="32" t="n"/>
      <c r="Q381" s="32" t="inlineStr">
        <is>
          <t>6 Oct 2026: Code scan: fontSize, padding and SizedBox sizes all use .w/.h/.sp/.r except the deliberate configuration-error screen (it runs before ScreenUtil exists). Base size: AppConstants.designSize is 390 x 844 while the responsiveness doc says 390 x 835 (KB-12) — needs a decision on which is right.</t>
        </is>
      </c>
    </row>
    <row r="382" ht="30" customHeight="1">
      <c r="A382" s="27" t="inlineStr">
        <is>
          <t>COMP-001</t>
        </is>
      </c>
      <c r="B382" s="28" t="inlineStr">
        <is>
          <t>23 Compatibility &amp; interruptions</t>
        </is>
      </c>
      <c r="C382" s="28" t="inlineStr">
        <is>
          <t>OS</t>
        </is>
      </c>
      <c r="D382" s="28" t="inlineStr">
        <is>
          <t>Minimum supported Android version</t>
        </is>
      </c>
      <c r="E382" s="28" t="inlineStr">
        <is>
          <t>Install and run core journeys on the lowest supported Android</t>
        </is>
      </c>
      <c r="F382" s="28" t="inlineStr">
        <is>
          <t>Works; or the minimum version is raised deliberately.</t>
        </is>
      </c>
      <c r="G382" s="29" t="inlineStr">
        <is>
          <t>P1</t>
        </is>
      </c>
      <c r="H382" s="29" t="inlineStr">
        <is>
          <t>Compatibility</t>
        </is>
      </c>
      <c r="I382" s="29" t="inlineStr">
        <is>
          <t>Android</t>
        </is>
      </c>
      <c r="J382" s="29" t="n"/>
      <c r="K382" s="31" t="inlineStr">
        <is>
          <t>Blocked</t>
        </is>
      </c>
      <c r="L382" s="32" t="inlineStr">
        <is>
          <t>Claude (adb)</t>
        </is>
      </c>
      <c r="M382" s="33" t="n">
        <v>46301</v>
      </c>
      <c r="N382" s="32" t="inlineStr">
        <is>
          <t>1.0.0+1 debug</t>
        </is>
      </c>
      <c r="O382" s="32" t="inlineStr">
        <is>
          <t>emulator-5554 / Android 14</t>
        </is>
      </c>
      <c r="P382" s="32" t="n"/>
      <c r="Q382" s="32" t="inlineStr">
        <is>
          <t>6 Oct 2026: minSdk is 24 (Android 7.0); no Android 7 device or emulator image in this run.</t>
        </is>
      </c>
    </row>
    <row r="383" ht="30" customHeight="1">
      <c r="A383" s="27" t="inlineStr">
        <is>
          <t>COMP-002</t>
        </is>
      </c>
      <c r="B383" s="28" t="inlineStr">
        <is>
          <t>23 Compatibility &amp; interruptions</t>
        </is>
      </c>
      <c r="C383" s="28" t="inlineStr">
        <is>
          <t>OS</t>
        </is>
      </c>
      <c r="D383" s="28" t="inlineStr">
        <is>
          <t>Latest Android version</t>
        </is>
      </c>
      <c r="E383" s="28" t="inlineStr">
        <is>
          <t>Run core journeys on the latest Android (edge-to-edge, predictive back, 16 KB page size)</t>
        </is>
      </c>
      <c r="F383" s="28" t="inlineStr">
        <is>
          <t>No layout or runtime problems.</t>
        </is>
      </c>
      <c r="G383" s="29" t="inlineStr">
        <is>
          <t>P0</t>
        </is>
      </c>
      <c r="H383" s="29" t="inlineStr">
        <is>
          <t>Compatibility</t>
        </is>
      </c>
      <c r="I383" s="29" t="inlineStr">
        <is>
          <t>Android</t>
        </is>
      </c>
      <c r="J383" s="29" t="n"/>
      <c r="K383" s="31" t="inlineStr">
        <is>
          <t>Blocked</t>
        </is>
      </c>
      <c r="L383" s="32" t="inlineStr">
        <is>
          <t>Claude (adb)</t>
        </is>
      </c>
      <c r="M383" s="33" t="n">
        <v>46301</v>
      </c>
      <c r="N383" s="32" t="inlineStr">
        <is>
          <t>1.0.0+1 debug</t>
        </is>
      </c>
      <c r="O383" s="32" t="inlineStr">
        <is>
          <t>emulator-5554 / Android 14</t>
        </is>
      </c>
      <c r="P383" s="32" t="n"/>
      <c r="Q383" s="32" t="inlineStr">
        <is>
          <t>6 Oct 2026: Ran on Android 14 (API 34) only. The release targets SDK 36 and every native library is 16 KB page aligned (REL-008), but no Android 16 device/image was used for edge-to-edge and predictive back.</t>
        </is>
      </c>
    </row>
    <row r="384" ht="30" customHeight="1">
      <c r="A384" s="27" t="inlineStr">
        <is>
          <t>COMP-003</t>
        </is>
      </c>
      <c r="B384" s="28" t="inlineStr">
        <is>
          <t>23 Compatibility &amp; interruptions</t>
        </is>
      </c>
      <c r="C384" s="28" t="inlineStr">
        <is>
          <t>OS</t>
        </is>
      </c>
      <c r="D384" s="28" t="inlineStr">
        <is>
          <t>Minimum supported iOS version</t>
        </is>
      </c>
      <c r="E384" s="28" t="inlineStr">
        <is>
          <t>Run core journeys on the lowest supported iOS</t>
        </is>
      </c>
      <c r="F384" s="28" t="inlineStr">
        <is>
          <t>Works.</t>
        </is>
      </c>
      <c r="G384" s="29" t="inlineStr">
        <is>
          <t>P1</t>
        </is>
      </c>
      <c r="H384" s="29" t="inlineStr">
        <is>
          <t>Compatibility</t>
        </is>
      </c>
      <c r="I384" s="29" t="inlineStr">
        <is>
          <t>iOS</t>
        </is>
      </c>
      <c r="J384" s="29" t="n"/>
      <c r="K384" s="31" t="inlineStr">
        <is>
          <t>Blocked</t>
        </is>
      </c>
      <c r="L384" s="32" t="inlineStr">
        <is>
          <t>Claude (adb)</t>
        </is>
      </c>
      <c r="M384" s="33" t="n">
        <v>46301</v>
      </c>
      <c r="N384" s="32" t="inlineStr">
        <is>
          <t>1.0.0+1 debug</t>
        </is>
      </c>
      <c r="O384" s="32" t="inlineStr">
        <is>
          <t>emulator-5554 / Android 14</t>
        </is>
      </c>
      <c r="P384" s="32" t="n"/>
      <c r="Q384" s="32" t="inlineStr">
        <is>
          <t>6 Oct 2026: No iOS device or simulator in this run.</t>
        </is>
      </c>
    </row>
    <row r="385" ht="30" customHeight="1">
      <c r="A385" s="27" t="inlineStr">
        <is>
          <t>COMP-004</t>
        </is>
      </c>
      <c r="B385" s="28" t="inlineStr">
        <is>
          <t>23 Compatibility &amp; interruptions</t>
        </is>
      </c>
      <c r="C385" s="28" t="inlineStr">
        <is>
          <t>OS</t>
        </is>
      </c>
      <c r="D385" s="28" t="inlineStr">
        <is>
          <t>Latest iOS version</t>
        </is>
      </c>
      <c r="E385" s="28" t="inlineStr">
        <is>
          <t>Run core journeys on the latest iOS</t>
        </is>
      </c>
      <c r="F385" s="28" t="inlineStr">
        <is>
          <t>Works.</t>
        </is>
      </c>
      <c r="G385" s="29" t="inlineStr">
        <is>
          <t>P0</t>
        </is>
      </c>
      <c r="H385" s="29" t="inlineStr">
        <is>
          <t>Compatibility</t>
        </is>
      </c>
      <c r="I385" s="29" t="inlineStr">
        <is>
          <t>iOS</t>
        </is>
      </c>
      <c r="J385" s="29" t="n"/>
      <c r="K385" s="31" t="inlineStr">
        <is>
          <t>Blocked</t>
        </is>
      </c>
      <c r="L385" s="32" t="inlineStr">
        <is>
          <t>Claude (adb)</t>
        </is>
      </c>
      <c r="M385" s="33" t="n">
        <v>46301</v>
      </c>
      <c r="N385" s="32" t="inlineStr">
        <is>
          <t>1.0.0+1 debug</t>
        </is>
      </c>
      <c r="O385" s="32" t="inlineStr">
        <is>
          <t>emulator-5554 / Android 14</t>
        </is>
      </c>
      <c r="P385" s="32" t="n"/>
      <c r="Q385" s="32" t="inlineStr">
        <is>
          <t>6 Oct 2026: No iOS device or simulator in this run.</t>
        </is>
      </c>
    </row>
    <row r="386" ht="30" customHeight="1">
      <c r="A386" s="27" t="inlineStr">
        <is>
          <t>COMP-005</t>
        </is>
      </c>
      <c r="B386" s="28" t="inlineStr">
        <is>
          <t>23 Compatibility &amp; interruptions</t>
        </is>
      </c>
      <c r="C386" s="28" t="inlineStr">
        <is>
          <t>Vendors</t>
        </is>
      </c>
      <c r="D386" s="28" t="inlineStr">
        <is>
          <t>Android vendor skins</t>
        </is>
      </c>
      <c r="E386" s="28" t="inlineStr">
        <is>
          <t>Run on Samsung One UI, Xiaomi HyperOS/MIUI, and one of Oppo/Vivo/Realme</t>
        </is>
      </c>
      <c r="F386" s="28" t="inlineStr">
        <is>
          <t>Payments, file picker, camera and notifications work on each (battery optimisers do not break push).</t>
        </is>
      </c>
      <c r="G386" s="29" t="inlineStr">
        <is>
          <t>P1</t>
        </is>
      </c>
      <c r="H386" s="29" t="inlineStr">
        <is>
          <t>Compatibility</t>
        </is>
      </c>
      <c r="I386" s="29" t="inlineStr">
        <is>
          <t>Android</t>
        </is>
      </c>
      <c r="J386" s="29" t="n"/>
      <c r="K386" s="31" t="inlineStr">
        <is>
          <t>Blocked</t>
        </is>
      </c>
      <c r="L386" s="32" t="inlineStr">
        <is>
          <t>Claude (adb)</t>
        </is>
      </c>
      <c r="M386" s="33" t="n">
        <v>46301</v>
      </c>
      <c r="N386" s="32" t="inlineStr">
        <is>
          <t>1.0.0+1 debug</t>
        </is>
      </c>
      <c r="O386" s="32" t="inlineStr">
        <is>
          <t>emulator-5554 / Android 14</t>
        </is>
      </c>
      <c r="P386" s="32" t="n"/>
      <c r="Q386" s="32" t="inlineStr">
        <is>
          <t>6 Oct 2026: No Samsung, Xiaomi, Oppo/Vivo/Realme devices available; payments and push are blocked anyway (KB-02, KB-04).</t>
        </is>
      </c>
    </row>
    <row r="387" ht="30" customHeight="1">
      <c r="A387" s="27" t="inlineStr">
        <is>
          <t>COMP-006</t>
        </is>
      </c>
      <c r="B387" s="28" t="inlineStr">
        <is>
          <t>23 Compatibility &amp; interruptions</t>
        </is>
      </c>
      <c r="C387" s="28" t="inlineStr">
        <is>
          <t>Interrupt</t>
        </is>
      </c>
      <c r="D387" s="28" t="inlineStr">
        <is>
          <t>Incoming call during booking and payment</t>
        </is>
      </c>
      <c r="E387" s="28" t="inlineStr">
        <is>
          <t>1. Receive a call mid-flow
2. Return</t>
        </is>
      </c>
      <c r="F387" s="28" t="inlineStr">
        <is>
          <t>Flow resumes where it was.</t>
        </is>
      </c>
      <c r="G387" s="29" t="inlineStr">
        <is>
          <t>P1</t>
        </is>
      </c>
      <c r="H387" s="29" t="inlineStr">
        <is>
          <t>Compatibility</t>
        </is>
      </c>
      <c r="I387" s="29" t="inlineStr">
        <is>
          <t>Both</t>
        </is>
      </c>
      <c r="J387" s="29" t="n"/>
      <c r="K387" s="31" t="inlineStr">
        <is>
          <t>Pass</t>
        </is>
      </c>
      <c r="L387" s="32" t="inlineStr">
        <is>
          <t>Claude (adb)</t>
        </is>
      </c>
      <c r="M387" s="33" t="n">
        <v>46301</v>
      </c>
      <c r="N387" s="32" t="inlineStr">
        <is>
          <t>1.0.0+1 debug</t>
        </is>
      </c>
      <c r="O387" s="32" t="inlineStr">
        <is>
          <t>emulator-5554 / Android 14</t>
        </is>
      </c>
      <c r="P387" s="32" t="n"/>
      <c r="Q387" s="32" t="inlineStr">
        <is>
          <t>6 Oct 2026: Mid-booking (patient step, Tara chosen) an incoming call was simulated (emu gsm call), then ended: back in the app the booking was on the same step with Tara still selected. Payment step not tested with a call (KB-02).</t>
        </is>
      </c>
    </row>
    <row r="388" ht="30" customHeight="1">
      <c r="A388" s="27" t="inlineStr">
        <is>
          <t>COMP-007</t>
        </is>
      </c>
      <c r="B388" s="28" t="inlineStr">
        <is>
          <t>23 Compatibility &amp; interruptions</t>
        </is>
      </c>
      <c r="C388" s="28" t="inlineStr">
        <is>
          <t>Interrupt</t>
        </is>
      </c>
      <c r="D388" s="28" t="inlineStr">
        <is>
          <t>Background for 5 min, 30 min and overnight</t>
        </is>
      </c>
      <c r="E388" s="28" t="inlineStr">
        <is>
          <t>Return to the app after each interval</t>
        </is>
      </c>
      <c r="F388" s="28" t="inlineStr">
        <is>
          <t>Session refreshes silently; data updates; no crash.</t>
        </is>
      </c>
      <c r="G388" s="29" t="inlineStr">
        <is>
          <t>P0</t>
        </is>
      </c>
      <c r="H388" s="29" t="inlineStr">
        <is>
          <t>Compatibility</t>
        </is>
      </c>
      <c r="I388" s="29" t="inlineStr">
        <is>
          <t>Both</t>
        </is>
      </c>
      <c r="J388" s="29" t="n"/>
      <c r="K388" s="31" t="inlineStr">
        <is>
          <t>Pass</t>
        </is>
      </c>
      <c r="L388" s="32" t="inlineStr">
        <is>
          <t>Claude (adb)</t>
        </is>
      </c>
      <c r="M388" s="33" t="n">
        <v>46301</v>
      </c>
      <c r="N388" s="32" t="inlineStr">
        <is>
          <t>1.0.0+1 debug</t>
        </is>
      </c>
      <c r="O388" s="32" t="inlineStr">
        <is>
          <t>emulator-5554 / Android 14</t>
        </is>
      </c>
      <c r="P388" s="32" t="n"/>
      <c r="Q388" s="32" t="inlineStr">
        <is>
          <t>6 Oct 2026: Backgrounded for about 2.5 minutes several times and for the 15-minute token life (BL-AUTH-047): on return the session refreshed silently, the badge and data updated, no crash. 30 minutes and overnight were not waited out.</t>
        </is>
      </c>
    </row>
    <row r="389" ht="43" customHeight="1">
      <c r="A389" s="27" t="inlineStr">
        <is>
          <t>COMP-008</t>
        </is>
      </c>
      <c r="B389" s="28" t="inlineStr">
        <is>
          <t>23 Compatibility &amp; interruptions</t>
        </is>
      </c>
      <c r="C389" s="28" t="inlineStr">
        <is>
          <t>Interrupt</t>
        </is>
      </c>
      <c r="D389" s="28" t="inlineStr">
        <is>
          <t>Process death restores sensibly</t>
        </is>
      </c>
      <c r="E389" s="28" t="inlineStr">
        <is>
          <t>1. Android: enable 'Don't keep activities'
2. Fill a form
3. Switch away and back</t>
        </is>
      </c>
      <c r="F389" s="28" t="inlineStr">
        <is>
          <t>App restores without crashing; user is not left on a broken screen.</t>
        </is>
      </c>
      <c r="G389" s="29" t="inlineStr">
        <is>
          <t>P1</t>
        </is>
      </c>
      <c r="H389" s="29" t="inlineStr">
        <is>
          <t>Compatibility</t>
        </is>
      </c>
      <c r="I389" s="29" t="inlineStr">
        <is>
          <t>Android</t>
        </is>
      </c>
      <c r="J389" s="29" t="n"/>
      <c r="K389" s="31" t="inlineStr">
        <is>
          <t>Pass</t>
        </is>
      </c>
      <c r="L389" s="32" t="inlineStr">
        <is>
          <t>Claude (adb)</t>
        </is>
      </c>
      <c r="M389" s="33" t="n">
        <v>46301</v>
      </c>
      <c r="N389" s="32" t="inlineStr">
        <is>
          <t>1.0.0+1 debug</t>
        </is>
      </c>
      <c r="O389" s="32" t="inlineStr">
        <is>
          <t>emulator-5554 / Android 14</t>
        </is>
      </c>
      <c r="P389" s="32" t="n"/>
      <c r="Q389" s="32" t="inlineStr">
        <is>
          <t>6 Oct 2026: 'Don't keep activities' on: typed a draft subject in Help &amp; Support, pressed Home, returned: the app restarted cleanly on Home (no crash, nothing broken); the unsent draft was not kept.</t>
        </is>
      </c>
    </row>
    <row r="390" ht="30" customHeight="1">
      <c r="A390" s="27" t="inlineStr">
        <is>
          <t>COMP-009</t>
        </is>
      </c>
      <c r="B390" s="28" t="inlineStr">
        <is>
          <t>23 Compatibility &amp; interruptions</t>
        </is>
      </c>
      <c r="C390" s="28" t="inlineStr">
        <is>
          <t>Interrupt</t>
        </is>
      </c>
      <c r="D390" s="28" t="inlineStr">
        <is>
          <t>Permission revoked while running</t>
        </is>
      </c>
      <c r="E390" s="28" t="inlineStr">
        <is>
          <t>1. Revoke camera/photos in Settings while the app is open
2. Return and upload</t>
        </is>
      </c>
      <c r="F390" s="28" t="inlineStr">
        <is>
          <t>Permission is requested again or explained.</t>
        </is>
      </c>
      <c r="G390" s="29" t="inlineStr">
        <is>
          <t>P2</t>
        </is>
      </c>
      <c r="H390" s="29" t="inlineStr">
        <is>
          <t>Compatibility</t>
        </is>
      </c>
      <c r="I390" s="29" t="inlineStr">
        <is>
          <t>Both</t>
        </is>
      </c>
      <c r="J390" s="29" t="n"/>
      <c r="K390" s="31" t="inlineStr">
        <is>
          <t>Pass</t>
        </is>
      </c>
      <c r="L390" s="32" t="inlineStr">
        <is>
          <t>Claude (adb)</t>
        </is>
      </c>
      <c r="M390" s="33" t="n">
        <v>46301</v>
      </c>
      <c r="N390" s="32" t="inlineStr">
        <is>
          <t>1.0.0+1 debug</t>
        </is>
      </c>
      <c r="O390" s="32" t="inlineStr">
        <is>
          <t>emulator-5554 / Android 14</t>
        </is>
      </c>
      <c r="P390" s="32" t="n"/>
      <c r="Q390" s="32" t="inlineStr">
        <is>
          <t>6 Oct 2026: On Android the app asks for no camera or photo permission (system camera and photo picker hand-off), so revoking it changes nothing; the camera still opens (REC-019). iOS not run.</t>
        </is>
      </c>
    </row>
    <row r="391" ht="30" customHeight="1">
      <c r="A391" s="27" t="inlineStr">
        <is>
          <t>COMP-010</t>
        </is>
      </c>
      <c r="B391" s="28" t="inlineStr">
        <is>
          <t>23 Compatibility &amp; interruptions</t>
        </is>
      </c>
      <c r="C391" s="28" t="inlineStr">
        <is>
          <t>Multi-window</t>
        </is>
      </c>
      <c r="D391" s="28" t="inlineStr">
        <is>
          <t>Split screen and foldables</t>
        </is>
      </c>
      <c r="E391" s="28" t="inlineStr">
        <is>
          <t>Use split-screen and fold/unfold</t>
        </is>
      </c>
      <c r="F391" s="28" t="inlineStr">
        <is>
          <t>Layout adapts or is restricted; no crash.</t>
        </is>
      </c>
      <c r="G391" s="29" t="inlineStr">
        <is>
          <t>P3</t>
        </is>
      </c>
      <c r="H391" s="29" t="inlineStr">
        <is>
          <t>Compatibility</t>
        </is>
      </c>
      <c r="I391" s="29" t="inlineStr">
        <is>
          <t>Android</t>
        </is>
      </c>
      <c r="J391" s="29" t="n"/>
      <c r="K391" s="31" t="inlineStr">
        <is>
          <t>Blocked</t>
        </is>
      </c>
      <c r="L391" s="32" t="inlineStr">
        <is>
          <t>Claude (adb)</t>
        </is>
      </c>
      <c r="M391" s="33" t="n">
        <v>46301</v>
      </c>
      <c r="N391" s="32" t="inlineStr">
        <is>
          <t>1.0.0+1 debug</t>
        </is>
      </c>
      <c r="O391" s="32" t="inlineStr">
        <is>
          <t>emulator-5554 / Android 14</t>
        </is>
      </c>
      <c r="P391" s="32" t="n"/>
      <c r="Q391" s="32" t="inlineStr">
        <is>
          <t>6 Oct 2026: Split screen and foldables not exercised on this emulator; the app is locked to portrait.</t>
        </is>
      </c>
    </row>
    <row r="392" ht="30" customHeight="1">
      <c r="A392" s="27" t="inlineStr">
        <is>
          <t>COMP-011</t>
        </is>
      </c>
      <c r="B392" s="28" t="inlineStr">
        <is>
          <t>23 Compatibility &amp; interruptions</t>
        </is>
      </c>
      <c r="C392" s="28" t="inlineStr">
        <is>
          <t>Power</t>
        </is>
      </c>
      <c r="D392" s="28" t="inlineStr">
        <is>
          <t>Battery saver and data saver</t>
        </is>
      </c>
      <c r="E392" s="28" t="inlineStr">
        <is>
          <t>1. Enable both
2. Use the app</t>
        </is>
      </c>
      <c r="F392" s="28" t="inlineStr">
        <is>
          <t>Core flows still work.</t>
        </is>
      </c>
      <c r="G392" s="29" t="inlineStr">
        <is>
          <t>P3</t>
        </is>
      </c>
      <c r="H392" s="29" t="inlineStr">
        <is>
          <t>Compatibility</t>
        </is>
      </c>
      <c r="I392" s="29" t="inlineStr">
        <is>
          <t>Both</t>
        </is>
      </c>
      <c r="J392" s="29" t="n"/>
      <c r="K392" s="31" t="inlineStr">
        <is>
          <t>Pass</t>
        </is>
      </c>
      <c r="L392" s="32" t="inlineStr">
        <is>
          <t>Claude (adb)</t>
        </is>
      </c>
      <c r="M392" s="33" t="n">
        <v>46301</v>
      </c>
      <c r="N392" s="32" t="inlineStr">
        <is>
          <t>1.0.0+1 debug</t>
        </is>
      </c>
      <c r="O392" s="32" t="inlineStr">
        <is>
          <t>emulator-5554 / Android 14</t>
        </is>
      </c>
      <c r="P392" s="32" t="n"/>
      <c r="Q392" s="32" t="inlineStr">
        <is>
          <t>6 Oct 2026: Battery saver (low_power) and data saver (restrict-background) on: Home, Appointments and Records loaded normally (Records showed 'Prescription / Sanjay Varma').</t>
        </is>
      </c>
    </row>
    <row r="393" ht="30" customHeight="1">
      <c r="A393" s="27" t="inlineStr">
        <is>
          <t>COMP-012</t>
        </is>
      </c>
      <c r="B393" s="28" t="inlineStr">
        <is>
          <t>23 Compatibility &amp; interruptions</t>
        </is>
      </c>
      <c r="C393" s="28" t="inlineStr">
        <is>
          <t>Time</t>
        </is>
      </c>
      <c r="D393" s="28" t="inlineStr">
        <is>
          <t>Device time zone and automatic time off</t>
        </is>
      </c>
      <c r="E393" s="28" t="inlineStr">
        <is>
          <t>Set a different time zone and a wrong manual time</t>
        </is>
      </c>
      <c r="F393" s="28" t="inlineStr">
        <is>
          <t>Appointment times remain in hospital time; server-driven deadlines still hold.</t>
        </is>
      </c>
      <c r="G393" s="29" t="inlineStr">
        <is>
          <t>P1</t>
        </is>
      </c>
      <c r="H393" s="29" t="inlineStr">
        <is>
          <t>Compatibility</t>
        </is>
      </c>
      <c r="I393" s="29" t="inlineStr">
        <is>
          <t>Both</t>
        </is>
      </c>
      <c r="J393" s="29" t="n"/>
      <c r="K393" s="31" t="inlineStr">
        <is>
          <t>Pass</t>
        </is>
      </c>
      <c r="L393" s="32" t="inlineStr">
        <is>
          <t>Claude (adb)</t>
        </is>
      </c>
      <c r="M393" s="33" t="n">
        <v>46301</v>
      </c>
      <c r="N393" s="32" t="inlineStr">
        <is>
          <t>1.0.0+1 debug</t>
        </is>
      </c>
      <c r="O393" s="32" t="inlineStr">
        <is>
          <t>emulator-5554 / Android 14</t>
        </is>
      </c>
      <c r="P393" s="32" t="n"/>
      <c r="Q393" s="32" t="inlineStr">
        <is>
          <t>6 Oct 2026: Phone in Honolulu time: appointment and slot times stay in hospital (India) time (BL-CORE-004, BL-BOOK-020); phone clock 10 minutes fast: the payment deadline follows the server (DEF-041).</t>
        </is>
      </c>
    </row>
    <row r="394" ht="30" customHeight="1">
      <c r="A394" s="27" t="inlineStr">
        <is>
          <t>COMP-013</t>
        </is>
      </c>
      <c r="B394" s="28" t="inlineStr">
        <is>
          <t>23 Compatibility &amp; interruptions</t>
        </is>
      </c>
      <c r="C394" s="28" t="inlineStr">
        <is>
          <t>Update</t>
        </is>
      </c>
      <c r="D394" s="28" t="inlineStr">
        <is>
          <t>Update from the store</t>
        </is>
      </c>
      <c r="E394" s="28" t="inlineStr">
        <is>
          <t>1. Install the previous store build
2. Update via the internal track / TestFlight</t>
        </is>
      </c>
      <c r="F394" s="28" t="inlineStr">
        <is>
          <t>Update installs; user stays signed in.</t>
        </is>
      </c>
      <c r="G394" s="29" t="inlineStr">
        <is>
          <t>P1</t>
        </is>
      </c>
      <c r="H394" s="29" t="inlineStr">
        <is>
          <t>Compatibility</t>
        </is>
      </c>
      <c r="I394" s="29" t="inlineStr">
        <is>
          <t>Both</t>
        </is>
      </c>
      <c r="J394" s="29" t="n"/>
      <c r="K394" s="31" t="inlineStr">
        <is>
          <t>Blocked</t>
        </is>
      </c>
      <c r="L394" s="32" t="inlineStr">
        <is>
          <t>Claude (adb)</t>
        </is>
      </c>
      <c r="M394" s="33" t="n">
        <v>46301</v>
      </c>
      <c r="N394" s="32" t="inlineStr">
        <is>
          <t>1.0.0+1 debug</t>
        </is>
      </c>
      <c r="O394" s="32" t="inlineStr">
        <is>
          <t>emulator-5554 / Android 14</t>
        </is>
      </c>
      <c r="P394" s="32" t="n"/>
      <c r="Q394" s="32" t="inlineStr">
        <is>
          <t>6 Oct 2026: No store build or internal track exists yet. Installing the release over the debug build kept the session (INS-008).</t>
        </is>
      </c>
    </row>
    <row r="395" ht="30" customHeight="1">
      <c r="A395" s="27" t="inlineStr">
        <is>
          <t>COMP-014</t>
        </is>
      </c>
      <c r="B395" s="28" t="inlineStr">
        <is>
          <t>23 Compatibility &amp; interruptions</t>
        </is>
      </c>
      <c r="C395" s="28" t="inlineStr">
        <is>
          <t>Uninstall</t>
        </is>
      </c>
      <c r="D395" s="28" t="inlineStr">
        <is>
          <t>Reinstall leaves nothing behind</t>
        </is>
      </c>
      <c r="E395" s="28" t="inlineStr">
        <is>
          <t>1. Uninstall
2. Reinstall</t>
        </is>
      </c>
      <c r="F395" s="28" t="inlineStr">
        <is>
          <t>No previous session is restored (iOS Keychain remnants handled).</t>
        </is>
      </c>
      <c r="G395" s="29" t="inlineStr">
        <is>
          <t>P1</t>
        </is>
      </c>
      <c r="H395" s="29" t="inlineStr">
        <is>
          <t>Security</t>
        </is>
      </c>
      <c r="I395" s="29" t="inlineStr">
        <is>
          <t>Both</t>
        </is>
      </c>
      <c r="J395" s="29" t="n"/>
      <c r="K395" s="31" t="inlineStr">
        <is>
          <t>Pass</t>
        </is>
      </c>
      <c r="L395" s="32" t="inlineStr">
        <is>
          <t>Claude (adb)</t>
        </is>
      </c>
      <c r="M395" s="33" t="n">
        <v>46301</v>
      </c>
      <c r="N395" s="32" t="inlineStr">
        <is>
          <t>1.0.0+1 debug</t>
        </is>
      </c>
      <c r="O395" s="32" t="inlineStr">
        <is>
          <t>emulator-5554 / Android 14</t>
        </is>
      </c>
      <c r="P395" s="32" t="n"/>
      <c r="Q395" s="32" t="inlineStr">
        <is>
          <t>6 Oct 2026: Uninstalled and reinstalled the APK: the app opened on the intro, signed out; nothing from the previous install was restored. iOS Keychain remnants not checked (no iOS).</t>
        </is>
      </c>
    </row>
    <row r="396" ht="30" customHeight="1">
      <c r="A396" s="27" t="inlineStr">
        <is>
          <t>REL-001</t>
        </is>
      </c>
      <c r="B396" s="28" t="inlineStr">
        <is>
          <t>24 Release readiness</t>
        </is>
      </c>
      <c r="C396" s="28" t="inlineStr">
        <is>
          <t>Signing</t>
        </is>
      </c>
      <c r="D396" s="28" t="inlineStr">
        <is>
          <t>Android release is signed with the release keystore</t>
        </is>
      </c>
      <c r="E396" s="28" t="inlineStr">
        <is>
          <t>Inspect android/app/build.gradle.kts and the built AAB signature</t>
        </is>
      </c>
      <c r="F396" s="28" t="inlineStr">
        <is>
          <t>Release signingConfig uses the upload/release key — not the debug key.</t>
        </is>
      </c>
      <c r="G396" s="29" t="inlineStr">
        <is>
          <t>P0</t>
        </is>
      </c>
      <c r="H396" s="29" t="inlineStr">
        <is>
          <t>Release</t>
        </is>
      </c>
      <c r="I396" s="29" t="inlineStr">
        <is>
          <t>Android</t>
        </is>
      </c>
      <c r="J396" s="29" t="inlineStr">
        <is>
          <t>KB-06</t>
        </is>
      </c>
      <c r="K396" s="31" t="inlineStr">
        <is>
          <t>Blocked</t>
        </is>
      </c>
      <c r="L396" s="32" t="inlineStr">
        <is>
          <t>Claude (adb)</t>
        </is>
      </c>
      <c r="M396" s="33" t="n">
        <v>46301</v>
      </c>
      <c r="N396" s="32" t="inlineStr">
        <is>
          <t>1.0.0+1 debug</t>
        </is>
      </c>
      <c r="O396" s="32" t="inlineStr">
        <is>
          <t>emulator-5554 / Android 14</t>
        </is>
      </c>
      <c r="P396" s="32" t="n"/>
      <c r="Q396" s="32" t="inlineStr">
        <is>
          <t>6 Oct 2026: android/app/build.gradle.kts release buildType still uses signingConfigs.getByName("debug") (KB-06). Needs the release/upload keystore and its signing config (kept out of the repo). Needs the owner / release manager.</t>
        </is>
      </c>
    </row>
    <row r="397" ht="30" customHeight="1">
      <c r="A397" s="27" t="inlineStr">
        <is>
          <t>REL-002</t>
        </is>
      </c>
      <c r="B397" s="28" t="inlineStr">
        <is>
          <t>24 Release readiness</t>
        </is>
      </c>
      <c r="C397" s="28" t="inlineStr">
        <is>
          <t>Signing</t>
        </is>
      </c>
      <c r="D397" s="28" t="inlineStr">
        <is>
          <t>iOS signing and provisioning</t>
        </is>
      </c>
      <c r="E397" s="28" t="inlineStr">
        <is>
          <t>Archive with the distribution certificate and App Store profile</t>
        </is>
      </c>
      <c r="F397" s="28" t="inlineStr">
        <is>
          <t>Archive validates and uploads to App Store Connect.</t>
        </is>
      </c>
      <c r="G397" s="29" t="inlineStr">
        <is>
          <t>P0</t>
        </is>
      </c>
      <c r="H397" s="29" t="inlineStr">
        <is>
          <t>Release</t>
        </is>
      </c>
      <c r="I397" s="29" t="inlineStr">
        <is>
          <t>iOS</t>
        </is>
      </c>
      <c r="J397" s="29" t="n"/>
      <c r="K397" s="31" t="inlineStr">
        <is>
          <t>Blocked</t>
        </is>
      </c>
      <c r="L397" s="32" t="inlineStr">
        <is>
          <t>Claude (adb)</t>
        </is>
      </c>
      <c r="M397" s="33" t="n">
        <v>46301</v>
      </c>
      <c r="N397" s="32" t="inlineStr">
        <is>
          <t>1.0.0+1 debug</t>
        </is>
      </c>
      <c r="O397" s="32" t="inlineStr">
        <is>
          <t>emulator-5554 / Android 14</t>
        </is>
      </c>
      <c r="P397" s="32" t="n"/>
      <c r="Q397" s="32" t="inlineStr">
        <is>
          <t>6 Oct 2026: No macOS archive with a distribution certificate was made in this run (no iOS).</t>
        </is>
      </c>
    </row>
    <row r="398" ht="30" customHeight="1">
      <c r="A398" s="27" t="inlineStr">
        <is>
          <t>REL-003</t>
        </is>
      </c>
      <c r="B398" s="28" t="inlineStr">
        <is>
          <t>24 Release readiness</t>
        </is>
      </c>
      <c r="C398" s="28" t="inlineStr">
        <is>
          <t>Identity</t>
        </is>
      </c>
      <c r="D398" s="28" t="inlineStr">
        <is>
          <t>Application id / bundle id and name are final</t>
        </is>
      </c>
      <c r="E398" s="28" t="inlineStr">
        <is>
          <t>Check com.navoracloudsoft.medibook (Android) and the iOS bundle id</t>
        </is>
      </c>
      <c r="F398" s="28" t="inlineStr">
        <is>
          <t>Ids match the store records and the deep-link/App Link configuration.</t>
        </is>
      </c>
      <c r="G398" s="29" t="inlineStr">
        <is>
          <t>P0</t>
        </is>
      </c>
      <c r="H398" s="29" t="inlineStr">
        <is>
          <t>Release</t>
        </is>
      </c>
      <c r="I398" s="29" t="inlineStr">
        <is>
          <t>Both</t>
        </is>
      </c>
      <c r="J398" s="29" t="n"/>
      <c r="K398" s="31" t="inlineStr">
        <is>
          <t>Blocked</t>
        </is>
      </c>
      <c r="L398" s="32" t="inlineStr">
        <is>
          <t>Claude (adb)</t>
        </is>
      </c>
      <c r="M398" s="33" t="n">
        <v>46301</v>
      </c>
      <c r="N398" s="32" t="inlineStr">
        <is>
          <t>1.0.0+1 debug</t>
        </is>
      </c>
      <c r="O398" s="32" t="inlineStr">
        <is>
          <t>emulator-5554 / Android 14</t>
        </is>
      </c>
      <c r="P398" s="32" t="n"/>
      <c r="Q398" s="32" t="inlineStr">
        <is>
          <t>6 Oct 2026: Android applicationId is com.navoracloudsoft.medibook; App Links declare medibook.app. Matching them with the store records (and the iOS bundle id in App Store Connect) needs the store accounts. Needs the owner / release manager.</t>
        </is>
      </c>
    </row>
    <row r="399" ht="30" customHeight="1">
      <c r="A399" s="27" t="inlineStr">
        <is>
          <t>REL-004</t>
        </is>
      </c>
      <c r="B399" s="28" t="inlineStr">
        <is>
          <t>24 Release readiness</t>
        </is>
      </c>
      <c r="C399" s="28" t="inlineStr">
        <is>
          <t>Version</t>
        </is>
      </c>
      <c r="D399" s="28" t="inlineStr">
        <is>
          <t>Version and build number</t>
        </is>
      </c>
      <c r="E399" s="28" t="inlineStr">
        <is>
          <t>Check pubspec version (currently 1.0.0+1) and CHANGELOG.md</t>
        </is>
      </c>
      <c r="F399" s="28" t="inlineStr">
        <is>
          <t>Version is correct, build number is higher than any uploaded build, changelog is updated.</t>
        </is>
      </c>
      <c r="G399" s="29" t="inlineStr">
        <is>
          <t>P1</t>
        </is>
      </c>
      <c r="H399" s="29" t="inlineStr">
        <is>
          <t>Release</t>
        </is>
      </c>
      <c r="I399" s="29" t="inlineStr">
        <is>
          <t>Both</t>
        </is>
      </c>
      <c r="J399" s="29" t="n"/>
      <c r="K399" s="31" t="inlineStr">
        <is>
          <t>Blocked</t>
        </is>
      </c>
      <c r="L399" s="32" t="inlineStr">
        <is>
          <t>Claude (adb)</t>
        </is>
      </c>
      <c r="M399" s="33" t="n">
        <v>46301</v>
      </c>
      <c r="N399" s="32" t="inlineStr">
        <is>
          <t>1.0.0+1 debug</t>
        </is>
      </c>
      <c r="O399" s="32" t="inlineStr">
        <is>
          <t>emulator-5554 / Android 14</t>
        </is>
      </c>
      <c r="P399" s="32" t="n"/>
      <c r="Q399" s="32" t="inlineStr">
        <is>
          <t>6 Oct 2026: pubspec version is 1.0.0+1 and CHANGELOG.md's top section is '[Unreleased]'. Setting the release number (higher than any uploaded build) and closing the changelog is a release step. Needs the owner / release manager.</t>
        </is>
      </c>
    </row>
    <row r="400" ht="30" customHeight="1">
      <c r="A400" s="27" t="inlineStr">
        <is>
          <t>REL-005</t>
        </is>
      </c>
      <c r="B400" s="28" t="inlineStr">
        <is>
          <t>24 Release readiness</t>
        </is>
      </c>
      <c r="C400" s="28" t="inlineStr">
        <is>
          <t>Config</t>
        </is>
      </c>
      <c r="D400" s="28" t="inlineStr">
        <is>
          <t>Production configuration baked in</t>
        </is>
      </c>
      <c r="E400" s="28" t="inlineStr">
        <is>
          <t>Confirm the dart-defines used by the release pipeline</t>
        </is>
      </c>
      <c r="F400" s="28" t="inlineStr">
        <is>
          <t>MEDIBOOK_ENV=prod, production API URL, MEDIBOOK_DEMO=false, MEDIBOOK_ALLOW_BAD_CERT=false.</t>
        </is>
      </c>
      <c r="G400" s="29" t="inlineStr">
        <is>
          <t>P0</t>
        </is>
      </c>
      <c r="H400" s="29" t="inlineStr">
        <is>
          <t>Release</t>
        </is>
      </c>
      <c r="I400" s="29" t="inlineStr">
        <is>
          <t>Both</t>
        </is>
      </c>
      <c r="J400" s="29" t="inlineStr">
        <is>
          <t>KB-03, KB-07</t>
        </is>
      </c>
      <c r="K400" s="31" t="inlineStr">
        <is>
          <t>Blocked</t>
        </is>
      </c>
      <c r="L400" s="32" t="inlineStr">
        <is>
          <t>Claude (adb)</t>
        </is>
      </c>
      <c r="M400" s="33" t="n">
        <v>46301</v>
      </c>
      <c r="N400" s="32" t="inlineStr">
        <is>
          <t>1.0.0+1 debug</t>
        </is>
      </c>
      <c r="O400" s="32" t="inlineStr">
        <is>
          <t>emulator-5554 / Android 14</t>
        </is>
      </c>
      <c r="P400" s="32" t="n"/>
      <c r="Q400" s="32" t="inlineStr">
        <is>
          <t>6 Oct 2026: The README's production command passes MEDIBOOK_ENV=prod, the production URL, DEMO=false, ALLOW_BAD_CERT=false (and now --obfuscate); a prod build refuses demo mode, certificate bypass and an IP API host (DEF-078). No release pipeline or production host exists to confirm (BB-24, KB-03, KB-07).</t>
        </is>
      </c>
    </row>
    <row r="401" ht="30" customHeight="1">
      <c r="A401" s="27" t="inlineStr">
        <is>
          <t>REL-006</t>
        </is>
      </c>
      <c r="B401" s="28" t="inlineStr">
        <is>
          <t>24 Release readiness</t>
        </is>
      </c>
      <c r="C401" s="28" t="inlineStr">
        <is>
          <t>Monitoring</t>
        </is>
      </c>
      <c r="D401" s="28" t="inlineStr">
        <is>
          <t>Crash reporting is live</t>
        </is>
      </c>
      <c r="E401" s="28" t="inlineStr">
        <is>
          <t>1. Build with crash reporting on and a DSN
2. Trigger a test crash</t>
        </is>
      </c>
      <c r="F401" s="28" t="inlineStr">
        <is>
          <t>Crash arrives in the dashboard, symbolicated.</t>
        </is>
      </c>
      <c r="G401" s="29" t="inlineStr">
        <is>
          <t>P0</t>
        </is>
      </c>
      <c r="H401" s="29" t="inlineStr">
        <is>
          <t>Release</t>
        </is>
      </c>
      <c r="I401" s="29" t="inlineStr">
        <is>
          <t>Both</t>
        </is>
      </c>
      <c r="J401" s="29" t="n"/>
      <c r="K401" s="31" t="inlineStr">
        <is>
          <t>Blocked</t>
        </is>
      </c>
      <c r="L401" s="32" t="inlineStr">
        <is>
          <t>Claude (adb)</t>
        </is>
      </c>
      <c r="M401" s="33" t="n">
        <v>46301</v>
      </c>
      <c r="N401" s="32" t="inlineStr">
        <is>
          <t>1.0.0+1 debug</t>
        </is>
      </c>
      <c r="O401" s="32" t="inlineStr">
        <is>
          <t>emulator-5554 / Android 14</t>
        </is>
      </c>
      <c r="P401" s="32" t="n"/>
      <c r="Q401" s="32" t="inlineStr">
        <is>
          <t>6 Oct 2026: Crash reporting needs MEDIBOOK_CRASH_REPORTING=true and a Sentry DSN, which this run did not have. Needs the owner / release manager.</t>
        </is>
      </c>
    </row>
    <row r="402" ht="30" customHeight="1">
      <c r="A402" s="27" t="inlineStr">
        <is>
          <t>REL-007</t>
        </is>
      </c>
      <c r="B402" s="28" t="inlineStr">
        <is>
          <t>24 Release readiness</t>
        </is>
      </c>
      <c r="C402" s="28" t="inlineStr">
        <is>
          <t>Monitoring</t>
        </is>
      </c>
      <c r="D402" s="28" t="inlineStr">
        <is>
          <t>Analytics (if enabled)</t>
        </is>
      </c>
      <c r="E402" s="28" t="inlineStr">
        <is>
          <t>Trigger key events</t>
        </is>
      </c>
      <c r="F402" s="28" t="inlineStr">
        <is>
          <t>Events arrive; consent is respected; no health data in payloads.</t>
        </is>
      </c>
      <c r="G402" s="29" t="inlineStr">
        <is>
          <t>P2</t>
        </is>
      </c>
      <c r="H402" s="29" t="inlineStr">
        <is>
          <t>Release</t>
        </is>
      </c>
      <c r="I402" s="29" t="inlineStr">
        <is>
          <t>Both</t>
        </is>
      </c>
      <c r="J402" s="29" t="n"/>
      <c r="K402" s="31" t="inlineStr">
        <is>
          <t>N/A</t>
        </is>
      </c>
      <c r="L402" s="32" t="inlineStr">
        <is>
          <t>Claude (adb)</t>
        </is>
      </c>
      <c r="M402" s="33" t="n">
        <v>46301</v>
      </c>
      <c r="N402" s="32" t="inlineStr">
        <is>
          <t>1.0.0+1 debug</t>
        </is>
      </c>
      <c r="O402" s="32" t="inlineStr">
        <is>
          <t>emulator-5554 / Android 14</t>
        </is>
      </c>
      <c r="P402" s="32" t="n"/>
      <c r="Q402" s="32" t="inlineStr">
        <is>
          <t>6 Oct 2026: Analytics is off (MEDIBOOK_ANALYTICS default false); when on, Analytics.scrub strips health fields.</t>
        </is>
      </c>
    </row>
    <row r="403" ht="17" customHeight="1">
      <c r="A403" s="27" t="inlineStr">
        <is>
          <t>REL-008</t>
        </is>
      </c>
      <c r="B403" s="28" t="inlineStr">
        <is>
          <t>24 Release readiness</t>
        </is>
      </c>
      <c r="C403" s="28" t="inlineStr">
        <is>
          <t>Android</t>
        </is>
      </c>
      <c r="D403" s="28" t="inlineStr">
        <is>
          <t>Target SDK and Play requirements</t>
        </is>
      </c>
      <c r="E403" s="28" t="inlineStr">
        <is>
          <t>Check targetSdk, 64-bit and 16 KB page-size support</t>
        </is>
      </c>
      <c r="F403" s="28" t="inlineStr">
        <is>
          <t>Meets the current Google Play requirements.</t>
        </is>
      </c>
      <c r="G403" s="29" t="inlineStr">
        <is>
          <t>P0</t>
        </is>
      </c>
      <c r="H403" s="29" t="inlineStr">
        <is>
          <t>Release</t>
        </is>
      </c>
      <c r="I403" s="29" t="inlineStr">
        <is>
          <t>Android</t>
        </is>
      </c>
      <c r="J403" s="29" t="n"/>
      <c r="K403" s="31" t="inlineStr">
        <is>
          <t>Pass</t>
        </is>
      </c>
      <c r="L403" s="32" t="inlineStr">
        <is>
          <t>Claude (adb)</t>
        </is>
      </c>
      <c r="M403" s="33" t="n">
        <v>46301</v>
      </c>
      <c r="N403" s="32" t="inlineStr">
        <is>
          <t>1.0.0+1 debug</t>
        </is>
      </c>
      <c r="O403" s="32" t="inlineStr">
        <is>
          <t>emulator-5554 / Android 14</t>
        </is>
      </c>
      <c r="P403" s="32" t="n"/>
      <c r="Q403" s="32" t="inlineStr">
        <is>
          <t>6 Oct 2026: Release APK: minSdk 24, targetSdk 36, native code for arm64-v8a, armeabi-v7a and x86_64 (64-bit present), zipalign -P 16 passes and every .so has LOAD alignment of 16 KB or 64 KB (16 KB page-size ready).</t>
        </is>
      </c>
    </row>
    <row r="404" ht="30" customHeight="1">
      <c r="A404" s="27" t="inlineStr">
        <is>
          <t>REL-009</t>
        </is>
      </c>
      <c r="B404" s="28" t="inlineStr">
        <is>
          <t>24 Release readiness</t>
        </is>
      </c>
      <c r="C404" s="28" t="inlineStr">
        <is>
          <t>Android</t>
        </is>
      </c>
      <c r="D404" s="28" t="inlineStr">
        <is>
          <t>App Links verification file</t>
        </is>
      </c>
      <c r="E404" s="28" t="inlineStr">
        <is>
          <t>Fetch https://medibook.app/.well-known/assetlinks.json</t>
        </is>
      </c>
      <c r="F404" s="28" t="inlineStr">
        <is>
          <t>Contains the release certificate fingerprint for the application id.</t>
        </is>
      </c>
      <c r="G404" s="29" t="inlineStr">
        <is>
          <t>P1</t>
        </is>
      </c>
      <c r="H404" s="29" t="inlineStr">
        <is>
          <t>Release</t>
        </is>
      </c>
      <c r="I404" s="29" t="inlineStr">
        <is>
          <t>Android</t>
        </is>
      </c>
      <c r="J404" s="29" t="n"/>
      <c r="K404" s="31" t="inlineStr">
        <is>
          <t>Blocked</t>
        </is>
      </c>
      <c r="L404" s="32" t="inlineStr">
        <is>
          <t>Claude (adb)</t>
        </is>
      </c>
      <c r="M404" s="33" t="n">
        <v>46301</v>
      </c>
      <c r="N404" s="32" t="inlineStr">
        <is>
          <t>1.0.0+1 debug</t>
        </is>
      </c>
      <c r="O404" s="32" t="inlineStr">
        <is>
          <t>emulator-5554 / Android 14</t>
        </is>
      </c>
      <c r="P404" s="32" t="n"/>
      <c r="Q404" s="32" t="inlineStr">
        <is>
          <t>6 Oct 2026: https://medibook.app/.well-known/assetlinks.json answers 307 instead of the file; Android verification of medibook.app failed (1024). BB-25; also needs the release certificate fingerprint (KB-06).</t>
        </is>
      </c>
    </row>
    <row r="405" ht="43" customHeight="1">
      <c r="A405" s="27" t="inlineStr">
        <is>
          <t>REL-010</t>
        </is>
      </c>
      <c r="B405" s="28" t="inlineStr">
        <is>
          <t>24 Release readiness</t>
        </is>
      </c>
      <c r="C405" s="28" t="inlineStr">
        <is>
          <t>iOS</t>
        </is>
      </c>
      <c r="D405" s="28" t="inlineStr">
        <is>
          <t>Universal Links association file</t>
        </is>
      </c>
      <c r="E405" s="28" t="inlineStr">
        <is>
          <t>1. Fetch https://medibook.app/.well-known/apple-app-site-association
2. Check the Associated Domains entitlement</t>
        </is>
      </c>
      <c r="F405" s="28" t="inlineStr">
        <is>
          <t>Both are present and match the bundle id.</t>
        </is>
      </c>
      <c r="G405" s="29" t="inlineStr">
        <is>
          <t>P1</t>
        </is>
      </c>
      <c r="H405" s="29" t="inlineStr">
        <is>
          <t>Release</t>
        </is>
      </c>
      <c r="I405" s="29" t="inlineStr">
        <is>
          <t>iOS</t>
        </is>
      </c>
      <c r="J405" s="29" t="n"/>
      <c r="K405" s="31" t="inlineStr">
        <is>
          <t>Blocked</t>
        </is>
      </c>
      <c r="L405" s="32" t="inlineStr">
        <is>
          <t>Claude (adb)</t>
        </is>
      </c>
      <c r="M405" s="33" t="n">
        <v>46301</v>
      </c>
      <c r="N405" s="32" t="inlineStr">
        <is>
          <t>1.0.0+1 debug</t>
        </is>
      </c>
      <c r="O405" s="32" t="inlineStr">
        <is>
          <t>emulator-5554 / Android 14</t>
        </is>
      </c>
      <c r="P405" s="32" t="n"/>
      <c r="Q405" s="32" t="inlineStr">
        <is>
          <t>6 Oct 2026: https://medibook.app/.well-known/apple-app-site-association answers 307; the iOS entitlement was not checked (no iOS). BB-25.</t>
        </is>
      </c>
    </row>
    <row r="406" ht="30" customHeight="1">
      <c r="A406" s="27" t="inlineStr">
        <is>
          <t>REL-011</t>
        </is>
      </c>
      <c r="B406" s="28" t="inlineStr">
        <is>
          <t>24 Release readiness</t>
        </is>
      </c>
      <c r="C406" s="28" t="inlineStr">
        <is>
          <t>iOS</t>
        </is>
      </c>
      <c r="D406" s="28" t="inlineStr">
        <is>
          <t>Privacy manifest and usage strings</t>
        </is>
      </c>
      <c r="E406" s="28" t="inlineStr">
        <is>
          <t>Review PrivacyInfo.xcprivacy and Info.plist usage descriptions</t>
        </is>
      </c>
      <c r="F406" s="28" t="inlineStr">
        <is>
          <t>All required-reason APIs and SDKs are declared; strings are accurate.</t>
        </is>
      </c>
      <c r="G406" s="29" t="inlineStr">
        <is>
          <t>P0</t>
        </is>
      </c>
      <c r="H406" s="29" t="inlineStr">
        <is>
          <t>Release</t>
        </is>
      </c>
      <c r="I406" s="29" t="inlineStr">
        <is>
          <t>iOS</t>
        </is>
      </c>
      <c r="J406" s="29" t="n"/>
      <c r="K406" s="31" t="inlineStr">
        <is>
          <t>Pass</t>
        </is>
      </c>
      <c r="L406" s="32" t="inlineStr">
        <is>
          <t>Claude (adb)</t>
        </is>
      </c>
      <c r="M406" s="33" t="n">
        <v>46301</v>
      </c>
      <c r="N406" s="32" t="inlineStr">
        <is>
          <t>1.0.0+1 debug</t>
        </is>
      </c>
      <c r="O406" s="32" t="inlineStr">
        <is>
          <t>emulator-5554 / Android 14</t>
        </is>
      </c>
      <c r="P406" s="32" t="inlineStr">
        <is>
          <t>DEF-100</t>
        </is>
      </c>
      <c r="Q406" s="32" t="inlineStr">
        <is>
          <t>6 Oct 2026: FIXED (DEF-100): added ios/Runner/PrivacyInfo.xcprivacy and listed it in the Xcode project as a Runner resource. Declares no tracking; collected data (linked, app functionality): name, email, phone, health, other user content, photos, purchase history, coarse location, user id; crash data (not linked). Required-reason APIs: file timestamp C617.1, system boot time 35F9.1, UserDefaults CA92.1. Plugins ship their own manifests. Info.plist strings: camera, photo library, and the new location string. The iOS app did not build at all before (file_picker needs iOS 14; target was 13.0) -&gt; deployment target raised to 14.0 (every iOS 13 phone can run 14). Verified: flutter build ios --simulator succeeds and Runner.app contains PrivacyInfo.xcprivacy (10 data types), MinimumOSVersion 14.0. The declared data types must match the App Store privacy answers (REL-016).</t>
        </is>
      </c>
    </row>
    <row r="407" ht="17" customHeight="1">
      <c r="A407" s="27" t="inlineStr">
        <is>
          <t>REL-012</t>
        </is>
      </c>
      <c r="B407" s="28" t="inlineStr">
        <is>
          <t>24 Release readiness</t>
        </is>
      </c>
      <c r="C407" s="28" t="inlineStr">
        <is>
          <t>iOS</t>
        </is>
      </c>
      <c r="D407" s="28" t="inlineStr">
        <is>
          <t>Export compliance</t>
        </is>
      </c>
      <c r="E407" s="28" t="inlineStr">
        <is>
          <t>Answer the encryption question in App Store Connect</t>
        </is>
      </c>
      <c r="F407" s="28" t="inlineStr">
        <is>
          <t>Declared correctly (standard HTTPS exemption).</t>
        </is>
      </c>
      <c r="G407" s="29" t="inlineStr">
        <is>
          <t>P2</t>
        </is>
      </c>
      <c r="H407" s="29" t="inlineStr">
        <is>
          <t>Release</t>
        </is>
      </c>
      <c r="I407" s="29" t="inlineStr">
        <is>
          <t>iOS</t>
        </is>
      </c>
      <c r="J407" s="29" t="n"/>
      <c r="K407" s="31" t="inlineStr">
        <is>
          <t>Blocked</t>
        </is>
      </c>
      <c r="L407" s="32" t="inlineStr">
        <is>
          <t>Claude (adb)</t>
        </is>
      </c>
      <c r="M407" s="33" t="n">
        <v>46301</v>
      </c>
      <c r="N407" s="32" t="inlineStr">
        <is>
          <t>1.0.0+1 debug</t>
        </is>
      </c>
      <c r="O407" s="32" t="inlineStr">
        <is>
          <t>emulator-5554 / Android 14</t>
        </is>
      </c>
      <c r="P407" s="32" t="n"/>
      <c r="Q407" s="32" t="inlineStr">
        <is>
          <t>6 Oct 2026: App Store Connect answer (standard HTTPS exemption). Needs the owner / release manager.</t>
        </is>
      </c>
    </row>
    <row r="408" ht="17" customHeight="1">
      <c r="A408" s="27" t="inlineStr">
        <is>
          <t>REL-013</t>
        </is>
      </c>
      <c r="B408" s="28" t="inlineStr">
        <is>
          <t>24 Release readiness</t>
        </is>
      </c>
      <c r="C408" s="28" t="inlineStr">
        <is>
          <t>Push</t>
        </is>
      </c>
      <c r="D408" s="28" t="inlineStr">
        <is>
          <t>Production push credentials</t>
        </is>
      </c>
      <c r="E408" s="28" t="inlineStr">
        <is>
          <t>Verify the production APNs key and FCM configuration</t>
        </is>
      </c>
      <c r="F408" s="28" t="inlineStr">
        <is>
          <t>Push works on the store-signed build.</t>
        </is>
      </c>
      <c r="G408" s="29" t="inlineStr">
        <is>
          <t>P0</t>
        </is>
      </c>
      <c r="H408" s="29" t="inlineStr">
        <is>
          <t>Release</t>
        </is>
      </c>
      <c r="I408" s="29" t="inlineStr">
        <is>
          <t>Both</t>
        </is>
      </c>
      <c r="J408" s="29" t="inlineStr">
        <is>
          <t>KB-04</t>
        </is>
      </c>
      <c r="K408" s="31" t="inlineStr">
        <is>
          <t>Blocked</t>
        </is>
      </c>
      <c r="L408" s="32" t="inlineStr">
        <is>
          <t>Claude (adb)</t>
        </is>
      </c>
      <c r="M408" s="33" t="n">
        <v>46301</v>
      </c>
      <c r="N408" s="32" t="inlineStr">
        <is>
          <t>1.0.0+1 debug</t>
        </is>
      </c>
      <c r="O408" s="32" t="inlineStr">
        <is>
          <t>emulator-5554 / Android 14</t>
        </is>
      </c>
      <c r="P408" s="32" t="n"/>
      <c r="Q408" s="32" t="inlineStr">
        <is>
          <t>6 Oct 2026: No push SDK or credentials (KB-04); owner decision on Firebase pending (BL-NOTIF-017).</t>
        </is>
      </c>
    </row>
    <row r="409" ht="30" customHeight="1">
      <c r="A409" s="27" t="inlineStr">
        <is>
          <t>REL-014</t>
        </is>
      </c>
      <c r="B409" s="28" t="inlineStr">
        <is>
          <t>24 Release readiness</t>
        </is>
      </c>
      <c r="C409" s="28" t="inlineStr">
        <is>
          <t>Payments</t>
        </is>
      </c>
      <c r="D409" s="28" t="inlineStr">
        <is>
          <t>Live Razorpay keys on production</t>
        </is>
      </c>
      <c r="E409" s="28" t="inlineStr">
        <is>
          <t>Confirm the production backend returns live keys and webhooks are configured</t>
        </is>
      </c>
      <c r="F409" s="28" t="inlineStr">
        <is>
          <t>Live payment and refund verified (see PAY module).</t>
        </is>
      </c>
      <c r="G409" s="29" t="inlineStr">
        <is>
          <t>P0</t>
        </is>
      </c>
      <c r="H409" s="29" t="inlineStr">
        <is>
          <t>Release</t>
        </is>
      </c>
      <c r="I409" s="29" t="inlineStr">
        <is>
          <t>Both</t>
        </is>
      </c>
      <c r="J409" s="29" t="inlineStr">
        <is>
          <t>KB-02</t>
        </is>
      </c>
      <c r="K409" s="31" t="inlineStr">
        <is>
          <t>Blocked</t>
        </is>
      </c>
      <c r="L409" s="32" t="inlineStr">
        <is>
          <t>Claude (adb)</t>
        </is>
      </c>
      <c r="M409" s="33" t="n">
        <v>46301</v>
      </c>
      <c r="N409" s="32" t="inlineStr">
        <is>
          <t>1.0.0+1 debug</t>
        </is>
      </c>
      <c r="O409" s="32" t="inlineStr">
        <is>
          <t>emulator-5554 / Android 14</t>
        </is>
      </c>
      <c r="P409" s="32" t="n"/>
      <c r="Q409" s="32" t="inlineStr">
        <is>
          <t>6 Oct 2026: Razorpay is the fake on the integration server; no live keys (KB-02, BB-16).</t>
        </is>
      </c>
    </row>
    <row r="410" ht="17" customHeight="1">
      <c r="A410" s="27" t="inlineStr">
        <is>
          <t>REL-015</t>
        </is>
      </c>
      <c r="B410" s="28" t="inlineStr">
        <is>
          <t>24 Release readiness</t>
        </is>
      </c>
      <c r="C410" s="28" t="inlineStr">
        <is>
          <t>SMS</t>
        </is>
      </c>
      <c r="D410" s="28" t="inlineStr">
        <is>
          <t>Production SMS provider</t>
        </is>
      </c>
      <c r="E410" s="28" t="inlineStr">
        <is>
          <t>Confirm DLT registration, sender id and OTP template</t>
        </is>
      </c>
      <c r="F410" s="28" t="inlineStr">
        <is>
          <t>OTP SMS is delivered on the major Indian carriers.</t>
        </is>
      </c>
      <c r="G410" s="29" t="inlineStr">
        <is>
          <t>P0</t>
        </is>
      </c>
      <c r="H410" s="29" t="inlineStr">
        <is>
          <t>Release</t>
        </is>
      </c>
      <c r="I410" s="29" t="inlineStr">
        <is>
          <t>Both</t>
        </is>
      </c>
      <c r="J410" s="29" t="inlineStr">
        <is>
          <t>KB-05</t>
        </is>
      </c>
      <c r="K410" s="31" t="inlineStr">
        <is>
          <t>Blocked</t>
        </is>
      </c>
      <c r="L410" s="32" t="inlineStr">
        <is>
          <t>Claude (adb)</t>
        </is>
      </c>
      <c r="M410" s="33" t="n">
        <v>46301</v>
      </c>
      <c r="N410" s="32" t="inlineStr">
        <is>
          <t>1.0.0+1 debug</t>
        </is>
      </c>
      <c r="O410" s="32" t="inlineStr">
        <is>
          <t>emulator-5554 / Android 14</t>
        </is>
      </c>
      <c r="P410" s="32" t="n"/>
      <c r="Q410" s="32" t="inlineStr">
        <is>
          <t>6 Oct 2026: No SMS on the integration server (KB-05, BB-01); DLT registration is a backend/ops item.</t>
        </is>
      </c>
    </row>
    <row r="411" ht="30" customHeight="1">
      <c r="A411" s="27" t="inlineStr">
        <is>
          <t>REL-016</t>
        </is>
      </c>
      <c r="B411" s="28" t="inlineStr">
        <is>
          <t>24 Release readiness</t>
        </is>
      </c>
      <c r="C411" s="28" t="inlineStr">
        <is>
          <t>Store</t>
        </is>
      </c>
      <c r="D411" s="28" t="inlineStr">
        <is>
          <t>Play Store listing complete</t>
        </is>
      </c>
      <c r="E411" s="28" t="inlineStr">
        <is>
          <t>Review listing: title, descriptions, screenshots, icon, feature graphic, category, content rating</t>
        </is>
      </c>
      <c r="F411" s="28" t="inlineStr">
        <is>
          <t>All complete and accurate.</t>
        </is>
      </c>
      <c r="G411" s="29" t="inlineStr">
        <is>
          <t>P1</t>
        </is>
      </c>
      <c r="H411" s="29" t="inlineStr">
        <is>
          <t>Release</t>
        </is>
      </c>
      <c r="I411" s="29" t="inlineStr">
        <is>
          <t>Android</t>
        </is>
      </c>
      <c r="J411" s="29" t="n"/>
      <c r="K411" s="31" t="inlineStr">
        <is>
          <t>Blocked</t>
        </is>
      </c>
      <c r="L411" s="32" t="inlineStr">
        <is>
          <t>Claude (adb)</t>
        </is>
      </c>
      <c r="M411" s="33" t="n">
        <v>46301</v>
      </c>
      <c r="N411" s="32" t="inlineStr">
        <is>
          <t>1.0.0+1 debug</t>
        </is>
      </c>
      <c r="O411" s="32" t="inlineStr">
        <is>
          <t>emulator-5554 / Android 14</t>
        </is>
      </c>
      <c r="P411" s="32" t="n"/>
      <c r="Q411" s="32" t="inlineStr">
        <is>
          <t>6 Oct 2026: Play listing is outside the app. Needs the owner / release manager.</t>
        </is>
      </c>
    </row>
    <row r="412" ht="30" customHeight="1">
      <c r="A412" s="27" t="inlineStr">
        <is>
          <t>REL-017</t>
        </is>
      </c>
      <c r="B412" s="28" t="inlineStr">
        <is>
          <t>24 Release readiness</t>
        </is>
      </c>
      <c r="C412" s="28" t="inlineStr">
        <is>
          <t>Store</t>
        </is>
      </c>
      <c r="D412" s="28" t="inlineStr">
        <is>
          <t>Play Data safety and health declarations</t>
        </is>
      </c>
      <c r="E412" s="28" t="inlineStr">
        <is>
          <t>Complete the Data safety form, health apps declaration and account-deletion URL</t>
        </is>
      </c>
      <c r="F412" s="28" t="inlineStr">
        <is>
          <t>Forms submitted and consistent with actual behaviour.</t>
        </is>
      </c>
      <c r="G412" s="29" t="inlineStr">
        <is>
          <t>P0</t>
        </is>
      </c>
      <c r="H412" s="29" t="inlineStr">
        <is>
          <t>Release</t>
        </is>
      </c>
      <c r="I412" s="29" t="inlineStr">
        <is>
          <t>Android</t>
        </is>
      </c>
      <c r="J412" s="29" t="n"/>
      <c r="K412" s="31" t="inlineStr">
        <is>
          <t>Blocked</t>
        </is>
      </c>
      <c r="L412" s="32" t="inlineStr">
        <is>
          <t>Claude (adb)</t>
        </is>
      </c>
      <c r="M412" s="33" t="n">
        <v>46301</v>
      </c>
      <c r="N412" s="32" t="inlineStr">
        <is>
          <t>1.0.0+1 debug</t>
        </is>
      </c>
      <c r="O412" s="32" t="inlineStr">
        <is>
          <t>emulator-5554 / Android 14</t>
        </is>
      </c>
      <c r="P412" s="32" t="n"/>
      <c r="Q412" s="32" t="inlineStr">
        <is>
          <t>6 Oct 2026: Play Data safety / health declarations are store forms. The app has in-app account deletion and data export (SEC-022) to point to; DEF-094 changes 'data encrypted at rest' to yes. Needs the owner / release manager.</t>
        </is>
      </c>
    </row>
    <row r="413" ht="30" customHeight="1">
      <c r="A413" s="27" t="inlineStr">
        <is>
          <t>REL-018</t>
        </is>
      </c>
      <c r="B413" s="28" t="inlineStr">
        <is>
          <t>24 Release readiness</t>
        </is>
      </c>
      <c r="C413" s="28" t="inlineStr">
        <is>
          <t>Store</t>
        </is>
      </c>
      <c r="D413" s="28" t="inlineStr">
        <is>
          <t>App Store listing and privacy labels</t>
        </is>
      </c>
      <c r="E413" s="28" t="inlineStr">
        <is>
          <t>Review listing, screenshots for required sizes and privacy nutrition labels</t>
        </is>
      </c>
      <c r="F413" s="28" t="inlineStr">
        <is>
          <t>All complete and accurate.</t>
        </is>
      </c>
      <c r="G413" s="29" t="inlineStr">
        <is>
          <t>P1</t>
        </is>
      </c>
      <c r="H413" s="29" t="inlineStr">
        <is>
          <t>Release</t>
        </is>
      </c>
      <c r="I413" s="29" t="inlineStr">
        <is>
          <t>iOS</t>
        </is>
      </c>
      <c r="J413" s="29" t="n"/>
      <c r="K413" s="31" t="inlineStr">
        <is>
          <t>Blocked</t>
        </is>
      </c>
      <c r="L413" s="32" t="inlineStr">
        <is>
          <t>Claude (adb)</t>
        </is>
      </c>
      <c r="M413" s="33" t="n">
        <v>46301</v>
      </c>
      <c r="N413" s="32" t="inlineStr">
        <is>
          <t>1.0.0+1 debug</t>
        </is>
      </c>
      <c r="O413" s="32" t="inlineStr">
        <is>
          <t>emulator-5554 / Android 14</t>
        </is>
      </c>
      <c r="P413" s="32" t="n"/>
      <c r="Q413" s="32" t="inlineStr">
        <is>
          <t>6 Oct 2026: App Store listing and privacy labels are store forms. Needs the owner / release manager.</t>
        </is>
      </c>
    </row>
    <row r="414" ht="30" customHeight="1">
      <c r="A414" s="27" t="inlineStr">
        <is>
          <t>REL-019</t>
        </is>
      </c>
      <c r="B414" s="28" t="inlineStr">
        <is>
          <t>24 Release readiness</t>
        </is>
      </c>
      <c r="C414" s="28" t="inlineStr">
        <is>
          <t>Store</t>
        </is>
      </c>
      <c r="D414" s="28" t="inlineStr">
        <is>
          <t>Reviewer access</t>
        </is>
      </c>
      <c r="E414" s="28" t="inlineStr">
        <is>
          <t>Provide a working reviewer account and notes (OTP sign-in needs a test number that works for reviewers)</t>
        </is>
      </c>
      <c r="F414" s="28" t="inlineStr">
        <is>
          <t>Reviewer can sign in and reach every feature.</t>
        </is>
      </c>
      <c r="G414" s="29" t="inlineStr">
        <is>
          <t>P0</t>
        </is>
      </c>
      <c r="H414" s="29" t="inlineStr">
        <is>
          <t>Release</t>
        </is>
      </c>
      <c r="I414" s="29" t="inlineStr">
        <is>
          <t>Both</t>
        </is>
      </c>
      <c r="J414" s="29" t="n"/>
      <c r="K414" s="31" t="inlineStr">
        <is>
          <t>Blocked</t>
        </is>
      </c>
      <c r="L414" s="32" t="inlineStr">
        <is>
          <t>Claude (adb)</t>
        </is>
      </c>
      <c r="M414" s="33" t="n">
        <v>46301</v>
      </c>
      <c r="N414" s="32" t="inlineStr">
        <is>
          <t>1.0.0+1 debug</t>
        </is>
      </c>
      <c r="O414" s="32" t="inlineStr">
        <is>
          <t>emulator-5554 / Android 14</t>
        </is>
      </c>
      <c r="P414" s="32" t="n"/>
      <c r="Q414" s="32" t="inlineStr">
        <is>
          <t>6 Oct 2026: Reviewers need a working sign-in: password accounts work, but OTP sign-in needs a test number that receives codes (BB-01).</t>
        </is>
      </c>
    </row>
    <row r="415" ht="30" customHeight="1">
      <c r="A415" s="27" t="inlineStr">
        <is>
          <t>REL-020</t>
        </is>
      </c>
      <c r="B415" s="28" t="inlineStr">
        <is>
          <t>24 Release readiness</t>
        </is>
      </c>
      <c r="C415" s="28" t="inlineStr">
        <is>
          <t>Legal</t>
        </is>
      </c>
      <c r="D415" s="28" t="inlineStr">
        <is>
          <t>Policies are published</t>
        </is>
      </c>
      <c r="E415" s="28" t="inlineStr">
        <is>
          <t>Open the live Terms, Privacy and Guidelines in the app and on the web</t>
        </is>
      </c>
      <c r="F415" s="28" t="inlineStr">
        <is>
          <t>Final approved text, correct versions, working URLs in the store listings.</t>
        </is>
      </c>
      <c r="G415" s="29" t="inlineStr">
        <is>
          <t>P0</t>
        </is>
      </c>
      <c r="H415" s="29" t="inlineStr">
        <is>
          <t>Release</t>
        </is>
      </c>
      <c r="I415" s="29" t="inlineStr">
        <is>
          <t>Both</t>
        </is>
      </c>
      <c r="J415" s="29" t="n"/>
      <c r="K415" s="31" t="inlineStr">
        <is>
          <t>Blocked</t>
        </is>
      </c>
      <c r="L415" s="32" t="inlineStr">
        <is>
          <t>Claude (adb)</t>
        </is>
      </c>
      <c r="M415" s="33" t="n">
        <v>46301</v>
      </c>
      <c r="N415" s="32" t="inlineStr">
        <is>
          <t>1.0.0+1 debug</t>
        </is>
      </c>
      <c r="O415" s="32" t="inlineStr">
        <is>
          <t>emulator-5554 / Android 14</t>
        </is>
      </c>
      <c r="P415" s="32" t="n"/>
      <c r="Q415" s="32" t="inlineStr">
        <is>
          <t>6 Oct 2026: In the app, Terms, Privacy and Community Guidelines load from the server ('Version 1 · published 31 July 2026'). Final approved text and the public web URLs for the store listings need the owner.</t>
        </is>
      </c>
    </row>
    <row r="416" ht="30" customHeight="1">
      <c r="A416" s="27" t="inlineStr">
        <is>
          <t>REL-021</t>
        </is>
      </c>
      <c r="B416" s="28" t="inlineStr">
        <is>
          <t>24 Release readiness</t>
        </is>
      </c>
      <c r="C416" s="28" t="inlineStr">
        <is>
          <t>Content</t>
        </is>
      </c>
      <c r="D416" s="28" t="inlineStr">
        <is>
          <t>No test or placeholder content</t>
        </is>
      </c>
      <c r="E416" s="28" t="inlineStr">
        <is>
          <t>Review the production app for lorem ipsum, test hospitals, placeholder images and fake support numbers</t>
        </is>
      </c>
      <c r="F416" s="28" t="inlineStr">
        <is>
          <t>None present.</t>
        </is>
      </c>
      <c r="G416" s="29" t="inlineStr">
        <is>
          <t>P1</t>
        </is>
      </c>
      <c r="H416" s="29" t="inlineStr">
        <is>
          <t>Release</t>
        </is>
      </c>
      <c r="I416" s="29" t="inlineStr">
        <is>
          <t>Both</t>
        </is>
      </c>
      <c r="J416" s="29" t="n"/>
      <c r="K416" s="31" t="inlineStr">
        <is>
          <t>Pass</t>
        </is>
      </c>
      <c r="L416" s="32" t="inlineStr">
        <is>
          <t>Claude (adb)</t>
        </is>
      </c>
      <c r="M416" s="33" t="n">
        <v>46301</v>
      </c>
      <c r="N416" s="32" t="inlineStr">
        <is>
          <t>1.0.0+1 debug</t>
        </is>
      </c>
      <c r="O416" s="32" t="inlineStr">
        <is>
          <t>emulator-5554 / Android 14</t>
        </is>
      </c>
      <c r="P416" s="32" t="n"/>
      <c r="Q416" s="32" t="inlineStr">
        <is>
          <t>6 Oct 2026: App code: no lorem ipsum or placeholder strings (example addresses appear only as input hints, e.g. 'you@example.com'); the support number comes from app-config and 108 is the real Indian emergency number. The integration server's test hospitals and contact data (e.g. lakeshore.example.com) are server data — production content must come from the production backend.</t>
        </is>
      </c>
    </row>
    <row r="417" ht="30" customHeight="1">
      <c r="A417" s="27" t="inlineStr">
        <is>
          <t>REL-022</t>
        </is>
      </c>
      <c r="B417" s="28" t="inlineStr">
        <is>
          <t>24 Release readiness</t>
        </is>
      </c>
      <c r="C417" s="28" t="inlineStr">
        <is>
          <t>Backend</t>
        </is>
      </c>
      <c r="D417" s="28" t="inlineStr">
        <is>
          <t>Production backend readiness</t>
        </is>
      </c>
      <c r="E417" s="28" t="inlineStr">
        <is>
          <t>Check health endpoint, monitoring, backups, rate limits and on-call</t>
        </is>
      </c>
      <c r="F417" s="28" t="inlineStr">
        <is>
          <t>All in place before launch.</t>
        </is>
      </c>
      <c r="G417" s="29" t="inlineStr">
        <is>
          <t>P0</t>
        </is>
      </c>
      <c r="H417" s="29" t="inlineStr">
        <is>
          <t>Release</t>
        </is>
      </c>
      <c r="I417" s="29" t="inlineStr">
        <is>
          <t>Both</t>
        </is>
      </c>
      <c r="J417" s="29" t="n"/>
      <c r="K417" s="31" t="inlineStr">
        <is>
          <t>Blocked</t>
        </is>
      </c>
      <c r="L417" s="32" t="inlineStr">
        <is>
          <t>Claude (adb)</t>
        </is>
      </c>
      <c r="M417" s="33" t="n">
        <v>46301</v>
      </c>
      <c r="N417" s="32" t="inlineStr">
        <is>
          <t>1.0.0+1 debug</t>
        </is>
      </c>
      <c r="O417" s="32" t="inlineStr">
        <is>
          <t>emulator-5554 / Android 14</t>
        </is>
      </c>
      <c r="P417" s="32" t="n"/>
      <c r="Q417" s="32" t="inlineStr">
        <is>
          <t>6 Oct 2026: Production backend readiness (health, monitoring, backups, on-call) is outside the app; no production host yet (BB-24).</t>
        </is>
      </c>
    </row>
    <row r="418" ht="30" customHeight="1">
      <c r="A418" s="27" t="inlineStr">
        <is>
          <t>REL-023</t>
        </is>
      </c>
      <c r="B418" s="28" t="inlineStr">
        <is>
          <t>24 Release readiness</t>
        </is>
      </c>
      <c r="C418" s="28" t="inlineStr">
        <is>
          <t>Rollout</t>
        </is>
      </c>
      <c r="D418" s="28" t="inlineStr">
        <is>
          <t>Staged rollout and rollback plan</t>
        </is>
      </c>
      <c r="E418" s="28" t="inlineStr">
        <is>
          <t>Agree rollout percentages, halt criteria and the rollback/hotfix path</t>
        </is>
      </c>
      <c r="F418" s="28" t="inlineStr">
        <is>
          <t>Plan is written and owned.</t>
        </is>
      </c>
      <c r="G418" s="29" t="inlineStr">
        <is>
          <t>P1</t>
        </is>
      </c>
      <c r="H418" s="29" t="inlineStr">
        <is>
          <t>Release</t>
        </is>
      </c>
      <c r="I418" s="29" t="inlineStr">
        <is>
          <t>Both</t>
        </is>
      </c>
      <c r="J418" s="29" t="n"/>
      <c r="K418" s="31" t="inlineStr">
        <is>
          <t>Blocked</t>
        </is>
      </c>
      <c r="L418" s="32" t="inlineStr">
        <is>
          <t>Claude (adb)</t>
        </is>
      </c>
      <c r="M418" s="33" t="n">
        <v>46301</v>
      </c>
      <c r="N418" s="32" t="inlineStr">
        <is>
          <t>1.0.0+1 debug</t>
        </is>
      </c>
      <c r="O418" s="32" t="inlineStr">
        <is>
          <t>emulator-5554 / Android 14</t>
        </is>
      </c>
      <c r="P418" s="32" t="n"/>
      <c r="Q418" s="32" t="inlineStr">
        <is>
          <t>6 Oct 2026: Staged rollout and rollback plan to be written and owned. Needs the owner / release manager.</t>
        </is>
      </c>
    </row>
    <row r="419" ht="17" customHeight="1">
      <c r="A419" s="27" t="inlineStr">
        <is>
          <t>REL-024</t>
        </is>
      </c>
      <c r="B419" s="28" t="inlineStr">
        <is>
          <t>24 Release readiness</t>
        </is>
      </c>
      <c r="C419" s="28" t="inlineStr">
        <is>
          <t>Rollout</t>
        </is>
      </c>
      <c r="D419" s="28" t="inlineStr">
        <is>
          <t>Forced-update path</t>
        </is>
      </c>
      <c r="E419" s="28" t="inlineStr">
        <is>
          <t>Confirm how an old app version is told to update</t>
        </is>
      </c>
      <c r="F419" s="28" t="inlineStr">
        <is>
          <t>A mechanism exists and has been tested.</t>
        </is>
      </c>
      <c r="G419" s="29" t="inlineStr">
        <is>
          <t>P1</t>
        </is>
      </c>
      <c r="H419" s="29" t="inlineStr">
        <is>
          <t>Release</t>
        </is>
      </c>
      <c r="I419" s="29" t="inlineStr">
        <is>
          <t>Both</t>
        </is>
      </c>
      <c r="J419" s="29" t="n"/>
      <c r="K419" s="31" t="inlineStr">
        <is>
          <t>Blocked</t>
        </is>
      </c>
      <c r="L419" s="32" t="inlineStr">
        <is>
          <t>Claude (adb)</t>
        </is>
      </c>
      <c r="M419" s="33" t="n">
        <v>46301</v>
      </c>
      <c r="N419" s="32" t="inlineStr">
        <is>
          <t>1.0.0+1 debug</t>
        </is>
      </c>
      <c r="O419" s="32" t="inlineStr">
        <is>
          <t>emulator-5554 / Android 14</t>
        </is>
      </c>
      <c r="P419" s="32" t="n"/>
      <c r="Q419" s="32" t="inlineStr">
        <is>
          <t>6 Oct 2026: AppUpdateGate checks app-config min_versions on launch and on resume; testing needs a Play-distributed build and the minimum version raised on the server (BB-05, BL-AUTH-061).</t>
        </is>
      </c>
    </row>
    <row r="420" ht="30" customHeight="1">
      <c r="A420" s="27" t="inlineStr">
        <is>
          <t>REL-025</t>
        </is>
      </c>
      <c r="B420" s="28" t="inlineStr">
        <is>
          <t>24 Release readiness</t>
        </is>
      </c>
      <c r="C420" s="28" t="inlineStr">
        <is>
          <t>Track</t>
        </is>
      </c>
      <c r="D420" s="28" t="inlineStr">
        <is>
          <t>Store-distributed build tested</t>
        </is>
      </c>
      <c r="E420" s="28" t="inlineStr">
        <is>
          <t>Run the E2E journeys on the build downloaded from the internal track / TestFlight</t>
        </is>
      </c>
      <c r="F420" s="28" t="inlineStr">
        <is>
          <t>All journeys pass on the exact binary that will ship.</t>
        </is>
      </c>
      <c r="G420" s="29" t="inlineStr">
        <is>
          <t>P0</t>
        </is>
      </c>
      <c r="H420" s="29" t="inlineStr">
        <is>
          <t>Release</t>
        </is>
      </c>
      <c r="I420" s="29" t="inlineStr">
        <is>
          <t>Both</t>
        </is>
      </c>
      <c r="J420" s="29" t="n"/>
      <c r="K420" s="31" t="inlineStr">
        <is>
          <t>Blocked</t>
        </is>
      </c>
      <c r="L420" s="32" t="inlineStr">
        <is>
          <t>Claude (adb)</t>
        </is>
      </c>
      <c r="M420" s="33" t="n">
        <v>46301</v>
      </c>
      <c r="N420" s="32" t="inlineStr">
        <is>
          <t>1.0.0+1 debug</t>
        </is>
      </c>
      <c r="O420" s="32" t="inlineStr">
        <is>
          <t>emulator-5554 / Android 14</t>
        </is>
      </c>
      <c r="P420" s="32" t="n"/>
      <c r="Q420" s="32" t="inlineStr">
        <is>
          <t>6 Oct 2026: No internal-track or TestFlight build exists; this run used local debug and release APKs.</t>
        </is>
      </c>
    </row>
    <row r="421" ht="17" customHeight="1">
      <c r="A421" s="27" t="inlineStr">
        <is>
          <t>REL-026</t>
        </is>
      </c>
      <c r="B421" s="28" t="inlineStr">
        <is>
          <t>24 Release readiness</t>
        </is>
      </c>
      <c r="C421" s="28" t="inlineStr">
        <is>
          <t>Licences</t>
        </is>
      </c>
      <c r="D421" s="28" t="inlineStr">
        <is>
          <t>Open-source licences</t>
        </is>
      </c>
      <c r="E421" s="28" t="inlineStr">
        <is>
          <t>Find the licences page in the app</t>
        </is>
      </c>
      <c r="F421" s="28" t="inlineStr">
        <is>
          <t>Licences for bundled packages and fonts are shown.</t>
        </is>
      </c>
      <c r="G421" s="29" t="inlineStr">
        <is>
          <t>P3</t>
        </is>
      </c>
      <c r="H421" s="29" t="inlineStr">
        <is>
          <t>Release</t>
        </is>
      </c>
      <c r="I421" s="29" t="inlineStr">
        <is>
          <t>Both</t>
        </is>
      </c>
      <c r="J421" s="29" t="n"/>
      <c r="K421" s="31" t="inlineStr">
        <is>
          <t>Pass</t>
        </is>
      </c>
      <c r="L421" s="32" t="inlineStr">
        <is>
          <t>Claude (adb)</t>
        </is>
      </c>
      <c r="M421" s="33" t="n">
        <v>46301</v>
      </c>
      <c r="N421" s="32" t="inlineStr">
        <is>
          <t>1.0.0+1 debug</t>
        </is>
      </c>
      <c r="O421" s="32" t="inlineStr">
        <is>
          <t>emulator-5554 / Android 14</t>
        </is>
      </c>
      <c r="P421" s="32" t="inlineStr">
        <is>
          <t>DEF-101</t>
        </is>
      </c>
      <c r="Q421" s="32" t="inlineStr">
        <is>
          <t>6 Oct 2026: FIXED (DEF-101): the bundled fonts' SIL Open Font License 1.1 texts are now in assets/licenses (OFL-Poppins.txt, OFL-Inter.txt) with the copyright lines read from the font files ('Copyright 2020 The Poppins Project Authors', 'Copyright 2016 The Inter Project Authors') and registered at start-up, so Profile &gt; Help &gt; Open-source licences lists Poppins and Inter beside every package's licence. Test: font_licenses_test.dart.</t>
        </is>
      </c>
    </row>
    <row r="422" ht="17" customHeight="1">
      <c r="A422" s="27" t="inlineStr">
        <is>
          <t>CODE-001</t>
        </is>
      </c>
      <c r="B422" s="28" t="inlineStr">
        <is>
          <t>25 Code quality gates</t>
        </is>
      </c>
      <c r="C422" s="28" t="inlineStr">
        <is>
          <t>Analyze</t>
        </is>
      </c>
      <c r="D422" s="28" t="inlineStr">
        <is>
          <t>Static analysis is clean</t>
        </is>
      </c>
      <c r="E422" s="28" t="inlineStr">
        <is>
          <t>Run flutter analyze</t>
        </is>
      </c>
      <c r="F422" s="28" t="inlineStr">
        <is>
          <t>Zero errors and warnings.</t>
        </is>
      </c>
      <c r="G422" s="29" t="inlineStr">
        <is>
          <t>P0</t>
        </is>
      </c>
      <c r="H422" s="29" t="inlineStr">
        <is>
          <t>Release</t>
        </is>
      </c>
      <c r="I422" s="29" t="inlineStr">
        <is>
          <t>Both</t>
        </is>
      </c>
      <c r="J422" s="29" t="n"/>
      <c r="K422" s="31" t="inlineStr">
        <is>
          <t>Pass</t>
        </is>
      </c>
      <c r="L422" s="32" t="inlineStr">
        <is>
          <t>Claude (adb)</t>
        </is>
      </c>
      <c r="M422" s="33" t="n">
        <v>46301</v>
      </c>
      <c r="N422" s="32" t="inlineStr">
        <is>
          <t>1.0.0+1 debug</t>
        </is>
      </c>
      <c r="O422" s="32" t="inlineStr">
        <is>
          <t>emulator-5554 / Android 14</t>
        </is>
      </c>
      <c r="P422" s="32" t="n"/>
      <c r="Q422" s="32" t="inlineStr">
        <is>
          <t>6 Oct 2026: flutter analyze: No issues found (run after every change today).</t>
        </is>
      </c>
    </row>
    <row r="423" ht="17" customHeight="1">
      <c r="A423" s="27" t="inlineStr">
        <is>
          <t>CODE-002</t>
        </is>
      </c>
      <c r="B423" s="28" t="inlineStr">
        <is>
          <t>25 Code quality gates</t>
        </is>
      </c>
      <c r="C423" s="28" t="inlineStr">
        <is>
          <t>Format</t>
        </is>
      </c>
      <c r="D423" s="28" t="inlineStr">
        <is>
          <t>Formatting is clean</t>
        </is>
      </c>
      <c r="E423" s="28" t="inlineStr">
        <is>
          <t>Run dart format --set-exit-if-changed .</t>
        </is>
      </c>
      <c r="F423" s="28" t="inlineStr">
        <is>
          <t>No changes needed.</t>
        </is>
      </c>
      <c r="G423" s="29" t="inlineStr">
        <is>
          <t>P2</t>
        </is>
      </c>
      <c r="H423" s="29" t="inlineStr">
        <is>
          <t>Release</t>
        </is>
      </c>
      <c r="I423" s="29" t="inlineStr">
        <is>
          <t>Both</t>
        </is>
      </c>
      <c r="J423" s="29" t="n"/>
      <c r="K423" s="31" t="inlineStr">
        <is>
          <t>Pass</t>
        </is>
      </c>
      <c r="L423" s="32" t="inlineStr">
        <is>
          <t>Claude (adb)</t>
        </is>
      </c>
      <c r="M423" s="33" t="n">
        <v>46301</v>
      </c>
      <c r="N423" s="32" t="inlineStr">
        <is>
          <t>1.0.0+1 debug</t>
        </is>
      </c>
      <c r="O423" s="32" t="inlineStr">
        <is>
          <t>emulator-5554 / Android 14</t>
        </is>
      </c>
      <c r="P423" s="32" t="n"/>
      <c r="Q423" s="32" t="inlineStr">
        <is>
          <t>6 Oct 2026: dart format --set-exit-if-changed on lib and test: no changes needed (0 of 395 lib files).</t>
        </is>
      </c>
    </row>
    <row r="424" ht="17" customHeight="1">
      <c r="A424" s="27" t="inlineStr">
        <is>
          <t>CODE-003</t>
        </is>
      </c>
      <c r="B424" s="28" t="inlineStr">
        <is>
          <t>25 Code quality gates</t>
        </is>
      </c>
      <c r="C424" s="28" t="inlineStr">
        <is>
          <t>Tests</t>
        </is>
      </c>
      <c r="D424" s="28" t="inlineStr">
        <is>
          <t>Unit and widget tests pass</t>
        </is>
      </c>
      <c r="E424" s="28" t="inlineStr">
        <is>
          <t>Run flutter test</t>
        </is>
      </c>
      <c r="F424" s="28" t="inlineStr">
        <is>
          <t>All tests pass.</t>
        </is>
      </c>
      <c r="G424" s="29" t="inlineStr">
        <is>
          <t>P0</t>
        </is>
      </c>
      <c r="H424" s="29" t="inlineStr">
        <is>
          <t>Release</t>
        </is>
      </c>
      <c r="I424" s="29" t="inlineStr">
        <is>
          <t>Both</t>
        </is>
      </c>
      <c r="J424" s="29" t="n"/>
      <c r="K424" s="31" t="inlineStr">
        <is>
          <t>Pass</t>
        </is>
      </c>
      <c r="L424" s="32" t="inlineStr">
        <is>
          <t>Claude (adb)</t>
        </is>
      </c>
      <c r="M424" s="33" t="n">
        <v>46301</v>
      </c>
      <c r="N424" s="32" t="inlineStr">
        <is>
          <t>1.0.0+1 debug</t>
        </is>
      </c>
      <c r="O424" s="32" t="inlineStr">
        <is>
          <t>emulator-5554 / Android 14</t>
        </is>
      </c>
      <c r="P424" s="32" t="n"/>
      <c r="Q424" s="32" t="inlineStr">
        <is>
          <t>6 Oct 2026: flutter test: 559 passed, 4 skipped, all tests passed (including 30+ tests added today).</t>
        </is>
      </c>
    </row>
    <row r="425" ht="30" customHeight="1">
      <c r="A425" s="27" t="inlineStr">
        <is>
          <t>CODE-004</t>
        </is>
      </c>
      <c r="B425" s="28" t="inlineStr">
        <is>
          <t>25 Code quality gates</t>
        </is>
      </c>
      <c r="C425" s="28" t="inlineStr">
        <is>
          <t>Tests</t>
        </is>
      </c>
      <c r="D425" s="28" t="inlineStr">
        <is>
          <t>Golden tests pass</t>
        </is>
      </c>
      <c r="E425" s="28" t="inlineStr">
        <is>
          <t>1. Run the golden suite
2. Check test/goldens/failures</t>
        </is>
      </c>
      <c r="F425" s="28" t="inlineStr">
        <is>
          <t>No golden diffs; the failures folder is empty or removed.</t>
        </is>
      </c>
      <c r="G425" s="29" t="inlineStr">
        <is>
          <t>P1</t>
        </is>
      </c>
      <c r="H425" s="29" t="inlineStr">
        <is>
          <t>Release</t>
        </is>
      </c>
      <c r="I425" s="29" t="inlineStr">
        <is>
          <t>Both</t>
        </is>
      </c>
      <c r="J425" s="29" t="inlineStr">
        <is>
          <t>KB-11</t>
        </is>
      </c>
      <c r="K425" s="31" t="inlineStr">
        <is>
          <t>Pass</t>
        </is>
      </c>
      <c r="L425" s="32" t="inlineStr">
        <is>
          <t>Claude (adb)</t>
        </is>
      </c>
      <c r="M425" s="33" t="n">
        <v>46301</v>
      </c>
      <c r="N425" s="32" t="inlineStr">
        <is>
          <t>1.0.0+1 debug</t>
        </is>
      </c>
      <c r="O425" s="32" t="inlineStr">
        <is>
          <t>emulator-5554 / Android 14</t>
        </is>
      </c>
      <c r="P425" s="32" t="n"/>
      <c r="Q425" s="32" t="inlineStr">
        <is>
          <t>6 Oct 2026: Golden suite passes (19). Three screen goldens were updated for intended changes (taller pill-tab rows, no '0 visits' before load); the git-ignored test/goldens/failures folder held only stale images from earlier runs and was removed (KB-11).</t>
        </is>
      </c>
    </row>
    <row r="426" ht="30" customHeight="1">
      <c r="A426" s="27" t="inlineStr">
        <is>
          <t>CODE-005</t>
        </is>
      </c>
      <c r="B426" s="28" t="inlineStr">
        <is>
          <t>25 Code quality gates</t>
        </is>
      </c>
      <c r="C426" s="28" t="inlineStr">
        <is>
          <t>Tests</t>
        </is>
      </c>
      <c r="D426" s="28" t="inlineStr">
        <is>
          <t>Live-backend integration test passes</t>
        </is>
      </c>
      <c r="E426" s="28" t="inlineStr">
        <is>
          <t>Run test/integration/live_backend_test.dart against pre-production</t>
        </is>
      </c>
      <c r="F426" s="28" t="inlineStr">
        <is>
          <t>Passes.</t>
        </is>
      </c>
      <c r="G426" s="29" t="inlineStr">
        <is>
          <t>P1</t>
        </is>
      </c>
      <c r="H426" s="29" t="inlineStr">
        <is>
          <t>Release</t>
        </is>
      </c>
      <c r="I426" s="29" t="inlineStr">
        <is>
          <t>Both</t>
        </is>
      </c>
      <c r="J426" s="29" t="n"/>
      <c r="K426" s="31" t="inlineStr">
        <is>
          <t>Pass</t>
        </is>
      </c>
      <c r="L426" s="32" t="inlineStr">
        <is>
          <t>Claude (adb)</t>
        </is>
      </c>
      <c r="M426" s="33" t="n">
        <v>46301</v>
      </c>
      <c r="N426" s="32" t="inlineStr">
        <is>
          <t>1.0.0+1 debug</t>
        </is>
      </c>
      <c r="O426" s="32" t="inlineStr">
        <is>
          <t>emulator-5554 / Android 14</t>
        </is>
      </c>
      <c r="P426" s="32" t="n"/>
      <c r="Q426" s="32" t="inlineStr">
        <is>
          <t>6 Oct 2026: Re-run against the integration server: test/integration/live_backend_test.dart 4/4 passed. The earlier failure was the server's temporary lockout (423 AUTH_LOCKED_OUT) on the test's fixed number after repeated runs, which has expired; not an app defect and not a backend blocker.</t>
        </is>
      </c>
    </row>
    <row r="427" ht="30" customHeight="1">
      <c r="A427" s="27" t="inlineStr">
        <is>
          <t>CODE-006</t>
        </is>
      </c>
      <c r="B427" s="28" t="inlineStr">
        <is>
          <t>25 Code quality gates</t>
        </is>
      </c>
      <c r="C427" s="28" t="inlineStr">
        <is>
          <t>Tests</t>
        </is>
      </c>
      <c r="D427" s="28" t="inlineStr">
        <is>
          <t>Coverage meets the agreed threshold</t>
        </is>
      </c>
      <c r="E427" s="28" t="inlineStr">
        <is>
          <t>Run flutter test --coverage</t>
        </is>
      </c>
      <c r="F427" s="28" t="inlineStr">
        <is>
          <t>Coverage is at or above the team threshold for domain and application layers.</t>
        </is>
      </c>
      <c r="G427" s="29" t="inlineStr">
        <is>
          <t>P2</t>
        </is>
      </c>
      <c r="H427" s="29" t="inlineStr">
        <is>
          <t>Release</t>
        </is>
      </c>
      <c r="I427" s="29" t="inlineStr">
        <is>
          <t>Both</t>
        </is>
      </c>
      <c r="J427" s="29" t="n"/>
      <c r="K427" s="31" t="inlineStr">
        <is>
          <t>Blocked</t>
        </is>
      </c>
      <c r="L427" s="32" t="inlineStr">
        <is>
          <t>Claude (adb)</t>
        </is>
      </c>
      <c r="M427" s="33" t="n">
        <v>46301</v>
      </c>
      <c r="N427" s="32" t="inlineStr">
        <is>
          <t>1.0.0+1 debug</t>
        </is>
      </c>
      <c r="O427" s="32" t="inlineStr">
        <is>
          <t>emulator-5554 / Android 14</t>
        </is>
      </c>
      <c r="P427" s="32" t="n"/>
      <c r="Q427" s="32" t="inlineStr">
        <is>
          <t>6 Oct 2026: flutter test --coverage: overall 42.7%; application 80.0%, domain 57.8%, infrastructure 56.9%, presentation 26.3% of lines. No agreed threshold exists to compare against. Needs the owner / release manager.</t>
        </is>
      </c>
    </row>
    <row r="428" ht="30" customHeight="1">
      <c r="A428" s="27" t="inlineStr">
        <is>
          <t>CODE-007</t>
        </is>
      </c>
      <c r="B428" s="28" t="inlineStr">
        <is>
          <t>25 Code quality gates</t>
        </is>
      </c>
      <c r="C428" s="28" t="inlineStr">
        <is>
          <t>Hooks</t>
        </is>
      </c>
      <c r="D428" s="28" t="inlineStr">
        <is>
          <t>Pre-commit hook installed and passing</t>
        </is>
      </c>
      <c r="E428" s="28" t="inlineStr">
        <is>
          <t>1. Install tool/git-hooks/pre-commit
2. Make a trial commit</t>
        </is>
      </c>
      <c r="F428" s="28" t="inlineStr">
        <is>
          <t>Hook runs format, analyze and structure checks.</t>
        </is>
      </c>
      <c r="G428" s="29" t="inlineStr">
        <is>
          <t>P2</t>
        </is>
      </c>
      <c r="H428" s="29" t="inlineStr">
        <is>
          <t>Release</t>
        </is>
      </c>
      <c r="I428" s="29" t="inlineStr">
        <is>
          <t>Both</t>
        </is>
      </c>
      <c r="J428" s="29" t="n"/>
      <c r="K428" s="31" t="inlineStr">
        <is>
          <t>Pass</t>
        </is>
      </c>
      <c r="L428" s="32" t="inlineStr">
        <is>
          <t>Claude (adb)</t>
        </is>
      </c>
      <c r="M428" s="33" t="n">
        <v>46301</v>
      </c>
      <c r="N428" s="32" t="inlineStr">
        <is>
          <t>1.0.0+1 debug</t>
        </is>
      </c>
      <c r="O428" s="32" t="inlineStr">
        <is>
          <t>emulator-5554 / Android 14</t>
        </is>
      </c>
      <c r="P428" s="32" t="n"/>
      <c r="Q428" s="32" t="inlineStr">
        <is>
          <t>6 Oct 2026: tool/git-hooks/pre-commit is installed (.git/hooks/pre-commit links to it). A trial commit was not made (no commits without the owner's say-so). Two of its checks were run directly and are clean (dart format, flutter analyze); its structure check was not run separately (see CODE-015 for the folder audit). The hook exits early when nothing is staged.</t>
        </is>
      </c>
    </row>
    <row r="429" ht="30" customHeight="1">
      <c r="A429" s="27" t="inlineStr">
        <is>
          <t>CODE-008</t>
        </is>
      </c>
      <c r="B429" s="28" t="inlineStr">
        <is>
          <t>25 Code quality gates</t>
        </is>
      </c>
      <c r="C429" s="28" t="inlineStr">
        <is>
          <t>Lints</t>
        </is>
      </c>
      <c r="D429" s="28" t="inlineStr">
        <is>
          <t>Custom naming lints wired</t>
        </is>
      </c>
      <c r="E429" s="28" t="inlineStr">
        <is>
          <t>Check the naming_conventions_lints setup from the linting guide</t>
        </is>
      </c>
      <c r="F429" s="28" t="inlineStr">
        <is>
          <t>Plugin is enabled, or the gap is formally accepted.</t>
        </is>
      </c>
      <c r="G429" s="29" t="inlineStr">
        <is>
          <t>P3</t>
        </is>
      </c>
      <c r="H429" s="29" t="inlineStr">
        <is>
          <t>Release</t>
        </is>
      </c>
      <c r="I429" s="29" t="inlineStr">
        <is>
          <t>Both</t>
        </is>
      </c>
      <c r="J429" s="29" t="inlineStr">
        <is>
          <t>KB-13</t>
        </is>
      </c>
      <c r="K429" s="31" t="inlineStr">
        <is>
          <t>Blocked</t>
        </is>
      </c>
      <c r="L429" s="32" t="inlineStr">
        <is>
          <t>Claude (adb)</t>
        </is>
      </c>
      <c r="M429" s="33" t="n">
        <v>46301</v>
      </c>
      <c r="N429" s="32" t="inlineStr">
        <is>
          <t>1.0.0+1 debug</t>
        </is>
      </c>
      <c r="O429" s="32" t="inlineStr">
        <is>
          <t>emulator-5554 / Android 14</t>
        </is>
      </c>
      <c r="P429" s="32" t="n"/>
      <c r="Q429" s="32" t="inlineStr">
        <is>
          <t>6 Oct 2026: naming_conventions_lints is not wired (KB-13); needs to be set up or the gap formally accepted. Needs the owner / release manager.</t>
        </is>
      </c>
    </row>
    <row r="430" ht="17" customHeight="1">
      <c r="A430" s="27" t="inlineStr">
        <is>
          <t>CODE-009</t>
        </is>
      </c>
      <c r="B430" s="28" t="inlineStr">
        <is>
          <t>25 Code quality gates</t>
        </is>
      </c>
      <c r="C430" s="28" t="inlineStr">
        <is>
          <t>QA.md</t>
        </is>
      </c>
      <c r="D430" s="28" t="inlineStr">
        <is>
          <t>Prompt 1 — Riverpod state management</t>
        </is>
      </c>
      <c r="E430" s="28" t="inlineStr">
        <is>
          <t>Run the audit prompt from docs-flutter/QA.md</t>
        </is>
      </c>
      <c r="F430" s="28" t="inlineStr">
        <is>
          <t>No critical violations.</t>
        </is>
      </c>
      <c r="G430" s="29" t="inlineStr">
        <is>
          <t>P1</t>
        </is>
      </c>
      <c r="H430" s="29" t="inlineStr">
        <is>
          <t>Release</t>
        </is>
      </c>
      <c r="I430" s="29" t="inlineStr">
        <is>
          <t>Both</t>
        </is>
      </c>
      <c r="J430" s="29" t="n"/>
      <c r="K430" s="31" t="inlineStr">
        <is>
          <t>Pass</t>
        </is>
      </c>
      <c r="L430" s="32" t="inlineStr">
        <is>
          <t>Claude (adb)</t>
        </is>
      </c>
      <c r="M430" s="33" t="n">
        <v>46301</v>
      </c>
      <c r="N430" s="32" t="inlineStr">
        <is>
          <t>1.0.0+1 debug</t>
        </is>
      </c>
      <c r="O430" s="32" t="inlineStr">
        <is>
          <t>emulator-5554 / Android 14</t>
        </is>
      </c>
      <c r="P430" s="32" t="inlineStr">
        <is>
          <t>DEF-102</t>
        </is>
      </c>
      <c r="Q430" s="32" t="inlineStr">
        <is>
          <t>6 Oct 2026: Both critical findings fixed. personByIdProvider autoDispose (earlier). FIXED (DEF-102): the department -&gt; icon mapping moved out of the application layer (home_providers.dart no longer imports core/widgets) into presentation/components/department_icon.dart; HomeService carries no icon. No application or domain file imports UI now (checked by script).</t>
        </is>
      </c>
    </row>
    <row r="431" ht="17" customHeight="1">
      <c r="A431" s="27" t="inlineStr">
        <is>
          <t>CODE-010</t>
        </is>
      </c>
      <c r="B431" s="28" t="inlineStr">
        <is>
          <t>25 Code quality gates</t>
        </is>
      </c>
      <c r="C431" s="28" t="inlineStr">
        <is>
          <t>QA.md</t>
        </is>
      </c>
      <c r="D431" s="28" t="inlineStr">
        <is>
          <t>Prompt 2 — Data persistence &amp; security</t>
        </is>
      </c>
      <c r="E431" s="28" t="inlineStr">
        <is>
          <t>Run the audit prompt</t>
        </is>
      </c>
      <c r="F431" s="28" t="inlineStr">
        <is>
          <t>No critical violations; token storage inventory is clean.</t>
        </is>
      </c>
      <c r="G431" s="29" t="inlineStr">
        <is>
          <t>P0</t>
        </is>
      </c>
      <c r="H431" s="29" t="inlineStr">
        <is>
          <t>Release</t>
        </is>
      </c>
      <c r="I431" s="29" t="inlineStr">
        <is>
          <t>Both</t>
        </is>
      </c>
      <c r="J431" s="29" t="n"/>
      <c r="K431" s="31" t="inlineStr">
        <is>
          <t>Pass</t>
        </is>
      </c>
      <c r="L431" s="32" t="inlineStr">
        <is>
          <t>Claude (adb)</t>
        </is>
      </c>
      <c r="M431" s="33" t="n">
        <v>46301</v>
      </c>
      <c r="N431" s="32" t="inlineStr">
        <is>
          <t>1.0.0+1 debug</t>
        </is>
      </c>
      <c r="O431" s="32" t="inlineStr">
        <is>
          <t>emulator-5554 / Android 14</t>
        </is>
      </c>
      <c r="P431" s="32" t="inlineStr">
        <is>
          <t>DEF-103</t>
        </is>
      </c>
      <c r="Q431" s="32" t="inlineStr">
        <is>
          <t>6 Oct 2026: FIXED (DEF-103): (1) demo OTP/email/password moved out of AppConstants into DemoCredentials (feature_flags.dart), referenced only behind the compile-time demo flag; a release APK (arm64 libapp.so) contains none of them (searched 'medibook123', 'alexandra.johnson', 'Demo code': 0 hits; a control string: 1 hit). (2) Calendar .ics files are now written to a session temp folder that sign-out deletes, and the file picker's upload copies are cleared too (session_files_test.dart). Earlier: encryption at rest (DEF-094), per-account search/filter (DEF-095). Token inventory clean.</t>
        </is>
      </c>
    </row>
    <row r="432" ht="17" customHeight="1">
      <c r="A432" s="27" t="inlineStr">
        <is>
          <t>CODE-011</t>
        </is>
      </c>
      <c r="B432" s="28" t="inlineStr">
        <is>
          <t>25 Code quality gates</t>
        </is>
      </c>
      <c r="C432" s="28" t="inlineStr">
        <is>
          <t>QA.md</t>
        </is>
      </c>
      <c r="D432" s="28" t="inlineStr">
        <is>
          <t>Prompt 3 — Error handling &amp; performance</t>
        </is>
      </c>
      <c r="E432" s="28" t="inlineStr">
        <is>
          <t>Run the audit prompt</t>
        </is>
      </c>
      <c r="F432" s="28" t="inlineStr">
        <is>
          <t>No critical violations.</t>
        </is>
      </c>
      <c r="G432" s="29" t="inlineStr">
        <is>
          <t>P1</t>
        </is>
      </c>
      <c r="H432" s="29" t="inlineStr">
        <is>
          <t>Release</t>
        </is>
      </c>
      <c r="I432" s="29" t="inlineStr">
        <is>
          <t>Both</t>
        </is>
      </c>
      <c r="J432" s="29" t="n"/>
      <c r="K432" s="31" t="inlineStr">
        <is>
          <t>Pass</t>
        </is>
      </c>
      <c r="L432" s="32" t="inlineStr">
        <is>
          <t>Claude (adb)</t>
        </is>
      </c>
      <c r="M432" s="33" t="n">
        <v>46301</v>
      </c>
      <c r="N432" s="32" t="inlineStr">
        <is>
          <t>1.0.0+1 debug</t>
        </is>
      </c>
      <c r="O432" s="32" t="inlineStr">
        <is>
          <t>emulator-5554 / Android 14</t>
        </is>
      </c>
      <c r="P432" s="32" t="inlineStr">
        <is>
          <t>DEF-104</t>
        </is>
      </c>
      <c r="Q432" s="32" t="inlineStr">
        <is>
          <t>6 Oct 2026: FIXED (DEF-104): every FutureProvider that reads a repository now goes through guardedRead (core/network/api_client.dart): errors are turned into a typed Failure, logged with what was being read, and rethrown with the stack — the 10 flagged (appointments x8, fee quote, search) plus booking persons, token card and resumed booking. Stream providers go through the cache layer, which handles its own errors (CODE-013). Test: guarded_read_test.dart. Not changed (non-critical): Notifications/Records lists built with Column loops.</t>
        </is>
      </c>
    </row>
    <row r="433" ht="30" customHeight="1">
      <c r="A433" s="27" t="inlineStr">
        <is>
          <t>CODE-012</t>
        </is>
      </c>
      <c r="B433" s="28" t="inlineStr">
        <is>
          <t>25 Code quality gates</t>
        </is>
      </c>
      <c r="C433" s="28" t="inlineStr">
        <is>
          <t>QA.md</t>
        </is>
      </c>
      <c r="D433" s="28" t="inlineStr">
        <is>
          <t>Prompt 4 — Code quality &amp; deployment readiness</t>
        </is>
      </c>
      <c r="E433" s="28" t="inlineStr">
        <is>
          <t>Run the audit prompt</t>
        </is>
      </c>
      <c r="F433" s="28" t="inlineStr">
        <is>
          <t>Deployment readiness score meets the agreed bar.</t>
        </is>
      </c>
      <c r="G433" s="29" t="inlineStr">
        <is>
          <t>P1</t>
        </is>
      </c>
      <c r="H433" s="29" t="inlineStr">
        <is>
          <t>Release</t>
        </is>
      </c>
      <c r="I433" s="29" t="inlineStr">
        <is>
          <t>Both</t>
        </is>
      </c>
      <c r="J433" s="29" t="n"/>
      <c r="K433" s="31" t="inlineStr">
        <is>
          <t>Blocked</t>
        </is>
      </c>
      <c r="L433" s="32" t="inlineStr">
        <is>
          <t>Claude (adb)</t>
        </is>
      </c>
      <c r="M433" s="33" t="n">
        <v>46301</v>
      </c>
      <c r="N433" s="32" t="inlineStr">
        <is>
          <t>1.0.0+1 debug</t>
        </is>
      </c>
      <c r="O433" s="32" t="inlineStr">
        <is>
          <t>emulator-5554 / Android 14</t>
        </is>
      </c>
      <c r="P433" s="32" t="inlineStr">
        <is>
          <t>DEF-105</t>
        </is>
      </c>
      <c r="Q433" s="32" t="inlineStr">
        <is>
          <t>6 Oct 2026: App-side items FIXED (DEF-105): release signing now uses android/key.properties when present (Gradle warns loudly and falls back to the debug key when it is missing — never upload such a build); stale comments in pubspec.yaml and boxes.dart corrected; the code now passes every pre-commit check on all of lib/ (a debugPrint and seven direct '.state =' writes fixed, misnamed core files folded into allowed files). Still blocked, owner/release manager: the actual upload key (KB-06), a physical-device test, and the version number / changelog for release.</t>
        </is>
      </c>
    </row>
    <row r="434" ht="17" customHeight="1">
      <c r="A434" s="27" t="inlineStr">
        <is>
          <t>CODE-013</t>
        </is>
      </c>
      <c r="B434" s="28" t="inlineStr">
        <is>
          <t>25 Code quality gates</t>
        </is>
      </c>
      <c r="C434" s="28" t="inlineStr">
        <is>
          <t>QA.md</t>
        </is>
      </c>
      <c r="D434" s="28" t="inlineStr">
        <is>
          <t>Prompt 5 — Hive cache correctness</t>
        </is>
      </c>
      <c r="E434" s="28" t="inlineStr">
        <is>
          <t>Run the audit prompt</t>
        </is>
      </c>
      <c r="F434" s="28" t="inlineStr">
        <is>
          <t>All ten scenarios implemented; no critical violations.</t>
        </is>
      </c>
      <c r="G434" s="29" t="inlineStr">
        <is>
          <t>P1</t>
        </is>
      </c>
      <c r="H434" s="29" t="inlineStr">
        <is>
          <t>Release</t>
        </is>
      </c>
      <c r="I434" s="29" t="inlineStr">
        <is>
          <t>Both</t>
        </is>
      </c>
      <c r="J434" s="29" t="n"/>
      <c r="K434" s="31" t="inlineStr">
        <is>
          <t>Pass</t>
        </is>
      </c>
      <c r="L434" s="32" t="inlineStr">
        <is>
          <t>Claude (adb)</t>
        </is>
      </c>
      <c r="M434" s="33" t="n">
        <v>46301</v>
      </c>
      <c r="N434" s="32" t="inlineStr">
        <is>
          <t>1.0.0+1 debug</t>
        </is>
      </c>
      <c r="O434" s="32" t="inlineStr">
        <is>
          <t>emulator-5554 / Android 14</t>
        </is>
      </c>
      <c r="P434" s="32" t="inlineStr">
        <is>
          <t>DEF-106</t>
        </is>
      </c>
      <c r="Q434" s="32" t="inlineStr">
        <is>
          <t>6 Oct 2026: No critical violations. Partial scenarios now FIXED (DEF-106): Scenario 6 — a 412 Precondition Failed drops the cache entry and refetches without the ETag; Scenario 10 — a response whose Content-Type is not JSON is refused and not cached (the live API sends application/json). Scenario 9 checked: a corrupt key is quarantined for 5 min, and after 3 strikes in an hour nothing is cached for that key for the hour — what the spec asks. Still a layout choice: the offline line sits under the header, not as an app-bar icon. Tests: cached_fetcher_test.dart (17 pass).</t>
        </is>
      </c>
    </row>
    <row r="435" ht="17" customHeight="1">
      <c r="A435" s="27" t="inlineStr">
        <is>
          <t>CODE-014</t>
        </is>
      </c>
      <c r="B435" s="28" t="inlineStr">
        <is>
          <t>25 Code quality gates</t>
        </is>
      </c>
      <c r="C435" s="28" t="inlineStr">
        <is>
          <t>QA.md</t>
        </is>
      </c>
      <c r="D435" s="28" t="inlineStr">
        <is>
          <t>Architecture health audit</t>
        </is>
      </c>
      <c r="E435" s="28" t="inlineStr">
        <is>
          <t>Run the layered architecture audit</t>
        </is>
      </c>
      <c r="F435" s="28" t="inlineStr">
        <is>
          <t>Layer boundaries respected; score meets the agreed bar.</t>
        </is>
      </c>
      <c r="G435" s="29" t="inlineStr">
        <is>
          <t>P2</t>
        </is>
      </c>
      <c r="H435" s="29" t="inlineStr">
        <is>
          <t>Release</t>
        </is>
      </c>
      <c r="I435" s="29" t="inlineStr">
        <is>
          <t>Both</t>
        </is>
      </c>
      <c r="J435" s="29" t="n"/>
      <c r="K435" s="31" t="inlineStr">
        <is>
          <t>Pass</t>
        </is>
      </c>
      <c r="L435" s="32" t="inlineStr">
        <is>
          <t>Claude (adb)</t>
        </is>
      </c>
      <c r="M435" s="33" t="n">
        <v>46301</v>
      </c>
      <c r="N435" s="32" t="inlineStr">
        <is>
          <t>1.0.0+1 debug</t>
        </is>
      </c>
      <c r="O435" s="32" t="inlineStr">
        <is>
          <t>emulator-5554 / Android 14</t>
        </is>
      </c>
      <c r="P435" s="32" t="inlineStr">
        <is>
          <t>DEF-107</t>
        </is>
      </c>
      <c r="Q435" s="32" t="inlineStr">
        <is>
          <t>6 Oct 2026: FIXED (DEF-107): (1) no application file imports infrastructure — the wiring (HTTP APIs, local data sources, *RepositoryImpl) moved to lib/app/di/ (13 feature files + dependencies.dart), applied as overrides at the root ProviderScope and in the test helpers; application providers are typed by domain contracts; the onboarding and saved-location stores' interfaces moved to domain. (2) Domain imports only plain Dart: Page and CachedResult moved out of the Dio/Hive files (re-exported there), booking_routes moved to presentation, server_clock uses package:meta. Script check over every import: 0 layer violations. 577 tests pass; emulator smoke test of Home, Appointments, Records, Profile, hospital detail and search OK.</t>
        </is>
      </c>
    </row>
    <row r="436" ht="30" customHeight="1">
      <c r="A436" s="27" t="inlineStr">
        <is>
          <t>CODE-015</t>
        </is>
      </c>
      <c r="B436" s="28" t="inlineStr">
        <is>
          <t>25 Code quality gates</t>
        </is>
      </c>
      <c r="C436" s="28" t="inlineStr">
        <is>
          <t>Structure</t>
        </is>
      </c>
      <c r="D436" s="28" t="inlineStr">
        <is>
          <t>Folder structure matches the spec</t>
        </is>
      </c>
      <c r="E436" s="28" t="inlineStr">
        <is>
          <t>Compare lib/ with 'Folder structure - structure.csv' (setup_structure.sh)</t>
        </is>
      </c>
      <c r="F436" s="28" t="inlineStr">
        <is>
          <t>No misplaced files.</t>
        </is>
      </c>
      <c r="G436" s="29" t="inlineStr">
        <is>
          <t>P3</t>
        </is>
      </c>
      <c r="H436" s="29" t="inlineStr">
        <is>
          <t>Release</t>
        </is>
      </c>
      <c r="I436" s="29" t="inlineStr">
        <is>
          <t>Both</t>
        </is>
      </c>
      <c r="J436" s="29" t="n"/>
      <c r="K436" s="31" t="inlineStr">
        <is>
          <t>Pass</t>
        </is>
      </c>
      <c r="L436" s="32" t="inlineStr">
        <is>
          <t>Claude (adb)</t>
        </is>
      </c>
      <c r="M436" s="33" t="n">
        <v>46301</v>
      </c>
      <c r="N436" s="32" t="inlineStr">
        <is>
          <t>1.0.0+1 debug</t>
        </is>
      </c>
      <c r="O436" s="32" t="inlineStr">
        <is>
          <t>emulator-5554 / Android 14</t>
        </is>
      </c>
      <c r="P436" s="32" t="inlineStr">
        <is>
          <t>DEF-108</t>
        </is>
      </c>
      <c r="Q436" s="32" t="inlineStr">
        <is>
          <t>6 Oct 2026: FIXED (DEF-108): 25 presentation/controllers files -&gt; application/providers; domain/policies and the loose booking/domain files -&gt; domain/entities; common/cached and common/mutation given application/presentation folders; core now has exactly network, storage, utils, widgets, error (connectivity and realtime under network/, location under utils/, Page under network/models, CachedResult under storage/cache); pending_link under app/router/guards; CountryCode moved from a widget file to core/utils/phone.dart. Missing canonical folders created with .gitkeep (usecases, data_sources/local, dashboard domain/infrastructure, app/localization/arb), as setup_structure.sh does. The pre-commit hook's file checks pass over all of lib/.</t>
        </is>
      </c>
    </row>
    <row r="437" ht="30" customHeight="1">
      <c r="A437" s="27" t="inlineStr">
        <is>
          <t>CODE-016</t>
        </is>
      </c>
      <c r="B437" s="28" t="inlineStr">
        <is>
          <t>25 Code quality gates</t>
        </is>
      </c>
      <c r="C437" s="28" t="inlineStr">
        <is>
          <t>Hygiene</t>
        </is>
      </c>
      <c r="D437" s="28" t="inlineStr">
        <is>
          <t>No debug leftovers</t>
        </is>
      </c>
      <c r="E437" s="28" t="inlineStr">
        <is>
          <t>Search for print/debugPrint, TODO/FIXME in release paths, mock data and commented-out code</t>
        </is>
      </c>
      <c r="F437" s="28" t="inlineStr">
        <is>
          <t>None that affect production; removed mock_data has no remaining references.</t>
        </is>
      </c>
      <c r="G437" s="29" t="inlineStr">
        <is>
          <t>P1</t>
        </is>
      </c>
      <c r="H437" s="29" t="inlineStr">
        <is>
          <t>Release</t>
        </is>
      </c>
      <c r="I437" s="29" t="inlineStr">
        <is>
          <t>Both</t>
        </is>
      </c>
      <c r="J437" s="29" t="n"/>
      <c r="K437" s="31" t="inlineStr">
        <is>
          <t>Pass</t>
        </is>
      </c>
      <c r="L437" s="32" t="inlineStr">
        <is>
          <t>Claude (adb)</t>
        </is>
      </c>
      <c r="M437" s="33" t="n">
        <v>46301</v>
      </c>
      <c r="N437" s="32" t="inlineStr">
        <is>
          <t>1.0.0+1 debug</t>
        </is>
      </c>
      <c r="O437" s="32" t="inlineStr">
        <is>
          <t>emulator-5554 / Android 14</t>
        </is>
      </c>
      <c r="P437" s="32" t="n"/>
      <c r="Q437" s="32" t="inlineStr">
        <is>
          <t>6 Oct 2026: No print(); the only debugPrint is the deliberate 'Medibook cannot start' configuration error (DEF-078); no TODO or FIXME in lib/; no references left to the removed mock_data.</t>
        </is>
      </c>
    </row>
    <row r="438" ht="30" customHeight="1">
      <c r="A438" s="27" t="inlineStr">
        <is>
          <t>CODE-017</t>
        </is>
      </c>
      <c r="B438" s="28" t="inlineStr">
        <is>
          <t>25 Code quality gates</t>
        </is>
      </c>
      <c r="C438" s="28" t="inlineStr">
        <is>
          <t>Dependencies</t>
        </is>
      </c>
      <c r="D438" s="28" t="inlineStr">
        <is>
          <t>Dependency versions approved</t>
        </is>
      </c>
      <c r="E438" s="28" t="inlineStr">
        <is>
          <t>1. Compare pubspec.yaml with Technical_stack.md
2. Check pubspec.lock is committed</t>
        </is>
      </c>
      <c r="F438" s="28" t="inlineStr">
        <is>
          <t>Deviations are documented and approved.</t>
        </is>
      </c>
      <c r="G438" s="29" t="inlineStr">
        <is>
          <t>P2</t>
        </is>
      </c>
      <c r="H438" s="29" t="inlineStr">
        <is>
          <t>Release</t>
        </is>
      </c>
      <c r="I438" s="29" t="inlineStr">
        <is>
          <t>Both</t>
        </is>
      </c>
      <c r="J438" s="29" t="inlineStr">
        <is>
          <t>KB-13</t>
        </is>
      </c>
      <c r="K438" s="31" t="inlineStr">
        <is>
          <t>Blocked</t>
        </is>
      </c>
      <c r="L438" s="32" t="inlineStr">
        <is>
          <t>Claude (adb)</t>
        </is>
      </c>
      <c r="M438" s="33" t="n">
        <v>46301</v>
      </c>
      <c r="N438" s="32" t="inlineStr">
        <is>
          <t>1.0.0+1 debug</t>
        </is>
      </c>
      <c r="O438" s="32" t="inlineStr">
        <is>
          <t>emulator-5554 / Android 14</t>
        </is>
      </c>
      <c r="P438" s="32" t="n"/>
      <c r="Q438" s="32" t="inlineStr">
        <is>
          <t>6 Oct 2026: pubspec.yaml deviates from Technical_stack.md (e.g. go_router 14, flutter_riverpod 2.6; the machine's Dart SDK is 3.12.2 vs 3.5.4) — noted in pubspec.yaml (KB-13). Added today: geolocator ^14.0.1 (owner-approved, DISC-015) and meta ^1.18.0 (Dart team package already pinned by the Flutter SDK; lets domain code use @visibleForTesting without importing Flutter, CODE-014), both commented / listed in pubspec.yaml. pubspec.lock is committed. The other deviations still need formal approval. Needs the owner / release manager.</t>
        </is>
      </c>
    </row>
    <row r="439" ht="30" customHeight="1">
      <c r="A439" s="27" t="inlineStr">
        <is>
          <t>CODE-018</t>
        </is>
      </c>
      <c r="B439" s="28" t="inlineStr">
        <is>
          <t>25 Code quality gates</t>
        </is>
      </c>
      <c r="C439" s="28" t="inlineStr">
        <is>
          <t>Repo</t>
        </is>
      </c>
      <c r="D439" s="28" t="inlineStr">
        <is>
          <t>Release is built from a clean, tagged commit</t>
        </is>
      </c>
      <c r="E439" s="28" t="inlineStr">
        <is>
          <t>Check git status and tags on the release commit</t>
        </is>
      </c>
      <c r="F439" s="28" t="inlineStr">
        <is>
          <t>Working tree is clean, CI is green, commit is tagged with the version.</t>
        </is>
      </c>
      <c r="G439" s="29" t="inlineStr">
        <is>
          <t>P1</t>
        </is>
      </c>
      <c r="H439" s="29" t="inlineStr">
        <is>
          <t>Release</t>
        </is>
      </c>
      <c r="I439" s="29" t="inlineStr">
        <is>
          <t>Both</t>
        </is>
      </c>
      <c r="J439" s="29" t="n"/>
      <c r="K439" s="31" t="inlineStr">
        <is>
          <t>Blocked</t>
        </is>
      </c>
      <c r="L439" s="32" t="inlineStr">
        <is>
          <t>Claude (adb)</t>
        </is>
      </c>
      <c r="M439" s="33" t="n">
        <v>46301</v>
      </c>
      <c r="N439" s="32" t="inlineStr">
        <is>
          <t>1.0.0+1 debug</t>
        </is>
      </c>
      <c r="O439" s="32" t="inlineStr">
        <is>
          <t>emulator-5554 / Android 14</t>
        </is>
      </c>
      <c r="P439" s="32" t="n"/>
      <c r="Q439" s="32" t="inlineStr">
        <is>
          <t>6 Oct 2026: The working tree has many uncommitted changes (this branch's work, including today's fixes) and no release tag; per the owner's instruction nothing has been committed. A release must come from a clean, tagged commit with green CI.</t>
        </is>
      </c>
    </row>
  </sheetData>
  <autoFilter ref="A1:Q439"/>
  <conditionalFormatting sqref="K2:K1000">
    <cfRule type="cellIs" priority="1" operator="equal" dxfId="3">
      <formula>"Pass"</formula>
    </cfRule>
    <cfRule type="cellIs" priority="2" operator="equal" dxfId="4">
      <formula>"Fail"</formula>
    </cfRule>
    <cfRule type="cellIs" priority="3" operator="equal" dxfId="5">
      <formula>"Blocked"</formula>
    </cfRule>
    <cfRule type="cellIs" priority="4" operator="equal" dxfId="6">
      <formula>"N/A"</formula>
    </cfRule>
  </conditionalFormatting>
  <conditionalFormatting sqref="G2:G1000">
    <cfRule type="cellIs" priority="5" operator="equal" dxfId="7">
      <formula>"P0"</formula>
    </cfRule>
  </conditionalFormatting>
  <conditionalFormatting sqref="P2:P1000">
    <cfRule type="expression" priority="6" dxfId="8">
      <formula>AND($K2="Fail",$P2="")</formula>
    </cfRule>
  </conditionalFormatting>
  <dataValidations count="3">
    <dataValidation sqref="K2:K1000" showDropDown="0" showInputMessage="0" showErrorMessage="0" allowBlank="0" errorTitle="Status" error="Choose Not Run, Pass, Fail, Blocked or N/A." type="list">
      <formula1>"Not Run,Pass,Fail,Blocked,N/A"</formula1>
    </dataValidation>
    <dataValidation sqref="G2:G1000" showDropDown="0" showInputMessage="0" showErrorMessage="0" allowBlank="1" type="list">
      <formula1>"P0,P1,P2,P3"</formula1>
    </dataValidation>
    <dataValidation sqref="I2:I1000" showDropDown="0" showInputMessage="0" showErrorMessage="0" allowBlank="1" type="list">
      <formula1>"Both,Android,iOS"</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sheetPr>
  <dimension ref="A1:J16"/>
  <sheetViews>
    <sheetView tabSelected="0"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0" customWidth="1" min="2" max="2"/>
    <col width="48" customWidth="1" min="3" max="3"/>
    <col width="34" customWidth="1" min="4" max="4"/>
    <col width="40" customWidth="1" min="5" max="5"/>
    <col width="16" customWidth="1" min="6" max="6"/>
    <col width="34" customWidth="1" min="7" max="7"/>
    <col width="11" customWidth="1" min="8" max="8"/>
    <col width="13" customWidth="1" min="9" max="9"/>
    <col width="26" customWidth="1" min="10" max="10"/>
  </cols>
  <sheetData>
    <row r="1">
      <c r="A1" s="3" t="inlineStr">
        <is>
          <t>Known blockers found in the repository — resolve or accept before the production run</t>
        </is>
      </c>
      <c r="H1" s="34" t="inlineStr">
        <is>
          <t>Open:</t>
        </is>
      </c>
      <c r="I1" s="14">
        <f>COUNTIF($H$4:$H$200,"Open")</f>
        <v/>
      </c>
    </row>
    <row r="2">
      <c r="A2" s="2" t="inlineStr">
        <is>
          <t>Each item was read from the code or project docs on 04-Oct-2026 and may already be fixed elsewhere — re-verify, then set Status. Checklist rows name these ids in the 'Needs / Blocker' column.</t>
        </is>
      </c>
    </row>
    <row r="3" ht="30" customHeight="1">
      <c r="A3" s="15" t="inlineStr">
        <is>
          <t>ID</t>
        </is>
      </c>
      <c r="B3" s="15" t="inlineStr">
        <is>
          <t>Blocker</t>
        </is>
      </c>
      <c r="C3" s="15" t="inlineStr">
        <is>
          <t>What was found</t>
        </is>
      </c>
      <c r="D3" s="15" t="inlineStr">
        <is>
          <t>Test areas affected</t>
        </is>
      </c>
      <c r="E3" s="15" t="inlineStr">
        <is>
          <t>Evidence (file / doc)</t>
        </is>
      </c>
      <c r="F3" s="15" t="inlineStr">
        <is>
          <t>Owner</t>
        </is>
      </c>
      <c r="G3" s="15" t="inlineStr">
        <is>
          <t>What is needed</t>
        </is>
      </c>
      <c r="H3" s="15" t="inlineStr">
        <is>
          <t>Status</t>
        </is>
      </c>
      <c r="I3" s="15" t="inlineStr">
        <is>
          <t>Date resolved</t>
        </is>
      </c>
      <c r="J3" s="15" t="inlineStr">
        <is>
          <t>Notes</t>
        </is>
      </c>
    </row>
    <row r="4" ht="43" customHeight="1">
      <c r="A4" s="27" t="inlineStr">
        <is>
          <t>KB-01</t>
        </is>
      </c>
      <c r="B4" s="28" t="inlineStr">
        <is>
          <t>File storage host does not resolve on the integration server</t>
        </is>
      </c>
      <c r="C4" s="28" t="inlineStr">
        <is>
          <t>Presigned upload/download URLs point at storage.fake.local, so every upload and download fails.</t>
        </is>
      </c>
      <c r="D4" s="28" t="inlineStr">
        <is>
          <t>Record upload/download, insurance files, ticket attachments, receipt PDF, data-export file</t>
        </is>
      </c>
      <c r="E4" s="28" t="inlineStr">
        <is>
          <t>docs/FLUTTER_INTEGRATION_GAPS_ROUND_2.md §2 R-1</t>
        </is>
      </c>
      <c r="F4" s="28" t="inlineStr">
        <is>
          <t>Backend / DevOps</t>
        </is>
      </c>
      <c r="G4" s="28" t="inlineStr">
        <is>
          <t>Point the server at real object storage.</t>
        </is>
      </c>
      <c r="H4" s="35" t="inlineStr">
        <is>
          <t>Open</t>
        </is>
      </c>
      <c r="I4" s="36" t="n"/>
      <c r="J4" s="37" t="inlineStr">
        <is>
          <t>What is needed from the backend is written up in docs/BACKEND_BLOCKERS.md (BB-17). 15 Business Logic rows and 14 Checklist rows wait on it.</t>
        </is>
      </c>
    </row>
    <row r="5" ht="30" customHeight="1">
      <c r="A5" s="27" t="inlineStr">
        <is>
          <t>KB-02</t>
        </is>
      </c>
      <c r="B5" s="28" t="inlineStr">
        <is>
          <t>Razorpay runs as an in-process fake</t>
        </is>
      </c>
      <c r="C5" s="28" t="inlineStr">
        <is>
          <t>payment_order.key_id is empty and order ids are order_fake…; the app correctly refuses to open the SDK.</t>
        </is>
      </c>
      <c r="D5" s="28" t="inlineStr">
        <is>
          <t>Everything after 'Confirm appointment': pay, success, receipt, refund</t>
        </is>
      </c>
      <c r="E5" s="28" t="inlineStr">
        <is>
          <t>docs/FLUTTER_INTEGRATION_GAPS_ROUND_2.md §2 R-2</t>
        </is>
      </c>
      <c r="F5" s="28" t="inlineStr">
        <is>
          <t>Backend / DevOps</t>
        </is>
      </c>
      <c r="G5" s="28" t="inlineStr">
        <is>
          <t>Configure Razorpay test keys on pre-prod and live keys on production.</t>
        </is>
      </c>
      <c r="H5" s="35" t="inlineStr">
        <is>
          <t>Open</t>
        </is>
      </c>
      <c r="I5" s="36" t="n"/>
      <c r="J5" s="37" t="inlineStr">
        <is>
          <t>Re-checked 05-Oct-2026: bookings LKSB-2610-00194 and -00195 still get an empty Razorpay key; the app shows 'Online payment is not set up for this hospital yet…'. What is needed from the backend is written up in docs/BACKEND_BLOCKERS.md (BB-16).</t>
        </is>
      </c>
    </row>
    <row r="6" ht="43" customHeight="1">
      <c r="A6" s="27" t="inlineStr">
        <is>
          <t>KB-03</t>
        </is>
      </c>
      <c r="B6" s="28" t="inlineStr">
        <is>
          <t>Self-signed TLS certificate; bad-cert acceptance defaults to on</t>
        </is>
      </c>
      <c r="C6" s="28" t="inlineStr">
        <is>
          <t>The integration server presents a self-signed certificate. MEDIBOOK_ALLOW_BAD_CERT defaults to true outside prod.</t>
        </is>
      </c>
      <c r="D6" s="28" t="inlineStr">
        <is>
          <t>Any external tester build; SEC transport cases</t>
        </is>
      </c>
      <c r="E6" s="28" t="inlineStr">
        <is>
          <t>GAPS_ROUND_2 §2 R-3; lib/app/config/env.dart</t>
        </is>
      </c>
      <c r="F6" s="28" t="inlineStr">
        <is>
          <t>DevOps</t>
        </is>
      </c>
      <c r="G6" s="28" t="inlineStr">
        <is>
          <t>CA-signed certificate; build with MEDIBOOK_ALLOW_BAD_CERT=false.</t>
        </is>
      </c>
      <c r="H6" s="35" t="inlineStr">
        <is>
          <t>Open</t>
        </is>
      </c>
      <c r="I6" s="36" t="n"/>
      <c r="J6" s="37" t="n"/>
    </row>
    <row r="7" ht="30" customHeight="1">
      <c r="A7" s="27" t="inlineStr">
        <is>
          <t>KB-04</t>
        </is>
      </c>
      <c r="B7" s="28" t="inlineStr">
        <is>
          <t>No push provider in the app</t>
        </is>
      </c>
      <c r="C7" s="28" t="inlineStr">
        <is>
          <t>No Firebase/FCM SDK in pubspec.yaml. Device registration is wired but nothing calls it.</t>
        </is>
      </c>
      <c r="D7" s="28" t="inlineStr">
        <is>
          <t>All push-notification cases</t>
        </is>
      </c>
      <c r="E7" s="28" t="inlineStr">
        <is>
          <t>GAPS_ROUND_2 §2 R-4 and §5 D-1; pubspec.yaml</t>
        </is>
      </c>
      <c r="F7" s="28" t="inlineStr">
        <is>
          <t>Product owner / Mobile</t>
        </is>
      </c>
      <c r="G7" s="28" t="inlineStr">
        <is>
          <t>Decide the push provider, add the SDK and platform config.</t>
        </is>
      </c>
      <c r="H7" s="35" t="inlineStr">
        <is>
          <t>Open</t>
        </is>
      </c>
      <c r="I7" s="36" t="n"/>
      <c r="J7" s="37" t="n"/>
    </row>
    <row r="8" ht="30" customHeight="1">
      <c r="A8" s="27" t="inlineStr">
        <is>
          <t>KB-05</t>
        </is>
      </c>
      <c r="B8" s="28" t="inlineStr">
        <is>
          <t>OTP codes cannot be obtained on the integration server</t>
        </is>
      </c>
      <c r="C8" s="28" t="inlineStr">
        <is>
          <t>No SMS is sent in fake mode and the code is not exposed.</t>
        </is>
      </c>
      <c r="D8" s="28" t="inlineStr">
        <is>
          <t>Sign-up, OTP sign-in, forgot password, phone change, releasing a family member</t>
        </is>
      </c>
      <c r="E8" s="28" t="inlineStr">
        <is>
          <t>GAPS_ROUND_2 §4</t>
        </is>
      </c>
      <c r="F8" s="28" t="inlineStr">
        <is>
          <t>Backend</t>
        </is>
      </c>
      <c r="G8" s="28" t="inlineStr">
        <is>
          <t>Real SMS provider (or a controlled test hook) on pre-prod.</t>
        </is>
      </c>
      <c r="H8" s="35" t="inlineStr">
        <is>
          <t>Open</t>
        </is>
      </c>
      <c r="I8" s="36" t="n"/>
      <c r="J8" s="37" t="inlineStr">
        <is>
          <t>Re-checked 04-Oct-2026 with a real phone (+91 9746863592): signup/start accepted, no SMS arrived. What is needed from the backend is written up in docs/BACKEND_BLOCKERS.md (BB-01).</t>
        </is>
      </c>
    </row>
    <row r="9" ht="30" customHeight="1">
      <c r="A9" s="27" t="inlineStr">
        <is>
          <t>KB-06</t>
        </is>
      </c>
      <c r="B9" s="28" t="inlineStr">
        <is>
          <t>Android release build is signed with the debug key</t>
        </is>
      </c>
      <c r="C9" s="28" t="inlineStr">
        <is>
          <t>buildTypes.release uses signingConfigs.getByName("debug") with a TODO.</t>
        </is>
      </c>
      <c r="D9" s="28" t="inlineStr">
        <is>
          <t>Play upload, App Links verification, release-build payment test</t>
        </is>
      </c>
      <c r="E9" s="28" t="inlineStr">
        <is>
          <t>android/app/build.gradle.kts (release block)</t>
        </is>
      </c>
      <c r="F9" s="28" t="inlineStr">
        <is>
          <t>Mobile</t>
        </is>
      </c>
      <c r="G9" s="28" t="inlineStr">
        <is>
          <t>Create the upload keystore and a release signingConfig.</t>
        </is>
      </c>
      <c r="H9" s="35" t="inlineStr">
        <is>
          <t>Open</t>
        </is>
      </c>
      <c r="I9" s="36" t="n"/>
      <c r="J9" s="37" t="n"/>
    </row>
    <row r="10" ht="30" customHeight="1">
      <c r="A10" s="27" t="inlineStr">
        <is>
          <t>KB-07</t>
        </is>
      </c>
      <c r="B10" s="28" t="inlineStr">
        <is>
          <t>Default API URL is the integration server's IP</t>
        </is>
      </c>
      <c r="C10" s="28" t="inlineStr">
        <is>
          <t>Env.apiBaseUrl defaults to https://62.171.151.149:8443 when no define is passed.</t>
        </is>
      </c>
      <c r="D10" s="28" t="inlineStr">
        <is>
          <t>A release built without the define would talk to the wrong server</t>
        </is>
      </c>
      <c r="E10" s="28" t="inlineStr">
        <is>
          <t>lib/app/config/env.dart</t>
        </is>
      </c>
      <c r="F10" s="28" t="inlineStr">
        <is>
          <t>Mobile / CI</t>
        </is>
      </c>
      <c r="G10" s="28" t="inlineStr">
        <is>
          <t>Release pipeline must pass MEDIBOOK_API_BASE_URL and MEDIBOOK_ENV=prod.</t>
        </is>
      </c>
      <c r="H10" s="35" t="inlineStr">
        <is>
          <t>Open</t>
        </is>
      </c>
      <c r="I10" s="36" t="n"/>
      <c r="J10" s="37" t="n"/>
    </row>
    <row r="11" ht="30" customHeight="1">
      <c r="A11" s="27" t="inlineStr">
        <is>
          <t>KB-08</t>
        </is>
      </c>
      <c r="B11" s="28" t="inlineStr">
        <is>
          <t>Live queue needs a desk user running a session</t>
        </is>
      </c>
      <c r="C11" s="28" t="inlineStr">
        <is>
          <t>Seeded accounts have no booking in an open session, so queue movement was never observed.</t>
        </is>
      </c>
      <c r="D11" s="28" t="inlineStr">
        <is>
          <t>Live queue real-time cases; visit-day journey</t>
        </is>
      </c>
      <c r="E11" s="28" t="inlineStr">
        <is>
          <t>GAPS_ROUND_2 §4</t>
        </is>
      </c>
      <c r="F11" s="28" t="inlineStr">
        <is>
          <t>QA / Hospital ops</t>
        </is>
      </c>
      <c r="G11" s="28" t="inlineStr">
        <is>
          <t>Provide a staff login and a session to run during testing.</t>
        </is>
      </c>
      <c r="H11" s="35" t="inlineStr">
        <is>
          <t>Open</t>
        </is>
      </c>
      <c r="I11" s="36" t="n"/>
      <c r="J11" s="37" t="inlineStr">
        <is>
          <t>5 Oct 2026 (project owner): the hospital web app is not integrated with the backend yet, so nobody can play the desk role from it. 19 Business Logic rows wait on this. The only other route is driving the hospital API directly with a seeded front-desk account - not tried.</t>
        </is>
      </c>
    </row>
    <row r="12" ht="56" customHeight="1">
      <c r="A12" s="27" t="inlineStr">
        <is>
          <t>KB-09</t>
        </is>
      </c>
      <c r="B12" s="28" t="inlineStr">
        <is>
          <t>New-password hint says 6 characters; the rule is 10</t>
        </is>
      </c>
      <c r="C12" s="28" t="inlineStr">
        <is>
          <t>NewPasswordFields (reset and change password) defaults its hint to 'At least 6 characters' and no caller overrides it, while the form controllers enforce 10. Sign-up already says 10.</t>
        </is>
      </c>
      <c r="D12" s="28" t="inlineStr">
        <is>
          <t>Forgot-password and change-password forms (misleading hint, not a security gap)</t>
        </is>
      </c>
      <c r="E12" s="28" t="inlineStr">
        <is>
          <t>lib/features/auth/presentation/components/new_password_fields.dart:36; reset_form_controller.dart:36; change_password_form_controller.dart:42; API doc §4.1</t>
        </is>
      </c>
      <c r="F12" s="28" t="inlineStr">
        <is>
          <t>Mobile</t>
        </is>
      </c>
      <c r="G12" s="28" t="inlineStr">
        <is>
          <t>Change the default hint to 'At least 10 characters'.</t>
        </is>
      </c>
      <c r="H12" s="35" t="inlineStr">
        <is>
          <t>Open</t>
        </is>
      </c>
      <c r="I12" s="36" t="n"/>
      <c r="J12" s="37" t="n"/>
    </row>
    <row r="13" ht="43" customHeight="1">
      <c r="A13" s="27" t="inlineStr">
        <is>
          <t>KB-10</t>
        </is>
      </c>
      <c r="B13" s="28" t="inlineStr">
        <is>
          <t>Features intentionally not available yet</t>
        </is>
      </c>
      <c r="C13" s="28" t="inlineStr">
        <is>
          <t>No QR on the token card and no 'Save token card' (D-6). No geolocation: 'Hospitals Near You' is name-ordered (D-3).</t>
        </is>
      </c>
      <c r="D13" s="28" t="inlineStr">
        <is>
          <t>Token card, hospital ordering</t>
        </is>
      </c>
      <c r="E13" s="28" t="inlineStr">
        <is>
          <t>GAPS_ROUND_2 §5 D-3, D-6</t>
        </is>
      </c>
      <c r="F13" s="28" t="inlineStr">
        <is>
          <t>Product owner</t>
        </is>
      </c>
      <c r="G13" s="28" t="inlineStr">
        <is>
          <t>Accept for launch or schedule.</t>
        </is>
      </c>
      <c r="H13" s="35" t="inlineStr">
        <is>
          <t>Open</t>
        </is>
      </c>
      <c r="I13" s="36" t="n"/>
      <c r="J13" s="37" t="n"/>
    </row>
    <row r="14" ht="30" customHeight="1">
      <c r="A14" s="27" t="inlineStr">
        <is>
          <t>KB-11</t>
        </is>
      </c>
      <c r="B14" s="28" t="inlineStr">
        <is>
          <t>Golden-test failure images are present</t>
        </is>
      </c>
      <c r="C14" s="28" t="inlineStr">
        <is>
          <t>test/goldens/failures contains diff images for components and screens.</t>
        </is>
      </c>
      <c r="D14" s="28" t="inlineStr">
        <is>
          <t>Golden test gate</t>
        </is>
      </c>
      <c r="E14" s="28" t="inlineStr">
        <is>
          <t>test/goldens/failures/</t>
        </is>
      </c>
      <c r="F14" s="28" t="inlineStr">
        <is>
          <t>Mobile</t>
        </is>
      </c>
      <c r="G14" s="28" t="inlineStr">
        <is>
          <t>Re-run goldens; update or fix, then clear the folder.</t>
        </is>
      </c>
      <c r="H14" s="35" t="inlineStr">
        <is>
          <t>Open</t>
        </is>
      </c>
      <c r="I14" s="36" t="n"/>
      <c r="J14" s="37" t="n"/>
    </row>
    <row r="15" ht="30" customHeight="1">
      <c r="A15" s="27" t="inlineStr">
        <is>
          <t>KB-12</t>
        </is>
      </c>
      <c r="B15" s="28" t="inlineStr">
        <is>
          <t>Design base size differs between docs and code</t>
        </is>
      </c>
      <c r="C15" s="28" t="inlineStr">
        <is>
          <t>CLAUDE.md / responsiveness guide say 390 x 835; AppConstants.designSize is 390 x 844.</t>
        </is>
      </c>
      <c r="D15" s="28" t="inlineStr">
        <is>
          <t>Responsive sizing audit</t>
        </is>
      </c>
      <c r="E15" s="28" t="inlineStr">
        <is>
          <t>CLAUDE.md; lib/app/config/constants.dart:15</t>
        </is>
      </c>
      <c r="F15" s="28" t="inlineStr">
        <is>
          <t>Design / Mobile</t>
        </is>
      </c>
      <c r="G15" s="28" t="inlineStr">
        <is>
          <t>Confirm the Figma frame size and make both agree.</t>
        </is>
      </c>
      <c r="H15" s="35" t="inlineStr">
        <is>
          <t>Open</t>
        </is>
      </c>
      <c r="I15" s="36" t="n"/>
      <c r="J15" s="37" t="n"/>
    </row>
    <row r="16" ht="43" customHeight="1">
      <c r="A16" s="27" t="inlineStr">
        <is>
          <t>KB-13</t>
        </is>
      </c>
      <c r="B16" s="28" t="inlineStr">
        <is>
          <t>Tooling deviations from the spec</t>
        </is>
      </c>
      <c r="C16" s="28" t="inlineStr">
        <is>
          <t>naming_conventions_lints is not set up (D-7); SDK and package versions differ from Technical_stack.md (noted in pubspec.yaml).</t>
        </is>
      </c>
      <c r="D16" s="28" t="inlineStr">
        <is>
          <t>Code quality gates</t>
        </is>
      </c>
      <c r="E16" s="28" t="inlineStr">
        <is>
          <t>GAPS_ROUND_2 §5 D-7; pubspec.yaml</t>
        </is>
      </c>
      <c r="F16" s="28" t="inlineStr">
        <is>
          <t>Tech lead</t>
        </is>
      </c>
      <c r="G16" s="28" t="inlineStr">
        <is>
          <t>Approve the deviations or bring the project in line.</t>
        </is>
      </c>
      <c r="H16" s="35" t="inlineStr">
        <is>
          <t>Open</t>
        </is>
      </c>
      <c r="I16" s="36" t="n"/>
      <c r="J16" s="37" t="n"/>
    </row>
  </sheetData>
  <conditionalFormatting sqref="H4:H200">
    <cfRule type="cellIs" priority="1" operator="equal" dxfId="4">
      <formula>"Open"</formula>
    </cfRule>
    <cfRule type="cellIs" priority="2" operator="equal" dxfId="3">
      <formula>"Resolved"</formula>
    </cfRule>
    <cfRule type="cellIs" priority="3" operator="equal" dxfId="5">
      <formula>"Accepted"</formula>
    </cfRule>
  </conditionalFormatting>
  <dataValidations count="1">
    <dataValidation sqref="H4:H200" showDropDown="0" showInputMessage="0" showErrorMessage="0" allowBlank="0" type="list">
      <formula1>"Open,Resolved,Accepted"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6"/>
  <sheetViews>
    <sheetView tabSelected="0" workbookViewId="0">
      <pane xSplit="4" ySplit="3" topLeftCell="E4"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4" customWidth="1" min="2" max="2"/>
    <col width="28" customWidth="1" min="3" max="3"/>
    <col width="30"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36" customWidth="1" min="13" max="13"/>
  </cols>
  <sheetData>
    <row r="1">
      <c r="A1" s="3" t="inlineStr">
        <is>
          <t>Screen coverage — tick each state once it has been seen on the release build</t>
        </is>
      </c>
    </row>
    <row r="2">
      <c r="A2" s="2" t="inlineStr">
        <is>
          <t>Use Pass / Fail / N/A in the yellow cells. N/A where a state cannot occur (e.g. no empty state on Login).</t>
        </is>
      </c>
    </row>
    <row r="3" ht="30" customHeight="1">
      <c r="A3" s="15" t="inlineStr">
        <is>
          <t>#</t>
        </is>
      </c>
      <c r="B3" s="15" t="inlineStr">
        <is>
          <t>Feature</t>
        </is>
      </c>
      <c r="C3" s="15" t="inlineStr">
        <is>
          <t>Screen</t>
        </is>
      </c>
      <c r="D3" s="15" t="inlineStr">
        <is>
          <t>Route</t>
        </is>
      </c>
      <c r="E3" s="15" t="inlineStr">
        <is>
          <t>Loaded with data</t>
        </is>
      </c>
      <c r="F3" s="15" t="inlineStr">
        <is>
          <t>Loading state</t>
        </is>
      </c>
      <c r="G3" s="15" t="inlineStr">
        <is>
          <t>Empty state</t>
        </is>
      </c>
      <c r="H3" s="15" t="inlineStr">
        <is>
          <t>Error + retry</t>
        </is>
      </c>
      <c r="I3" s="15" t="inlineStr">
        <is>
          <t>Offline</t>
        </is>
      </c>
      <c r="J3" s="15" t="inlineStr">
        <is>
          <t>Small phone</t>
        </is>
      </c>
      <c r="K3" s="15" t="inlineStr">
        <is>
          <t>Large font</t>
        </is>
      </c>
      <c r="L3" s="15" t="inlineStr">
        <is>
          <t>Screen reader</t>
        </is>
      </c>
      <c r="M3" s="15" t="inlineStr">
        <is>
          <t>Notes</t>
        </is>
      </c>
    </row>
    <row r="4">
      <c r="A4" s="28" t="n">
        <v>1</v>
      </c>
      <c r="B4" s="28" t="inlineStr">
        <is>
          <t>Auth</t>
        </is>
      </c>
      <c r="C4" s="28" t="inlineStr">
        <is>
          <t>Onboarding</t>
        </is>
      </c>
      <c r="D4" s="28" t="inlineStr">
        <is>
          <t>/onboarding</t>
        </is>
      </c>
      <c r="E4" s="31" t="inlineStr">
        <is>
          <t>Pass</t>
        </is>
      </c>
      <c r="F4" s="31" t="inlineStr">
        <is>
          <t>N/A</t>
        </is>
      </c>
      <c r="G4" s="31" t="inlineStr">
        <is>
          <t>N/A</t>
        </is>
      </c>
      <c r="H4" s="31" t="inlineStr">
        <is>
          <t>N/A</t>
        </is>
      </c>
      <c r="I4" s="31" t="inlineStr">
        <is>
          <t>Pass</t>
        </is>
      </c>
      <c r="J4" s="31" t="inlineStr">
        <is>
          <t>Pass</t>
        </is>
      </c>
      <c r="K4" s="31" t="inlineStr">
        <is>
          <t>Pass</t>
        </is>
      </c>
      <c r="L4" s="31" t="inlineStr">
        <is>
          <t>Pass</t>
        </is>
      </c>
      <c r="M4" s="38" t="inlineStr">
        <is>
          <t>Slides seen (ONB-001/002); they are built in, so they show offline too (7 Oct).</t>
        </is>
      </c>
    </row>
    <row r="5">
      <c r="A5" s="28" t="n">
        <v>2</v>
      </c>
      <c r="B5" s="28" t="inlineStr">
        <is>
          <t>Auth</t>
        </is>
      </c>
      <c r="C5" s="28" t="inlineStr">
        <is>
          <t>Consent</t>
        </is>
      </c>
      <c r="D5" s="28" t="inlineStr">
        <is>
          <t>/onboarding/consent</t>
        </is>
      </c>
      <c r="E5" s="31" t="inlineStr">
        <is>
          <t>Pass</t>
        </is>
      </c>
      <c r="F5" s="31" t="inlineStr">
        <is>
          <t>N/A</t>
        </is>
      </c>
      <c r="G5" s="31" t="inlineStr">
        <is>
          <t>N/A</t>
        </is>
      </c>
      <c r="H5" s="31" t="inlineStr">
        <is>
          <t>Pass</t>
        </is>
      </c>
      <c r="I5" s="31" t="inlineStr">
        <is>
          <t>Pass</t>
        </is>
      </c>
      <c r="J5" s="31" t="inlineStr">
        <is>
          <t>Pass</t>
        </is>
      </c>
      <c r="K5" s="31" t="inlineStr">
        <is>
          <t>Pass</t>
        </is>
      </c>
      <c r="L5" s="31" t="inlineStr">
        <is>
          <t>Pass</t>
        </is>
      </c>
      <c r="M5" s="38" t="inlineStr">
        <is>
          <t>Text is built in; the policy version loads in the background, so there is no loading state. Offline (7 Oct) 'Agree and Continue' used the version already loaded and went on to sign-in; stays put while policies cannot load and reloads on reconnect (NET-012, DEF-077).</t>
        </is>
      </c>
    </row>
    <row r="6">
      <c r="A6" s="28" t="n">
        <v>3</v>
      </c>
      <c r="B6" s="28" t="inlineStr">
        <is>
          <t>Auth</t>
        </is>
      </c>
      <c r="C6" s="28" t="inlineStr">
        <is>
          <t>Login</t>
        </is>
      </c>
      <c r="D6" s="28" t="inlineStr">
        <is>
          <t>/login</t>
        </is>
      </c>
      <c r="E6" s="31" t="inlineStr">
        <is>
          <t>Pass</t>
        </is>
      </c>
      <c r="F6" s="31" t="inlineStr">
        <is>
          <t>N/A</t>
        </is>
      </c>
      <c r="G6" s="31" t="inlineStr">
        <is>
          <t>N/A</t>
        </is>
      </c>
      <c r="H6" s="31" t="inlineStr">
        <is>
          <t>Pass</t>
        </is>
      </c>
      <c r="I6" s="31" t="inlineStr">
        <is>
          <t>Pass</t>
        </is>
      </c>
      <c r="J6" s="31" t="inlineStr">
        <is>
          <t>Pass</t>
        </is>
      </c>
      <c r="K6" s="31" t="inlineStr">
        <is>
          <t>Pass</t>
        </is>
      </c>
      <c r="L6" s="31" t="inlineStr">
        <is>
          <t>Pass</t>
        </is>
      </c>
      <c r="M6" s="38" t="inlineStr">
        <is>
          <t>Field and server errors shown; offline sign-in: 'You appear to be offline…' on the form (6 Oct).</t>
        </is>
      </c>
    </row>
    <row r="7">
      <c r="A7" s="28" t="n">
        <v>4</v>
      </c>
      <c r="B7" s="28" t="inlineStr">
        <is>
          <t>Auth</t>
        </is>
      </c>
      <c r="C7" s="28" t="inlineStr">
        <is>
          <t>Sign up</t>
        </is>
      </c>
      <c r="D7" s="28" t="inlineStr">
        <is>
          <t>/signup</t>
        </is>
      </c>
      <c r="E7" s="31" t="inlineStr">
        <is>
          <t>Pass</t>
        </is>
      </c>
      <c r="F7" s="31" t="inlineStr">
        <is>
          <t>N/A</t>
        </is>
      </c>
      <c r="G7" s="31" t="inlineStr">
        <is>
          <t>N/A</t>
        </is>
      </c>
      <c r="H7" s="31" t="inlineStr">
        <is>
          <t>Pass</t>
        </is>
      </c>
      <c r="I7" s="31" t="inlineStr">
        <is>
          <t>Pass</t>
        </is>
      </c>
      <c r="J7" s="31" t="inlineStr">
        <is>
          <t>Pass</t>
        </is>
      </c>
      <c r="K7" s="31" t="inlineStr">
        <is>
          <t>Pass</t>
        </is>
      </c>
      <c r="L7" s="31" t="inlineStr">
        <is>
          <t>Pass</t>
        </is>
      </c>
      <c r="M7" s="38" t="inlineStr">
        <is>
          <t>Form and validation seen (AUTH-002..009). Offline 'Create Account' -&gt; 'You appear to be offline…' at the top of the form (7 Oct). Finishing sign-up needs an OTP (BB-01).</t>
        </is>
      </c>
    </row>
    <row r="8">
      <c r="A8" s="28" t="n">
        <v>5</v>
      </c>
      <c r="B8" s="28" t="inlineStr">
        <is>
          <t>Auth</t>
        </is>
      </c>
      <c r="C8" s="28" t="inlineStr">
        <is>
          <t>Forgot password</t>
        </is>
      </c>
      <c r="D8" s="28" t="inlineStr">
        <is>
          <t>/forgot</t>
        </is>
      </c>
      <c r="E8" s="31" t="inlineStr">
        <is>
          <t>Pass</t>
        </is>
      </c>
      <c r="F8" s="31" t="inlineStr">
        <is>
          <t>N/A</t>
        </is>
      </c>
      <c r="G8" s="31" t="inlineStr">
        <is>
          <t>N/A</t>
        </is>
      </c>
      <c r="H8" s="31" t="inlineStr">
        <is>
          <t>Pass</t>
        </is>
      </c>
      <c r="I8" s="31" t="inlineStr">
        <is>
          <t>Pass</t>
        </is>
      </c>
      <c r="J8" s="31" t="inlineStr">
        <is>
          <t>Pass</t>
        </is>
      </c>
      <c r="K8" s="31" t="inlineStr">
        <is>
          <t>Pass</t>
        </is>
      </c>
      <c r="L8" s="31" t="inlineStr">
        <is>
          <t>Pass</t>
        </is>
      </c>
      <c r="M8" s="38" t="inlineStr">
        <is>
          <t>Request form seen (AUTH-023/030). Offline 'Send Code' -&gt; 'You appear to be offline…' on the form (7 Oct). Code delivery blocked (BB-01).</t>
        </is>
      </c>
    </row>
    <row r="9">
      <c r="A9" s="28" t="n">
        <v>6</v>
      </c>
      <c r="B9" s="28" t="inlineStr">
        <is>
          <t>Auth</t>
        </is>
      </c>
      <c r="C9" s="28" t="inlineStr">
        <is>
          <t>Verify code (OTP)</t>
        </is>
      </c>
      <c r="D9" s="28" t="inlineStr">
        <is>
          <t>/verify</t>
        </is>
      </c>
      <c r="E9" s="31" t="inlineStr">
        <is>
          <t>Pass</t>
        </is>
      </c>
      <c r="F9" s="31" t="inlineStr">
        <is>
          <t>N/A</t>
        </is>
      </c>
      <c r="G9" s="31" t="inlineStr">
        <is>
          <t>N/A</t>
        </is>
      </c>
      <c r="H9" s="31" t="inlineStr">
        <is>
          <t>Pass</t>
        </is>
      </c>
      <c r="I9" s="31" t="inlineStr">
        <is>
          <t>Pass</t>
        </is>
      </c>
      <c r="J9" s="31" t="inlineStr">
        <is>
          <t>Pass</t>
        </is>
      </c>
      <c r="K9" s="31" t="inlineStr">
        <is>
          <t>Pass</t>
        </is>
      </c>
      <c r="L9" s="31" t="inlineStr">
        <is>
          <t>Pass</t>
        </is>
      </c>
      <c r="M9" s="38" t="inlineStr">
        <is>
          <t>Screen and resend timer seen (AUTH-012). Offline 'Verify &amp; Create Account' -&gt; 'You appear to be offline…' (7 Oct). Real codes blocked (BB-01).</t>
        </is>
      </c>
    </row>
    <row r="10">
      <c r="A10" s="28" t="n">
        <v>7</v>
      </c>
      <c r="B10" s="28" t="inlineStr">
        <is>
          <t>Auth</t>
        </is>
      </c>
      <c r="C10" s="28" t="inlineStr">
        <is>
          <t>New password</t>
        </is>
      </c>
      <c r="D10" s="28" t="inlineStr">
        <is>
          <t>/reset</t>
        </is>
      </c>
      <c r="E10" s="31" t="inlineStr">
        <is>
          <t>Backend fix</t>
        </is>
      </c>
      <c r="F10" s="31" t="inlineStr">
        <is>
          <t>N/A</t>
        </is>
      </c>
      <c r="G10" s="31" t="inlineStr">
        <is>
          <t>N/A</t>
        </is>
      </c>
      <c r="H10" s="31" t="inlineStr">
        <is>
          <t>Backend fix</t>
        </is>
      </c>
      <c r="I10" s="31" t="inlineStr">
        <is>
          <t>Backend fix</t>
        </is>
      </c>
      <c r="J10" s="31" t="inlineStr">
        <is>
          <t>Backend fix</t>
        </is>
      </c>
      <c r="K10" s="31" t="inlineStr">
        <is>
          <t>Backend fix</t>
        </is>
      </c>
      <c r="L10" s="31" t="inlineStr">
        <is>
          <t>Backend fix</t>
        </is>
      </c>
      <c r="M10" s="38" t="inlineStr">
        <is>
          <t>Reached only with a reset code, which cannot be delivered on this server (BB-01).</t>
        </is>
      </c>
    </row>
    <row r="11">
      <c r="A11" s="28" t="n">
        <v>8</v>
      </c>
      <c r="B11" s="28" t="inlineStr">
        <is>
          <t>Auth</t>
        </is>
      </c>
      <c r="C11" s="28" t="inlineStr">
        <is>
          <t>Lockout</t>
        </is>
      </c>
      <c r="D11" s="28" t="inlineStr">
        <is>
          <t>/lockout</t>
        </is>
      </c>
      <c r="E11" s="31" t="inlineStr">
        <is>
          <t>Pass</t>
        </is>
      </c>
      <c r="F11" s="31" t="inlineStr">
        <is>
          <t>N/A</t>
        </is>
      </c>
      <c r="G11" s="31" t="inlineStr">
        <is>
          <t>N/A</t>
        </is>
      </c>
      <c r="H11" s="31" t="inlineStr">
        <is>
          <t>N/A</t>
        </is>
      </c>
      <c r="I11" s="31" t="inlineStr">
        <is>
          <t>N/A</t>
        </is>
      </c>
      <c r="J11" s="31" t="inlineStr">
        <is>
          <t>Pass</t>
        </is>
      </c>
      <c r="K11" s="31" t="inlineStr">
        <is>
          <t>Pass</t>
        </is>
      </c>
      <c r="L11" s="31" t="inlineStr">
        <is>
          <t>Pass</t>
        </is>
      </c>
      <c r="M11" s="38" t="inlineStr">
        <is>
          <t>Pause with countdown, survives restart (AUTH-020/021). The pause comes from the server's answer; offline the sign-in says it is offline instead (7 Oct).</t>
        </is>
      </c>
    </row>
    <row r="12">
      <c r="A12" s="28" t="n">
        <v>9</v>
      </c>
      <c r="B12" s="28" t="inlineStr">
        <is>
          <t>Auth</t>
        </is>
      </c>
      <c r="C12" s="28" t="inlineStr">
        <is>
          <t>Change password</t>
        </is>
      </c>
      <c r="D12" s="28" t="inlineStr">
        <is>
          <t>/change-password, /profile/password</t>
        </is>
      </c>
      <c r="E12" s="31" t="inlineStr">
        <is>
          <t>Pass</t>
        </is>
      </c>
      <c r="F12" s="31" t="inlineStr">
        <is>
          <t>N/A</t>
        </is>
      </c>
      <c r="G12" s="31" t="inlineStr">
        <is>
          <t>N/A</t>
        </is>
      </c>
      <c r="H12" s="31" t="inlineStr">
        <is>
          <t>Pass</t>
        </is>
      </c>
      <c r="I12" s="31" t="inlineStr">
        <is>
          <t>Pass</t>
        </is>
      </c>
      <c r="J12" s="31" t="inlineStr">
        <is>
          <t>Pass</t>
        </is>
      </c>
      <c r="K12" s="31" t="inlineStr">
        <is>
          <t>Pass</t>
        </is>
      </c>
      <c r="L12" s="31" t="inlineStr">
        <is>
          <t>Pass</t>
        </is>
      </c>
      <c r="M12" s="38" t="inlineStr">
        <is>
          <t>Offline 'Update Password' -&gt; 'You appear to be offline…' on the form; no up-front offline note (6 Oct).</t>
        </is>
      </c>
    </row>
    <row r="13">
      <c r="A13" s="28" t="n">
        <v>10</v>
      </c>
      <c r="B13" s="28" t="inlineStr">
        <is>
          <t>Dashboard</t>
        </is>
      </c>
      <c r="C13" s="28" t="inlineStr">
        <is>
          <t>Home</t>
        </is>
      </c>
      <c r="D13" s="28" t="inlineStr">
        <is>
          <t>/home</t>
        </is>
      </c>
      <c r="E13" s="31" t="inlineStr">
        <is>
          <t>Pass</t>
        </is>
      </c>
      <c r="F13" s="31" t="inlineStr">
        <is>
          <t>Pass</t>
        </is>
      </c>
      <c r="G13" s="31" t="inlineStr">
        <is>
          <t>Pass</t>
        </is>
      </c>
      <c r="H13" s="31" t="inlineStr">
        <is>
          <t>Pass</t>
        </is>
      </c>
      <c r="I13" s="31" t="inlineStr">
        <is>
          <t>Pass</t>
        </is>
      </c>
      <c r="J13" s="31" t="inlineStr">
        <is>
          <t>Pass</t>
        </is>
      </c>
      <c r="K13" s="31" t="inlineStr">
        <is>
          <t>Pass</t>
        </is>
      </c>
      <c r="L13" s="31" t="inlineStr">
        <is>
          <t>Pass</t>
        </is>
      </c>
      <c r="M13" s="38" t="inlineStr">
        <is>
          <t>App-wide offline bar on every screen (6 Oct fix, DEF-121): 'You're offline - showing what was saved on this phone.'; pull-to-refresh offline now says so (DEF-124). Skeletons then data (NET-001). Empty state needs data (HOME-009, BB-06).</t>
        </is>
      </c>
    </row>
    <row r="14">
      <c r="A14" s="28" t="n">
        <v>11</v>
      </c>
      <c r="B14" s="28" t="inlineStr">
        <is>
          <t>Dashboard</t>
        </is>
      </c>
      <c r="C14" s="28" t="inlineStr">
        <is>
          <t>Ambulance</t>
        </is>
      </c>
      <c r="D14" s="28" t="inlineStr">
        <is>
          <t>/ambulance</t>
        </is>
      </c>
      <c r="E14" s="31" t="inlineStr">
        <is>
          <t>Pass</t>
        </is>
      </c>
      <c r="F14" s="31" t="inlineStr">
        <is>
          <t>Pass</t>
        </is>
      </c>
      <c r="G14" s="31" t="inlineStr">
        <is>
          <t>Backend fix</t>
        </is>
      </c>
      <c r="H14" s="31" t="inlineStr">
        <is>
          <t>Pass</t>
        </is>
      </c>
      <c r="I14" s="31" t="inlineStr">
        <is>
          <t>Pass</t>
        </is>
      </c>
      <c r="J14" s="31" t="inlineStr">
        <is>
          <t>Pass</t>
        </is>
      </c>
      <c r="K14" s="31" t="inlineStr">
        <is>
          <t>Pass</t>
        </is>
      </c>
      <c r="L14" s="31" t="inlineStr">
        <is>
          <t>Pass</t>
        </is>
      </c>
      <c r="M14" s="38" t="inlineStr">
        <is>
          <t>The directory loads when the app starts, so the screen opens with it (fresh install, 2G-like speed, 7 Oct). Error view on directory failure (ERR-001); offline shows the saved list under the offline bar. Empty directory needs test data (BB-44).</t>
        </is>
      </c>
    </row>
    <row r="15">
      <c r="A15" s="28" t="n">
        <v>12</v>
      </c>
      <c r="B15" s="28" t="inlineStr">
        <is>
          <t>Search</t>
        </is>
      </c>
      <c r="C15" s="28" t="inlineStr">
        <is>
          <t>Search</t>
        </is>
      </c>
      <c r="D15" s="28" t="inlineStr">
        <is>
          <t>/search</t>
        </is>
      </c>
      <c r="E15" s="31" t="inlineStr">
        <is>
          <t>Pass</t>
        </is>
      </c>
      <c r="F15" s="31" t="inlineStr">
        <is>
          <t>Pass</t>
        </is>
      </c>
      <c r="G15" s="31" t="inlineStr">
        <is>
          <t>Pass</t>
        </is>
      </c>
      <c r="H15" s="31" t="inlineStr">
        <is>
          <t>Pass</t>
        </is>
      </c>
      <c r="I15" s="31" t="inlineStr">
        <is>
          <t>Pass</t>
        </is>
      </c>
      <c r="J15" s="31" t="inlineStr">
        <is>
          <t>Pass</t>
        </is>
      </c>
      <c r="K15" s="31" t="inlineStr">
        <is>
          <t>Pass</t>
        </is>
      </c>
      <c r="L15" s="31" t="inlineStr">
        <is>
          <t>Pass</t>
        </is>
      </c>
      <c r="M15" s="38" t="inlineStr">
        <is>
          <t>App-wide offline bar on every screen (6 Oct fix, DEF-121): 'You're offline - showing what was saved on this phone.'. No-match advice; offline new term -&gt; clear offline + Try Again.</t>
        </is>
      </c>
    </row>
    <row r="16">
      <c r="A16" s="28" t="n">
        <v>13</v>
      </c>
      <c r="B16" s="28" t="inlineStr">
        <is>
          <t>Booking</t>
        </is>
      </c>
      <c r="C16" s="28" t="inlineStr">
        <is>
          <t>Locations</t>
        </is>
      </c>
      <c r="D16" s="28" t="inlineStr">
        <is>
          <t>/locations</t>
        </is>
      </c>
      <c r="E16" s="31" t="inlineStr">
        <is>
          <t>Pass</t>
        </is>
      </c>
      <c r="F16" s="31" t="inlineStr">
        <is>
          <t>Pass</t>
        </is>
      </c>
      <c r="G16" s="31" t="inlineStr">
        <is>
          <t>Pass</t>
        </is>
      </c>
      <c r="H16" s="31" t="inlineStr">
        <is>
          <t>Pass</t>
        </is>
      </c>
      <c r="I16" s="31" t="inlineStr">
        <is>
          <t>Pass</t>
        </is>
      </c>
      <c r="J16" s="31" t="inlineStr">
        <is>
          <t>Pass</t>
        </is>
      </c>
      <c r="K16" s="31" t="inlineStr">
        <is>
          <t>Pass</t>
        </is>
      </c>
      <c r="L16" s="31" t="inlineStr">
        <is>
          <t>Pass</t>
        </is>
      </c>
      <c r="M16" s="38" t="inlineStr">
        <is>
          <t>Offline never-saved now shows the error view (fixed and verified by the other session, 6 Oct). Offline line and error view both say offline (fix 2 pending).</t>
        </is>
      </c>
    </row>
    <row r="17">
      <c r="A17" s="28" t="n">
        <v>14</v>
      </c>
      <c r="B17" s="28" t="inlineStr">
        <is>
          <t>Booking</t>
        </is>
      </c>
      <c r="C17" s="28" t="inlineStr">
        <is>
          <t>Hospitals</t>
        </is>
      </c>
      <c r="D17" s="28" t="inlineStr">
        <is>
          <t>/hospitals</t>
        </is>
      </c>
      <c r="E17" s="31" t="inlineStr">
        <is>
          <t>Pass</t>
        </is>
      </c>
      <c r="F17" s="31" t="inlineStr">
        <is>
          <t>Pass</t>
        </is>
      </c>
      <c r="G17" s="31" t="inlineStr">
        <is>
          <t>Pass</t>
        </is>
      </c>
      <c r="H17" s="31" t="inlineStr">
        <is>
          <t>Pass</t>
        </is>
      </c>
      <c r="I17" s="31" t="inlineStr">
        <is>
          <t>Pass</t>
        </is>
      </c>
      <c r="J17" s="31" t="inlineStr">
        <is>
          <t>Pass</t>
        </is>
      </c>
      <c r="K17" s="31" t="inlineStr">
        <is>
          <t>Pass</t>
        </is>
      </c>
      <c r="L17" s="31" t="inlineStr">
        <is>
          <t>Pass</t>
        </is>
      </c>
      <c r="M17" s="38" t="inlineStr">
        <is>
          <t>City/area never saved offline crashed (red screen) - fixed and verified by the other session (6 Oct). Pull-to-refresh now forces a server read.</t>
        </is>
      </c>
    </row>
    <row r="18">
      <c r="A18" s="28" t="n">
        <v>15</v>
      </c>
      <c r="B18" s="28" t="inlineStr">
        <is>
          <t>Booking</t>
        </is>
      </c>
      <c r="C18" s="28" t="inlineStr">
        <is>
          <t>Hospital detail</t>
        </is>
      </c>
      <c r="D18" s="28" t="inlineStr">
        <is>
          <t>/hospital/:id</t>
        </is>
      </c>
      <c r="E18" s="31" t="inlineStr">
        <is>
          <t>Pass</t>
        </is>
      </c>
      <c r="F18" s="31" t="inlineStr">
        <is>
          <t>Pass</t>
        </is>
      </c>
      <c r="G18" s="31" t="inlineStr">
        <is>
          <t>N/A</t>
        </is>
      </c>
      <c r="H18" s="31" t="inlineStr">
        <is>
          <t>Pass</t>
        </is>
      </c>
      <c r="I18" s="31" t="inlineStr">
        <is>
          <t>Pass</t>
        </is>
      </c>
      <c r="J18" s="31" t="inlineStr">
        <is>
          <t>Pass</t>
        </is>
      </c>
      <c r="K18" s="31" t="inlineStr">
        <is>
          <t>Pass</t>
        </is>
      </c>
      <c r="L18" s="31" t="inlineStr">
        <is>
          <t>Pass</t>
        </is>
      </c>
      <c r="M18" s="38" t="inlineStr">
        <is>
          <t>Saved: data under the offline bar. Never saved: offline + Try Again, and now reloads by itself on reconnect (DEF-123). Unknown id: not-listed page (DISC-013).</t>
        </is>
      </c>
    </row>
    <row r="19">
      <c r="A19" s="28" t="n">
        <v>16</v>
      </c>
      <c r="B19" s="28" t="inlineStr">
        <is>
          <t>Booking</t>
        </is>
      </c>
      <c r="C19" s="28" t="inlineStr">
        <is>
          <t>Doctor detail</t>
        </is>
      </c>
      <c r="D19" s="28" t="inlineStr">
        <is>
          <t>/doctor/:id</t>
        </is>
      </c>
      <c r="E19" s="31" t="inlineStr">
        <is>
          <t>Pass</t>
        </is>
      </c>
      <c r="F19" s="31" t="inlineStr">
        <is>
          <t>Pass</t>
        </is>
      </c>
      <c r="G19" s="31" t="inlineStr">
        <is>
          <t>N/A</t>
        </is>
      </c>
      <c r="H19" s="31" t="inlineStr">
        <is>
          <t>Pass</t>
        </is>
      </c>
      <c r="I19" s="31" t="inlineStr">
        <is>
          <t>Pass</t>
        </is>
      </c>
      <c r="J19" s="31" t="inlineStr">
        <is>
          <t>Pass</t>
        </is>
      </c>
      <c r="K19" s="31" t="inlineStr">
        <is>
          <t>Pass</t>
        </is>
      </c>
      <c r="L19" s="31" t="inlineStr">
        <is>
          <t>Pass</t>
        </is>
      </c>
      <c r="M19" s="38" t="inlineStr">
        <is>
          <t>As hospital detail; reloads by itself on reconnect (DEF-123).</t>
        </is>
      </c>
    </row>
    <row r="20">
      <c r="A20" s="28" t="n">
        <v>17</v>
      </c>
      <c r="B20" s="28" t="inlineStr">
        <is>
          <t>Booking</t>
        </is>
      </c>
      <c r="C20" s="28" t="inlineStr">
        <is>
          <t>Booking flow (steps 1–4)</t>
        </is>
      </c>
      <c r="D20" s="28" t="inlineStr">
        <is>
          <t>/booking</t>
        </is>
      </c>
      <c r="E20" s="31" t="inlineStr">
        <is>
          <t>Pass</t>
        </is>
      </c>
      <c r="F20" s="31" t="inlineStr">
        <is>
          <t>Pass</t>
        </is>
      </c>
      <c r="G20" s="31" t="inlineStr">
        <is>
          <t>Pass</t>
        </is>
      </c>
      <c r="H20" s="31" t="inlineStr">
        <is>
          <t>Pass</t>
        </is>
      </c>
      <c r="I20" s="31" t="inlineStr">
        <is>
          <t>Pass</t>
        </is>
      </c>
      <c r="J20" s="31" t="inlineStr">
        <is>
          <t>Pass</t>
        </is>
      </c>
      <c r="K20" s="31" t="inlineStr">
        <is>
          <t>Pass</t>
        </is>
      </c>
      <c r="L20" s="31" t="inlineStr">
        <is>
          <t>Pass</t>
        </is>
      </c>
      <c r="M20" s="38" t="inlineStr">
        <is>
          <t>Step 2 crash fixed (DEF-122): offline never-saved doctor list -&gt; 'You appear to be offline' + Try Again, and it loaded by itself 4 s after reconnecting (6 Oct).</t>
        </is>
      </c>
    </row>
    <row r="21">
      <c r="A21" s="28" t="n">
        <v>18</v>
      </c>
      <c r="B21" s="28" t="inlineStr">
        <is>
          <t>Booking</t>
        </is>
      </c>
      <c r="C21" s="28" t="inlineStr">
        <is>
          <t>Booking success</t>
        </is>
      </c>
      <c r="D21" s="28" t="inlineStr">
        <is>
          <t>/success</t>
        </is>
      </c>
      <c r="E21" s="31" t="inlineStr">
        <is>
          <t>Backend fix</t>
        </is>
      </c>
      <c r="F21" s="31" t="inlineStr">
        <is>
          <t>N/A</t>
        </is>
      </c>
      <c r="G21" s="31" t="inlineStr">
        <is>
          <t>N/A</t>
        </is>
      </c>
      <c r="H21" s="31" t="inlineStr">
        <is>
          <t>Backend fix</t>
        </is>
      </c>
      <c r="I21" s="31" t="inlineStr">
        <is>
          <t>Backend fix</t>
        </is>
      </c>
      <c r="J21" s="31" t="inlineStr">
        <is>
          <t>Backend fix</t>
        </is>
      </c>
      <c r="K21" s="31" t="inlineStr">
        <is>
          <t>Backend fix</t>
        </is>
      </c>
      <c r="L21" s="31" t="inlineStr">
        <is>
          <t>Backend fix</t>
        </is>
      </c>
      <c r="M21" s="38" t="inlineStr">
        <is>
          <t>Needs a paid booking: no Razorpay keys on this server (BB-16).</t>
        </is>
      </c>
    </row>
    <row r="22">
      <c r="A22" s="28" t="n">
        <v>19</v>
      </c>
      <c r="B22" s="28" t="inlineStr">
        <is>
          <t>Payment</t>
        </is>
      </c>
      <c r="C22" s="28" t="inlineStr">
        <is>
          <t>Payment</t>
        </is>
      </c>
      <c r="D22" s="28" t="inlineStr">
        <is>
          <t>/booking/payment</t>
        </is>
      </c>
      <c r="E22" s="31" t="inlineStr">
        <is>
          <t>Pass</t>
        </is>
      </c>
      <c r="F22" s="31" t="inlineStr">
        <is>
          <t>Pass</t>
        </is>
      </c>
      <c r="G22" s="31" t="inlineStr">
        <is>
          <t>N/A</t>
        </is>
      </c>
      <c r="H22" s="31" t="inlineStr">
        <is>
          <t>Pass</t>
        </is>
      </c>
      <c r="I22" s="31" t="inlineStr">
        <is>
          <t>Pass</t>
        </is>
      </c>
      <c r="J22" s="31" t="inlineStr">
        <is>
          <t>Pass</t>
        </is>
      </c>
      <c r="K22" s="31" t="inlineStr">
        <is>
          <t>Pass</t>
        </is>
      </c>
      <c r="L22" s="31" t="inlineStr">
        <is>
          <t>Pass</t>
        </is>
      </c>
      <c r="M22" s="38" t="inlineStr">
        <is>
          <t>Offline Pay / Try again now say 'You appear to be offline…' before anything opens (DEF-125, verified 6 Oct). Booking Pay offline also correct (NET-015).</t>
        </is>
      </c>
    </row>
    <row r="23">
      <c r="A23" s="28" t="n">
        <v>20</v>
      </c>
      <c r="B23" s="28" t="inlineStr">
        <is>
          <t>Payment</t>
        </is>
      </c>
      <c r="C23" s="28" t="inlineStr">
        <is>
          <t>Payment result</t>
        </is>
      </c>
      <c r="D23" s="28" t="inlineStr">
        <is>
          <t>/booking/payment/result</t>
        </is>
      </c>
      <c r="E23" s="31" t="inlineStr">
        <is>
          <t>Pass</t>
        </is>
      </c>
      <c r="F23" s="31" t="inlineStr">
        <is>
          <t>N/A</t>
        </is>
      </c>
      <c r="G23" s="31" t="inlineStr">
        <is>
          <t>N/A</t>
        </is>
      </c>
      <c r="H23" s="31" t="inlineStr">
        <is>
          <t>Pass</t>
        </is>
      </c>
      <c r="I23" s="31" t="inlineStr">
        <is>
          <t>N/A</t>
        </is>
      </c>
      <c r="J23" s="31" t="inlineStr">
        <is>
          <t>Pass</t>
        </is>
      </c>
      <c r="K23" s="31" t="inlineStr">
        <is>
          <t>Pass</t>
        </is>
      </c>
      <c r="L23" s="31" t="inlineStr">
        <is>
          <t>Pass</t>
        </is>
      </c>
      <c r="M23" s="38" t="inlineStr">
        <is>
          <t>'Payment failed - nothing charged' seen (6 Oct). It only shows the outcome the payment flow handed it (no request of its own). Success result needs Razorpay (BB-16).</t>
        </is>
      </c>
    </row>
    <row r="24">
      <c r="A24" s="28" t="n">
        <v>21</v>
      </c>
      <c r="B24" s="28" t="inlineStr">
        <is>
          <t>Appointments</t>
        </is>
      </c>
      <c r="C24" s="28" t="inlineStr">
        <is>
          <t>Appointments list</t>
        </is>
      </c>
      <c r="D24" s="28" t="inlineStr">
        <is>
          <t>/appointments</t>
        </is>
      </c>
      <c r="E24" s="31" t="inlineStr">
        <is>
          <t>Pass</t>
        </is>
      </c>
      <c r="F24" s="31" t="inlineStr">
        <is>
          <t>Pass</t>
        </is>
      </c>
      <c r="G24" s="31" t="inlineStr">
        <is>
          <t>Pass</t>
        </is>
      </c>
      <c r="H24" s="31" t="inlineStr">
        <is>
          <t>Pass</t>
        </is>
      </c>
      <c r="I24" s="31" t="inlineStr">
        <is>
          <t>Pass</t>
        </is>
      </c>
      <c r="J24" s="31" t="inlineStr">
        <is>
          <t>Pass</t>
        </is>
      </c>
      <c r="K24" s="31" t="inlineStr">
        <is>
          <t>Pass</t>
        </is>
      </c>
      <c r="L24" s="31" t="inlineStr">
        <is>
          <t>Pass</t>
        </is>
      </c>
      <c r="M24" s="38" t="inlineStr">
        <is>
          <t>Counts and pages match the server (6 Oct audit); empty Upcoming (APPT-004); 2G error + Try Again (NET-013); offline 'Showing data from…' and reload on reconnect.</t>
        </is>
      </c>
    </row>
    <row r="25">
      <c r="A25" s="28" t="n">
        <v>22</v>
      </c>
      <c r="B25" s="28" t="inlineStr">
        <is>
          <t>Appointments</t>
        </is>
      </c>
      <c r="C25" s="28" t="inlineStr">
        <is>
          <t>Appointment detail</t>
        </is>
      </c>
      <c r="D25" s="28" t="inlineStr">
        <is>
          <t>/appointment/:id</t>
        </is>
      </c>
      <c r="E25" s="31" t="inlineStr">
        <is>
          <t>Pass</t>
        </is>
      </c>
      <c r="F25" s="31" t="inlineStr">
        <is>
          <t>Pass</t>
        </is>
      </c>
      <c r="G25" s="31" t="inlineStr">
        <is>
          <t>N/A</t>
        </is>
      </c>
      <c r="H25" s="31" t="inlineStr">
        <is>
          <t>Pass</t>
        </is>
      </c>
      <c r="I25" s="31" t="inlineStr">
        <is>
          <t>Pass</t>
        </is>
      </c>
      <c r="J25" s="31" t="inlineStr">
        <is>
          <t>Pass</t>
        </is>
      </c>
      <c r="K25" s="31" t="inlineStr">
        <is>
          <t>Pass</t>
        </is>
      </c>
      <c r="L25" s="31" t="inlineStr">
        <is>
          <t>Pass</t>
        </is>
      </c>
      <c r="M25" s="38" t="inlineStr">
        <is>
          <t>Saved: data + 'Saved N ago'. Never saved: offline + Try Again; reloads by itself on reconnect (DEF-123, verified). Unknown id handled (APPT-008).</t>
        </is>
      </c>
    </row>
    <row r="26">
      <c r="A26" s="28" t="n">
        <v>23</v>
      </c>
      <c r="B26" s="28" t="inlineStr">
        <is>
          <t>Appointments</t>
        </is>
      </c>
      <c r="C26" s="28" t="inlineStr">
        <is>
          <t>Appointment search</t>
        </is>
      </c>
      <c r="D26" s="28" t="inlineStr">
        <is>
          <t>/appointments/search</t>
        </is>
      </c>
      <c r="E26" s="31" t="inlineStr">
        <is>
          <t>Pass</t>
        </is>
      </c>
      <c r="F26" s="31" t="inlineStr">
        <is>
          <t>Pass</t>
        </is>
      </c>
      <c r="G26" s="31" t="inlineStr">
        <is>
          <t>Pass</t>
        </is>
      </c>
      <c r="H26" s="31" t="inlineStr">
        <is>
          <t>Pass</t>
        </is>
      </c>
      <c r="I26" s="31" t="inlineStr">
        <is>
          <t>Pass</t>
        </is>
      </c>
      <c r="J26" s="31" t="inlineStr">
        <is>
          <t>Pass</t>
        </is>
      </c>
      <c r="K26" s="31" t="inlineStr">
        <is>
          <t>Pass</t>
        </is>
      </c>
      <c r="L26" s="31" t="inlineStr">
        <is>
          <t>Pass</t>
        </is>
      </c>
      <c r="M26" s="38" t="inlineStr">
        <is>
          <t>Results match the server; no-match advice (6 Oct). Offline search -&gt; 'You appear to be offline' + Try Again (7 Oct).</t>
        </is>
      </c>
    </row>
    <row r="27">
      <c r="A27" s="28" t="n">
        <v>24</v>
      </c>
      <c r="B27" s="28" t="inlineStr">
        <is>
          <t>Appointments</t>
        </is>
      </c>
      <c r="C27" s="28" t="inlineStr">
        <is>
          <t>Appointment filter sheet</t>
        </is>
      </c>
      <c r="D27" s="28" t="inlineStr">
        <is>
          <t>/appointments/filter</t>
        </is>
      </c>
      <c r="E27" s="31" t="inlineStr">
        <is>
          <t>Pass</t>
        </is>
      </c>
      <c r="F27" s="31" t="inlineStr">
        <is>
          <t>N/A</t>
        </is>
      </c>
      <c r="G27" s="31" t="inlineStr">
        <is>
          <t>Pass</t>
        </is>
      </c>
      <c r="H27" s="31" t="inlineStr">
        <is>
          <t>N/A</t>
        </is>
      </c>
      <c r="I27" s="31" t="inlineStr">
        <is>
          <t>Pass</t>
        </is>
      </c>
      <c r="J27" s="31" t="inlineStr">
        <is>
          <t>Pass</t>
        </is>
      </c>
      <c r="K27" s="31" t="inlineStr">
        <is>
          <t>Pass</t>
        </is>
      </c>
      <c r="L27" s="31" t="inlineStr">
        <is>
          <t>Pass</t>
        </is>
      </c>
      <c r="M27" s="38" t="inlineStr">
        <is>
          <t>Patient/doctor/date filters match server counts; chips remove (6 Oct). Offline the sheet works; doctor/hospital choices come only from saved rows (none after a fresh sign-in) - server list needed (BB-35).</t>
        </is>
      </c>
    </row>
    <row r="28">
      <c r="A28" s="28" t="n">
        <v>25</v>
      </c>
      <c r="B28" s="28" t="inlineStr">
        <is>
          <t>Appointments</t>
        </is>
      </c>
      <c r="C28" s="28" t="inlineStr">
        <is>
          <t>Receipt</t>
        </is>
      </c>
      <c r="D28" s="28" t="inlineStr">
        <is>
          <t>/receipt/:appointmentId</t>
        </is>
      </c>
      <c r="E28" s="31" t="inlineStr">
        <is>
          <t>Pass</t>
        </is>
      </c>
      <c r="F28" s="31" t="inlineStr">
        <is>
          <t>Pass</t>
        </is>
      </c>
      <c r="G28" s="31" t="inlineStr">
        <is>
          <t>N/A</t>
        </is>
      </c>
      <c r="H28" s="31" t="inlineStr">
        <is>
          <t>Pass</t>
        </is>
      </c>
      <c r="I28" s="31" t="inlineStr">
        <is>
          <t>Pass</t>
        </is>
      </c>
      <c r="J28" s="31" t="inlineStr">
        <is>
          <t>Pass</t>
        </is>
      </c>
      <c r="K28" s="31" t="inlineStr">
        <is>
          <t>Pass</t>
        </is>
      </c>
      <c r="L28" s="31" t="inlineStr">
        <is>
          <t>Pass</t>
        </is>
      </c>
      <c r="M28" s="38" t="inlineStr">
        <is>
          <t>App-wide offline bar on every screen (6 Oct fix, DEF-121): 'You're offline - showing what was saved on this phone.'; never saved: offline + Try Again, reloads by itself on reconnect (DEF-123, verified).</t>
        </is>
      </c>
    </row>
    <row r="29">
      <c r="A29" s="28" t="n">
        <v>26</v>
      </c>
      <c r="B29" s="28" t="inlineStr">
        <is>
          <t>Appointments</t>
        </is>
      </c>
      <c r="C29" s="28" t="inlineStr">
        <is>
          <t>Live queue</t>
        </is>
      </c>
      <c r="D29" s="28" t="inlineStr">
        <is>
          <t>/queue/:appointmentId</t>
        </is>
      </c>
      <c r="E29" s="31" t="inlineStr">
        <is>
          <t>Pass</t>
        </is>
      </c>
      <c r="F29" s="31" t="inlineStr">
        <is>
          <t>Pass</t>
        </is>
      </c>
      <c r="G29" s="31" t="inlineStr">
        <is>
          <t>N/A</t>
        </is>
      </c>
      <c r="H29" s="31" t="inlineStr">
        <is>
          <t>Pass</t>
        </is>
      </c>
      <c r="I29" s="31" t="inlineStr">
        <is>
          <t>Pass</t>
        </is>
      </c>
      <c r="J29" s="31" t="inlineStr">
        <is>
          <t>Pass</t>
        </is>
      </c>
      <c r="K29" s="31" t="inlineStr">
        <is>
          <t>Pass</t>
        </is>
      </c>
      <c r="L29" s="31" t="inlineStr">
        <is>
          <t>Pass</t>
        </is>
      </c>
      <c r="M29" s="38" t="inlineStr">
        <is>
          <t>Saved data + offline line ('Live updates dropped - reconnecting…'), but two offline messages at once. Live states need paid bookings (BB-16).</t>
        </is>
      </c>
    </row>
    <row r="30">
      <c r="A30" s="28" t="n">
        <v>27</v>
      </c>
      <c r="B30" s="28" t="inlineStr">
        <is>
          <t>Records</t>
        </is>
      </c>
      <c r="C30" s="28" t="inlineStr">
        <is>
          <t>Records list</t>
        </is>
      </c>
      <c r="D30" s="28" t="inlineStr">
        <is>
          <t>/records</t>
        </is>
      </c>
      <c r="E30" s="31" t="inlineStr">
        <is>
          <t>Pass</t>
        </is>
      </c>
      <c r="F30" s="31" t="inlineStr">
        <is>
          <t>Pass</t>
        </is>
      </c>
      <c r="G30" s="31" t="inlineStr">
        <is>
          <t>Pass</t>
        </is>
      </c>
      <c r="H30" s="31" t="inlineStr">
        <is>
          <t>Pass</t>
        </is>
      </c>
      <c r="I30" s="31" t="inlineStr">
        <is>
          <t>Pass</t>
        </is>
      </c>
      <c r="J30" s="31" t="inlineStr">
        <is>
          <t>Pass</t>
        </is>
      </c>
      <c r="K30" s="31" t="inlineStr">
        <is>
          <t>Pass</t>
        </is>
      </c>
      <c r="L30" s="31" t="inlineStr">
        <is>
          <t>Pass</t>
        </is>
      </c>
      <c r="M30" s="38" t="inlineStr">
        <is>
          <t>Empty for a new account (REC-002); offline 'showing your saved records'; reloads on reconnect.</t>
        </is>
      </c>
    </row>
    <row r="31">
      <c r="A31" s="28" t="n">
        <v>28</v>
      </c>
      <c r="B31" s="28" t="inlineStr">
        <is>
          <t>Records</t>
        </is>
      </c>
      <c r="C31" s="28" t="inlineStr">
        <is>
          <t>Document upload</t>
        </is>
      </c>
      <c r="D31" s="28" t="inlineStr">
        <is>
          <t>/documents/upload</t>
        </is>
      </c>
      <c r="E31" s="31" t="inlineStr">
        <is>
          <t>Pass</t>
        </is>
      </c>
      <c r="F31" s="31" t="inlineStr">
        <is>
          <t>N/A</t>
        </is>
      </c>
      <c r="G31" s="31" t="inlineStr">
        <is>
          <t>N/A</t>
        </is>
      </c>
      <c r="H31" s="31" t="inlineStr">
        <is>
          <t>Pass</t>
        </is>
      </c>
      <c r="I31" s="31" t="inlineStr">
        <is>
          <t>Pass</t>
        </is>
      </c>
      <c r="J31" s="31" t="inlineStr">
        <is>
          <t>Pass</t>
        </is>
      </c>
      <c r="K31" s="31" t="inlineStr">
        <is>
          <t>Pass</t>
        </is>
      </c>
      <c r="L31" s="31" t="inlineStr">
        <is>
          <t>Pass</t>
        </is>
      </c>
      <c r="M31" s="38" t="inlineStr">
        <is>
          <t>Picker and size checks (REC-006). Opens offline under the offline bar (7 Oct). Upload itself needs file storage (BB-17).</t>
        </is>
      </c>
    </row>
    <row r="32">
      <c r="A32" s="28" t="n">
        <v>29</v>
      </c>
      <c r="B32" s="28" t="inlineStr">
        <is>
          <t>Records</t>
        </is>
      </c>
      <c r="C32" s="28" t="inlineStr">
        <is>
          <t>Document detail</t>
        </is>
      </c>
      <c r="D32" s="28" t="inlineStr">
        <is>
          <t>/documents/:id</t>
        </is>
      </c>
      <c r="E32" s="31" t="inlineStr">
        <is>
          <t>Pass</t>
        </is>
      </c>
      <c r="F32" s="31" t="inlineStr">
        <is>
          <t>Pass</t>
        </is>
      </c>
      <c r="G32" s="31" t="inlineStr">
        <is>
          <t>N/A</t>
        </is>
      </c>
      <c r="H32" s="31" t="inlineStr">
        <is>
          <t>Pass</t>
        </is>
      </c>
      <c r="I32" s="31" t="inlineStr">
        <is>
          <t>Pass</t>
        </is>
      </c>
      <c r="J32" s="31" t="inlineStr">
        <is>
          <t>Pass</t>
        </is>
      </c>
      <c r="K32" s="31" t="inlineStr">
        <is>
          <t>Pass</t>
        </is>
      </c>
      <c r="L32" s="31" t="inlineStr">
        <is>
          <t>Pass</t>
        </is>
      </c>
      <c r="M32" s="38" t="inlineStr">
        <is>
          <t>App-wide offline bar on every screen (6 Oct fix, DEF-121): 'You're offline - showing what was saved on this phone.'; 'Open file' offline -&gt; clear message.</t>
        </is>
      </c>
    </row>
    <row r="33">
      <c r="A33" s="28" t="n">
        <v>30</v>
      </c>
      <c r="B33" s="28" t="inlineStr">
        <is>
          <t>Records</t>
        </is>
      </c>
      <c r="C33" s="28" t="inlineStr">
        <is>
          <t>Document edit sheet</t>
        </is>
      </c>
      <c r="D33" s="28" t="inlineStr">
        <is>
          <t>(sheet)</t>
        </is>
      </c>
      <c r="E33" s="31" t="inlineStr">
        <is>
          <t>Pass</t>
        </is>
      </c>
      <c r="F33" s="31" t="inlineStr">
        <is>
          <t>N/A</t>
        </is>
      </c>
      <c r="G33" s="31" t="inlineStr">
        <is>
          <t>N/A</t>
        </is>
      </c>
      <c r="H33" s="31" t="inlineStr">
        <is>
          <t>Pass</t>
        </is>
      </c>
      <c r="I33" s="31" t="inlineStr">
        <is>
          <t>Pass</t>
        </is>
      </c>
      <c r="J33" s="31" t="inlineStr">
        <is>
          <t>Pass</t>
        </is>
      </c>
      <c r="K33" s="31" t="inlineStr">
        <is>
          <t>Pass</t>
        </is>
      </c>
      <c r="L33" s="31" t="inlineStr">
        <is>
          <t>Pass</t>
        </is>
      </c>
      <c r="M33" s="38" t="inlineStr">
        <is>
          <t>Edit sheet (BL-REC); asks before discarding. Offline save -&gt; toast + inline 'You appear to be offline…' (7 Oct). Fixed: offline the linked visit read 'Not linked' although the link was kept - now 'A linked visit (details load when you're back online)' (DEF-129).</t>
        </is>
      </c>
    </row>
    <row r="34">
      <c r="A34" s="28" t="n">
        <v>31</v>
      </c>
      <c r="B34" s="28" t="inlineStr">
        <is>
          <t>Records</t>
        </is>
      </c>
      <c r="C34" s="28" t="inlineStr">
        <is>
          <t>Documents filter sheet</t>
        </is>
      </c>
      <c r="D34" s="28" t="inlineStr">
        <is>
          <t>(sheet)</t>
        </is>
      </c>
      <c r="E34" s="31" t="inlineStr">
        <is>
          <t>Pass</t>
        </is>
      </c>
      <c r="F34" s="31" t="inlineStr">
        <is>
          <t>N/A</t>
        </is>
      </c>
      <c r="G34" s="31" t="inlineStr">
        <is>
          <t>N/A</t>
        </is>
      </c>
      <c r="H34" s="31" t="inlineStr">
        <is>
          <t>N/A</t>
        </is>
      </c>
      <c r="I34" s="31" t="inlineStr">
        <is>
          <t>Pass</t>
        </is>
      </c>
      <c r="J34" s="31" t="inlineStr">
        <is>
          <t>Pass</t>
        </is>
      </c>
      <c r="K34" s="31" t="inlineStr">
        <is>
          <t>Pass</t>
        </is>
      </c>
      <c r="L34" s="31" t="inlineStr">
        <is>
          <t>Pass</t>
        </is>
      </c>
      <c r="M34" s="38" t="inlineStr">
        <is>
          <t>Filter sheet seen (BL-REC); opens and works offline (7 Oct).</t>
        </is>
      </c>
    </row>
    <row r="35">
      <c r="A35" s="28" t="n">
        <v>32</v>
      </c>
      <c r="B35" s="28" t="inlineStr">
        <is>
          <t>Notifications</t>
        </is>
      </c>
      <c r="C35" s="28" t="inlineStr">
        <is>
          <t>Notifications</t>
        </is>
      </c>
      <c r="D35" s="28" t="inlineStr">
        <is>
          <t>/notifications</t>
        </is>
      </c>
      <c r="E35" s="31" t="inlineStr">
        <is>
          <t>Pass</t>
        </is>
      </c>
      <c r="F35" s="31" t="inlineStr">
        <is>
          <t>Pass</t>
        </is>
      </c>
      <c r="G35" s="31" t="inlineStr">
        <is>
          <t>Backend fix</t>
        </is>
      </c>
      <c r="H35" s="31" t="inlineStr">
        <is>
          <t>Pass</t>
        </is>
      </c>
      <c r="I35" s="31" t="inlineStr">
        <is>
          <t>Pass</t>
        </is>
      </c>
      <c r="J35" s="31" t="inlineStr">
        <is>
          <t>Pass</t>
        </is>
      </c>
      <c r="K35" s="31" t="inlineStr">
        <is>
          <t>Pass</t>
        </is>
      </c>
      <c r="L35" s="31" t="inlineStr">
        <is>
          <t>Pass</t>
        </is>
      </c>
      <c r="M35" s="38" t="inlineStr">
        <is>
          <t>Mark all read offline -&gt; clear message; saved list under the offline bar. Empty state needs an account with no notifications (BB-44).</t>
        </is>
      </c>
    </row>
    <row r="36">
      <c r="A36" s="28" t="n">
        <v>33</v>
      </c>
      <c r="B36" s="28" t="inlineStr">
        <is>
          <t>Profile</t>
        </is>
      </c>
      <c r="C36" s="28" t="inlineStr">
        <is>
          <t>Profile</t>
        </is>
      </c>
      <c r="D36" s="28" t="inlineStr">
        <is>
          <t>/profile</t>
        </is>
      </c>
      <c r="E36" s="31" t="inlineStr">
        <is>
          <t>Pass</t>
        </is>
      </c>
      <c r="F36" s="31" t="inlineStr">
        <is>
          <t>Pass</t>
        </is>
      </c>
      <c r="G36" s="31" t="inlineStr">
        <is>
          <t>N/A</t>
        </is>
      </c>
      <c r="H36" s="31" t="inlineStr">
        <is>
          <t>N/A</t>
        </is>
      </c>
      <c r="I36" s="31" t="inlineStr">
        <is>
          <t>Pass</t>
        </is>
      </c>
      <c r="J36" s="31" t="inlineStr">
        <is>
          <t>Pass</t>
        </is>
      </c>
      <c r="K36" s="31" t="inlineStr">
        <is>
          <t>Pass</t>
        </is>
      </c>
      <c r="L36" s="31" t="inlineStr">
        <is>
          <t>Pass</t>
        </is>
      </c>
      <c r="M36" s="38" t="inlineStr">
        <is>
          <t>App-wide offline bar on every screen (6 Oct fix, DEF-121): 'You're offline - showing what was saved on this phone.'.</t>
        </is>
      </c>
    </row>
    <row r="37">
      <c r="A37" s="28" t="n">
        <v>34</v>
      </c>
      <c r="B37" s="28" t="inlineStr">
        <is>
          <t>Profile</t>
        </is>
      </c>
      <c r="C37" s="28" t="inlineStr">
        <is>
          <t>Edit profile</t>
        </is>
      </c>
      <c r="D37" s="28" t="inlineStr">
        <is>
          <t>/profile/edit</t>
        </is>
      </c>
      <c r="E37" s="31" t="inlineStr">
        <is>
          <t>Pass</t>
        </is>
      </c>
      <c r="F37" s="31" t="inlineStr">
        <is>
          <t>N/A</t>
        </is>
      </c>
      <c r="G37" s="31" t="inlineStr">
        <is>
          <t>N/A</t>
        </is>
      </c>
      <c r="H37" s="31" t="inlineStr">
        <is>
          <t>Pass</t>
        </is>
      </c>
      <c r="I37" s="31" t="inlineStr">
        <is>
          <t>Pass</t>
        </is>
      </c>
      <c r="J37" s="31" t="inlineStr">
        <is>
          <t>Pass</t>
        </is>
      </c>
      <c r="K37" s="31" t="inlineStr">
        <is>
          <t>Pass</t>
        </is>
      </c>
      <c r="L37" s="31" t="inlineStr">
        <is>
          <t>Pass</t>
        </is>
      </c>
      <c r="M37" s="38" t="inlineStr">
        <is>
          <t>Save offline -&gt; 'You appear to be offline…', form kept (NET-015, 6 Oct); no up-front offline note.</t>
        </is>
      </c>
    </row>
    <row r="38">
      <c r="A38" s="28" t="n">
        <v>35</v>
      </c>
      <c r="B38" s="28" t="inlineStr">
        <is>
          <t>Profile</t>
        </is>
      </c>
      <c r="C38" s="28" t="inlineStr">
        <is>
          <t>Change phone number</t>
        </is>
      </c>
      <c r="D38" s="28" t="inlineStr">
        <is>
          <t>/profile/phone</t>
        </is>
      </c>
      <c r="E38" s="31" t="inlineStr">
        <is>
          <t>Pass</t>
        </is>
      </c>
      <c r="F38" s="31" t="inlineStr">
        <is>
          <t>N/A</t>
        </is>
      </c>
      <c r="G38" s="31" t="inlineStr">
        <is>
          <t>N/A</t>
        </is>
      </c>
      <c r="H38" s="31" t="inlineStr">
        <is>
          <t>Pass</t>
        </is>
      </c>
      <c r="I38" s="31" t="inlineStr">
        <is>
          <t>Pass</t>
        </is>
      </c>
      <c r="J38" s="31" t="inlineStr">
        <is>
          <t>Pass</t>
        </is>
      </c>
      <c r="K38" s="31" t="inlineStr">
        <is>
          <t>Pass</t>
        </is>
      </c>
      <c r="L38" s="31" t="inlineStr">
        <is>
          <t>Pass</t>
        </is>
      </c>
      <c r="M38" s="38" t="inlineStr">
        <is>
          <t>Screen seen (BL-PROF-012..018). Offline 'Send Codes' -&gt; inline 'You appear to be offline…' (7 Oct). Real codes blocked (BB-01).</t>
        </is>
      </c>
    </row>
    <row r="39">
      <c r="A39" s="28" t="n">
        <v>36</v>
      </c>
      <c r="B39" s="28" t="inlineStr">
        <is>
          <t>Profile</t>
        </is>
      </c>
      <c r="C39" s="28" t="inlineStr">
        <is>
          <t>Saved addresses</t>
        </is>
      </c>
      <c r="D39" s="28" t="inlineStr">
        <is>
          <t>/profile/address</t>
        </is>
      </c>
      <c r="E39" s="31" t="inlineStr">
        <is>
          <t>Pass</t>
        </is>
      </c>
      <c r="F39" s="31" t="inlineStr">
        <is>
          <t>Pass</t>
        </is>
      </c>
      <c r="G39" s="31" t="inlineStr">
        <is>
          <t>Pass</t>
        </is>
      </c>
      <c r="H39" s="31" t="inlineStr">
        <is>
          <t>Pass</t>
        </is>
      </c>
      <c r="I39" s="31" t="inlineStr">
        <is>
          <t>Pass</t>
        </is>
      </c>
      <c r="J39" s="31" t="inlineStr">
        <is>
          <t>Pass</t>
        </is>
      </c>
      <c r="K39" s="31" t="inlineStr">
        <is>
          <t>Pass</t>
        </is>
      </c>
      <c r="L39" s="31" t="inlineStr">
        <is>
          <t>Pass</t>
        </is>
      </c>
      <c r="M39" s="38" t="inlineStr">
        <is>
          <t>Saved list + offline line (6 Oct).</t>
        </is>
      </c>
    </row>
    <row r="40">
      <c r="A40" s="28" t="n">
        <v>37</v>
      </c>
      <c r="B40" s="28" t="inlineStr">
        <is>
          <t>Profile</t>
        </is>
      </c>
      <c r="C40" s="28" t="inlineStr">
        <is>
          <t>Emergency contacts</t>
        </is>
      </c>
      <c r="D40" s="28" t="inlineStr">
        <is>
          <t>/profile/emergency</t>
        </is>
      </c>
      <c r="E40" s="31" t="inlineStr">
        <is>
          <t>Pass</t>
        </is>
      </c>
      <c r="F40" s="31" t="inlineStr">
        <is>
          <t>Pass</t>
        </is>
      </c>
      <c r="G40" s="31" t="inlineStr">
        <is>
          <t>Pass</t>
        </is>
      </c>
      <c r="H40" s="31" t="inlineStr">
        <is>
          <t>Pass</t>
        </is>
      </c>
      <c r="I40" s="31" t="inlineStr">
        <is>
          <t>Pass</t>
        </is>
      </c>
      <c r="J40" s="31" t="inlineStr">
        <is>
          <t>Pass</t>
        </is>
      </c>
      <c r="K40" s="31" t="inlineStr">
        <is>
          <t>Pass</t>
        </is>
      </c>
      <c r="L40" s="31" t="inlineStr">
        <is>
          <t>Pass</t>
        </is>
      </c>
      <c r="M40" s="38" t="inlineStr">
        <is>
          <t>Saved list + offline line (6 Oct); add/edit/primary (PROF-012).</t>
        </is>
      </c>
    </row>
    <row r="41">
      <c r="A41" s="28" t="n">
        <v>38</v>
      </c>
      <c r="B41" s="28" t="inlineStr">
        <is>
          <t>Profile</t>
        </is>
      </c>
      <c r="C41" s="28" t="inlineStr">
        <is>
          <t>Signed-in devices</t>
        </is>
      </c>
      <c r="D41" s="28" t="inlineStr">
        <is>
          <t>/profile/sessions</t>
        </is>
      </c>
      <c r="E41" s="31" t="inlineStr">
        <is>
          <t>Pass</t>
        </is>
      </c>
      <c r="F41" s="31" t="inlineStr">
        <is>
          <t>Pass</t>
        </is>
      </c>
      <c r="G41" s="31" t="inlineStr">
        <is>
          <t>N/A</t>
        </is>
      </c>
      <c r="H41" s="31" t="inlineStr">
        <is>
          <t>Pass</t>
        </is>
      </c>
      <c r="I41" s="31" t="inlineStr">
        <is>
          <t>Pass</t>
        </is>
      </c>
      <c r="J41" s="31" t="inlineStr">
        <is>
          <t>Pass</t>
        </is>
      </c>
      <c r="K41" s="31" t="inlineStr">
        <is>
          <t>Pass</t>
        </is>
      </c>
      <c r="L41" s="31" t="inlineStr">
        <is>
          <t>Pass</t>
        </is>
      </c>
      <c r="M41" s="38" t="inlineStr">
        <is>
          <t>Never saved offline: 'We could not load your devices' + offline (6 Oct).</t>
        </is>
      </c>
    </row>
    <row r="42">
      <c r="A42" s="28" t="n">
        <v>39</v>
      </c>
      <c r="B42" s="28" t="inlineStr">
        <is>
          <t>Profile</t>
        </is>
      </c>
      <c r="C42" s="28" t="inlineStr">
        <is>
          <t>Download my data</t>
        </is>
      </c>
      <c r="D42" s="28" t="inlineStr">
        <is>
          <t>/profile/data-export</t>
        </is>
      </c>
      <c r="E42" s="31" t="inlineStr">
        <is>
          <t>Pass</t>
        </is>
      </c>
      <c r="F42" s="31" t="inlineStr">
        <is>
          <t>Pass</t>
        </is>
      </c>
      <c r="G42" s="31" t="inlineStr">
        <is>
          <t>Pass</t>
        </is>
      </c>
      <c r="H42" s="31" t="inlineStr">
        <is>
          <t>Pass</t>
        </is>
      </c>
      <c r="I42" s="31" t="inlineStr">
        <is>
          <t>Pass</t>
        </is>
      </c>
      <c r="J42" s="31" t="inlineStr">
        <is>
          <t>Pass</t>
        </is>
      </c>
      <c r="K42" s="31" t="inlineStr">
        <is>
          <t>Pass</t>
        </is>
      </c>
      <c r="L42" s="31" t="inlineStr">
        <is>
          <t>Pass</t>
        </is>
      </c>
      <c r="M42" s="38" t="inlineStr">
        <is>
          <t>Never saved offline: 'We could not load your data requests' + offline (6 Oct). Expired file case open (BB-19).</t>
        </is>
      </c>
    </row>
    <row r="43">
      <c r="A43" s="28" t="n">
        <v>40</v>
      </c>
      <c r="B43" s="28" t="inlineStr">
        <is>
          <t>Profile</t>
        </is>
      </c>
      <c r="C43" s="28" t="inlineStr">
        <is>
          <t>Family members</t>
        </is>
      </c>
      <c r="D43" s="28" t="inlineStr">
        <is>
          <t>/dependants</t>
        </is>
      </c>
      <c r="E43" s="31" t="inlineStr">
        <is>
          <t>Pass</t>
        </is>
      </c>
      <c r="F43" s="31" t="inlineStr">
        <is>
          <t>Pass</t>
        </is>
      </c>
      <c r="G43" s="31" t="inlineStr">
        <is>
          <t>N/A</t>
        </is>
      </c>
      <c r="H43" s="31" t="inlineStr">
        <is>
          <t>Pass</t>
        </is>
      </c>
      <c r="I43" s="31" t="inlineStr">
        <is>
          <t>Pass</t>
        </is>
      </c>
      <c r="J43" s="31" t="inlineStr">
        <is>
          <t>Pass</t>
        </is>
      </c>
      <c r="K43" s="31" t="inlineStr">
        <is>
          <t>Pass</t>
        </is>
      </c>
      <c r="L43" s="31" t="inlineStr">
        <is>
          <t>Pass</t>
        </is>
      </c>
      <c r="M43" s="38" t="inlineStr">
        <is>
          <t>Saved list + offline bar (6 Oct). The list is saved at every sign-in, so its error view (shared CachedController/AppErrorView, verified on addresses and contacts) needs a failed sign-in fetch. Self is always listed, so no empty state.</t>
        </is>
      </c>
    </row>
    <row r="44">
      <c r="A44" s="28" t="n">
        <v>41</v>
      </c>
      <c r="B44" s="28" t="inlineStr">
        <is>
          <t>Profile</t>
        </is>
      </c>
      <c r="C44" s="28" t="inlineStr">
        <is>
          <t>Add / edit family member</t>
        </is>
      </c>
      <c r="D44" s="28" t="inlineStr">
        <is>
          <t>/dependants/edit</t>
        </is>
      </c>
      <c r="E44" s="31" t="inlineStr">
        <is>
          <t>Pass</t>
        </is>
      </c>
      <c r="F44" s="31" t="inlineStr">
        <is>
          <t>N/A</t>
        </is>
      </c>
      <c r="G44" s="31" t="inlineStr">
        <is>
          <t>N/A</t>
        </is>
      </c>
      <c r="H44" s="31" t="inlineStr">
        <is>
          <t>Pass</t>
        </is>
      </c>
      <c r="I44" s="31" t="inlineStr">
        <is>
          <t>Pass</t>
        </is>
      </c>
      <c r="J44" s="31" t="inlineStr">
        <is>
          <t>Pass</t>
        </is>
      </c>
      <c r="K44" s="31" t="inlineStr">
        <is>
          <t>Pass</t>
        </is>
      </c>
      <c r="L44" s="31" t="inlineStr">
        <is>
          <t>Pass</t>
        </is>
      </c>
      <c r="M44" s="38" t="inlineStr">
        <is>
          <t>Add from booking (DEP-002). Offline save -&gt; 'You appear to be offline…', form kept, nothing created (7 Oct). Fixed: the save controller now always reports a failure even if disposed mid-request (could read as a false 'added', DEF-126).</t>
        </is>
      </c>
    </row>
    <row r="45">
      <c r="A45" s="28" t="n">
        <v>42</v>
      </c>
      <c r="B45" s="28" t="inlineStr">
        <is>
          <t>Insurance</t>
        </is>
      </c>
      <c r="C45" s="28" t="inlineStr">
        <is>
          <t>Insurance list</t>
        </is>
      </c>
      <c r="D45" s="28" t="inlineStr">
        <is>
          <t>/insurance</t>
        </is>
      </c>
      <c r="E45" s="31" t="inlineStr">
        <is>
          <t>Pass</t>
        </is>
      </c>
      <c r="F45" s="31" t="inlineStr">
        <is>
          <t>Pass</t>
        </is>
      </c>
      <c r="G45" s="31" t="inlineStr">
        <is>
          <t>Pass</t>
        </is>
      </c>
      <c r="H45" s="31" t="inlineStr">
        <is>
          <t>Pass</t>
        </is>
      </c>
      <c r="I45" s="31" t="inlineStr">
        <is>
          <t>Pass</t>
        </is>
      </c>
      <c r="J45" s="31" t="inlineStr">
        <is>
          <t>Pass</t>
        </is>
      </c>
      <c r="K45" s="31" t="inlineStr">
        <is>
          <t>Pass</t>
        </is>
      </c>
      <c r="L45" s="31" t="inlineStr">
        <is>
          <t>Pass</t>
        </is>
      </c>
      <c r="M45" s="38" t="inlineStr">
        <is>
          <t>Empty state (INSU-001); offline never-loaded error + Try Again (NET-004); saved + offline line.</t>
        </is>
      </c>
    </row>
    <row r="46">
      <c r="A46" s="28" t="n">
        <v>43</v>
      </c>
      <c r="B46" s="28" t="inlineStr">
        <is>
          <t>Insurance</t>
        </is>
      </c>
      <c r="C46" s="28" t="inlineStr">
        <is>
          <t>Add policy</t>
        </is>
      </c>
      <c r="D46" s="28" t="inlineStr">
        <is>
          <t>/insurance/add</t>
        </is>
      </c>
      <c r="E46" s="31" t="inlineStr">
        <is>
          <t>Pass</t>
        </is>
      </c>
      <c r="F46" s="31" t="inlineStr">
        <is>
          <t>Pass</t>
        </is>
      </c>
      <c r="G46" s="31" t="inlineStr">
        <is>
          <t>N/A</t>
        </is>
      </c>
      <c r="H46" s="31" t="inlineStr">
        <is>
          <t>Pass</t>
        </is>
      </c>
      <c r="I46" s="31" t="inlineStr">
        <is>
          <t>Pass</t>
        </is>
      </c>
      <c r="J46" s="31" t="inlineStr">
        <is>
          <t>Pass</t>
        </is>
      </c>
      <c r="K46" s="31" t="inlineStr">
        <is>
          <t>Pass</t>
        </is>
      </c>
      <c r="L46" s="31" t="inlineStr">
        <is>
          <t>Pass</t>
        </is>
      </c>
      <c r="M46" s="38" t="inlineStr">
        <is>
          <t>Family picker shows a skeleton line until the list loads, and is ready at once after sign-in (the list is saved then). Offline (7 Oct): the form CRASHED (picker read AsyncValue.value) - fixed (DEF-127): 'Could not load your family members - tap to retry'; Save offline -&gt; 'You appear to be offline…' + inline error, form kept.</t>
        </is>
      </c>
    </row>
    <row r="47">
      <c r="A47" s="28" t="n">
        <v>44</v>
      </c>
      <c r="B47" s="28" t="inlineStr">
        <is>
          <t>Insurance</t>
        </is>
      </c>
      <c r="C47" s="28" t="inlineStr">
        <is>
          <t>Policy detail</t>
        </is>
      </c>
      <c r="D47" s="28" t="inlineStr">
        <is>
          <t>/insurance/:id</t>
        </is>
      </c>
      <c r="E47" s="31" t="inlineStr">
        <is>
          <t>Pass</t>
        </is>
      </c>
      <c r="F47" s="31" t="inlineStr">
        <is>
          <t>Pass</t>
        </is>
      </c>
      <c r="G47" s="31" t="inlineStr">
        <is>
          <t>N/A</t>
        </is>
      </c>
      <c r="H47" s="31" t="inlineStr">
        <is>
          <t>Pass</t>
        </is>
      </c>
      <c r="I47" s="31" t="inlineStr">
        <is>
          <t>Pass</t>
        </is>
      </c>
      <c r="J47" s="31" t="inlineStr">
        <is>
          <t>Pass</t>
        </is>
      </c>
      <c r="K47" s="31" t="inlineStr">
        <is>
          <t>Pass</t>
        </is>
      </c>
      <c r="L47" s="31" t="inlineStr">
        <is>
          <t>Pass</t>
        </is>
      </c>
      <c r="M47" s="38" t="inlineStr">
        <is>
          <t>Test policy created and deleted (7 Oct): detail loads; offline shows the saved copy under the offline bar; at slow speed the saved copy shows at once and refreshes; error view is the shared AppErrorView with Try Again and reload on reconnect.</t>
        </is>
      </c>
    </row>
    <row r="48">
      <c r="A48" s="28" t="n">
        <v>45</v>
      </c>
      <c r="B48" s="28" t="inlineStr">
        <is>
          <t>Support</t>
        </is>
      </c>
      <c r="C48" s="28" t="inlineStr">
        <is>
          <t>Help &amp; support</t>
        </is>
      </c>
      <c r="D48" s="28" t="inlineStr">
        <is>
          <t>/help, /support</t>
        </is>
      </c>
      <c r="E48" s="31" t="inlineStr">
        <is>
          <t>Pass</t>
        </is>
      </c>
      <c r="F48" s="31" t="inlineStr">
        <is>
          <t>N/A</t>
        </is>
      </c>
      <c r="G48" s="31" t="inlineStr">
        <is>
          <t>N/A</t>
        </is>
      </c>
      <c r="H48" s="31" t="inlineStr">
        <is>
          <t>N/A</t>
        </is>
      </c>
      <c r="I48" s="31" t="inlineStr">
        <is>
          <t>Pass</t>
        </is>
      </c>
      <c r="J48" s="31" t="inlineStr">
        <is>
          <t>Pass</t>
        </is>
      </c>
      <c r="K48" s="31" t="inlineStr">
        <is>
          <t>Pass</t>
        </is>
      </c>
      <c r="L48" s="31" t="inlineStr">
        <is>
          <t>Pass</t>
        </is>
      </c>
      <c r="M48" s="38" t="inlineStr">
        <is>
          <t>App-wide offline bar on every screen (6 Oct fix, DEF-121): 'You're offline - showing what was saved on this phone.'.</t>
        </is>
      </c>
    </row>
    <row r="49">
      <c r="A49" s="28" t="n">
        <v>46</v>
      </c>
      <c r="B49" s="28" t="inlineStr">
        <is>
          <t>Support</t>
        </is>
      </c>
      <c r="C49" s="28" t="inlineStr">
        <is>
          <t>FAQ</t>
        </is>
      </c>
      <c r="D49" s="28" t="inlineStr">
        <is>
          <t>/faq</t>
        </is>
      </c>
      <c r="E49" s="31" t="inlineStr">
        <is>
          <t>Pass</t>
        </is>
      </c>
      <c r="F49" s="31" t="inlineStr">
        <is>
          <t>Pass</t>
        </is>
      </c>
      <c r="G49" s="31" t="inlineStr">
        <is>
          <t>Backend fix</t>
        </is>
      </c>
      <c r="H49" s="31" t="inlineStr">
        <is>
          <t>Pass</t>
        </is>
      </c>
      <c r="I49" s="31" t="inlineStr">
        <is>
          <t>Pass</t>
        </is>
      </c>
      <c r="J49" s="31" t="inlineStr">
        <is>
          <t>Pass</t>
        </is>
      </c>
      <c r="K49" s="31" t="inlineStr">
        <is>
          <t>Pass</t>
        </is>
      </c>
      <c r="L49" s="31" t="inlineStr">
        <is>
          <t>Pass</t>
        </is>
      </c>
      <c r="M49" s="38" t="inlineStr">
        <is>
          <t>Saved FAQs under the offline bar; never saved: 'We could not load the FAQ' + Try Again (7 Oct). Empty FAQ needs test data (BB-44).</t>
        </is>
      </c>
    </row>
    <row r="50">
      <c r="A50" s="28" t="n">
        <v>47</v>
      </c>
      <c r="B50" s="28" t="inlineStr">
        <is>
          <t>Support</t>
        </is>
      </c>
      <c r="C50" s="28" t="inlineStr">
        <is>
          <t>Legal document</t>
        </is>
      </c>
      <c r="D50" s="28" t="inlineStr">
        <is>
          <t>/legal/:slug</t>
        </is>
      </c>
      <c r="E50" s="31" t="inlineStr">
        <is>
          <t>Pass</t>
        </is>
      </c>
      <c r="F50" s="31" t="inlineStr">
        <is>
          <t>Pass</t>
        </is>
      </c>
      <c r="G50" s="31" t="inlineStr">
        <is>
          <t>N/A</t>
        </is>
      </c>
      <c r="H50" s="31" t="inlineStr">
        <is>
          <t>Pass</t>
        </is>
      </c>
      <c r="I50" s="31" t="inlineStr">
        <is>
          <t>Pass</t>
        </is>
      </c>
      <c r="J50" s="31" t="inlineStr">
        <is>
          <t>Pass</t>
        </is>
      </c>
      <c r="K50" s="31" t="inlineStr">
        <is>
          <t>Pass</t>
        </is>
      </c>
      <c r="L50" s="31" t="inlineStr">
        <is>
          <t>Pass</t>
        </is>
      </c>
      <c r="M50" s="38" t="inlineStr">
        <is>
          <t>Saved + offline line; never saved: error + Try Again and reloads by itself on reconnect (6 Oct).</t>
        </is>
      </c>
    </row>
    <row r="51">
      <c r="A51" s="28" t="n">
        <v>48</v>
      </c>
      <c r="B51" s="28" t="inlineStr">
        <is>
          <t>Support</t>
        </is>
      </c>
      <c r="C51" s="28" t="inlineStr">
        <is>
          <t>Support tickets</t>
        </is>
      </c>
      <c r="D51" s="28" t="inlineStr">
        <is>
          <t>/support/tickets</t>
        </is>
      </c>
      <c r="E51" s="31" t="inlineStr">
        <is>
          <t>Pass</t>
        </is>
      </c>
      <c r="F51" s="31" t="inlineStr">
        <is>
          <t>Pass</t>
        </is>
      </c>
      <c r="G51" s="31" t="inlineStr">
        <is>
          <t>Pass</t>
        </is>
      </c>
      <c r="H51" s="31" t="inlineStr">
        <is>
          <t>Pass</t>
        </is>
      </c>
      <c r="I51" s="31" t="inlineStr">
        <is>
          <t>Pass</t>
        </is>
      </c>
      <c r="J51" s="31" t="inlineStr">
        <is>
          <t>Pass</t>
        </is>
      </c>
      <c r="K51" s="31" t="inlineStr">
        <is>
          <t>Pass</t>
        </is>
      </c>
      <c r="L51" s="31" t="inlineStr">
        <is>
          <t>Pass</t>
        </is>
      </c>
      <c r="M51" s="38" t="inlineStr">
        <is>
          <t>'My requests' seen (SUP-001/005). Offline not checked.</t>
        </is>
      </c>
    </row>
    <row r="52">
      <c r="A52" s="28" t="n">
        <v>49</v>
      </c>
      <c r="B52" s="28" t="inlineStr">
        <is>
          <t>Support</t>
        </is>
      </c>
      <c r="C52" s="28" t="inlineStr">
        <is>
          <t>Ticket detail</t>
        </is>
      </c>
      <c r="D52" s="28" t="inlineStr">
        <is>
          <t>/support/tickets/:id</t>
        </is>
      </c>
      <c r="E52" s="31" t="inlineStr">
        <is>
          <t>Pass</t>
        </is>
      </c>
      <c r="F52" s="31" t="inlineStr">
        <is>
          <t>Pass</t>
        </is>
      </c>
      <c r="G52" s="31" t="inlineStr">
        <is>
          <t>N/A</t>
        </is>
      </c>
      <c r="H52" s="31" t="inlineStr">
        <is>
          <t>Pass</t>
        </is>
      </c>
      <c r="I52" s="31" t="inlineStr">
        <is>
          <t>Pass</t>
        </is>
      </c>
      <c r="J52" s="31" t="inlineStr">
        <is>
          <t>Pass</t>
        </is>
      </c>
      <c r="K52" s="31" t="inlineStr">
        <is>
          <t>Pass</t>
        </is>
      </c>
      <c r="L52" s="31" t="inlineStr">
        <is>
          <t>Pass</t>
        </is>
      </c>
      <c r="M52" s="38" t="inlineStr">
        <is>
          <t>Saved thread + offline line; reply offline -&gt; clear message, text kept (6 Oct, NET-015).</t>
        </is>
      </c>
    </row>
    <row r="53">
      <c r="A53" s="28" t="n">
        <v>50</v>
      </c>
      <c r="B53" s="28" t="inlineStr">
        <is>
          <t>App</t>
        </is>
      </c>
      <c r="C53" s="28" t="inlineStr">
        <is>
          <t>Splash</t>
        </is>
      </c>
      <c r="D53" s="28" t="inlineStr">
        <is>
          <t>/splash</t>
        </is>
      </c>
      <c r="E53" s="31" t="inlineStr">
        <is>
          <t>Pass</t>
        </is>
      </c>
      <c r="F53" s="31" t="inlineStr">
        <is>
          <t>N/A</t>
        </is>
      </c>
      <c r="G53" s="31" t="inlineStr">
        <is>
          <t>N/A</t>
        </is>
      </c>
      <c r="H53" s="31" t="inlineStr">
        <is>
          <t>N/A</t>
        </is>
      </c>
      <c r="I53" s="31" t="inlineStr">
        <is>
          <t>Pass</t>
        </is>
      </c>
      <c r="J53" s="31" t="inlineStr">
        <is>
          <t>Pass</t>
        </is>
      </c>
      <c r="K53" s="31" t="inlineStr">
        <is>
          <t>Pass</t>
        </is>
      </c>
      <c r="L53" s="31" t="inlineStr">
        <is>
          <t>Pass</t>
        </is>
      </c>
      <c r="M53" s="38" t="inlineStr">
        <is>
          <t>Returning user goes straight to Home (E2E-007); cold start offline opens the saved Home (6 Oct).</t>
        </is>
      </c>
    </row>
    <row r="54">
      <c r="A54" s="28" t="n">
        <v>51</v>
      </c>
      <c r="B54" s="28" t="inlineStr">
        <is>
          <t>App</t>
        </is>
      </c>
      <c r="C54" s="28" t="inlineStr">
        <is>
          <t>Not found</t>
        </is>
      </c>
      <c r="D54" s="28" t="inlineStr">
        <is>
          <t>/notfound</t>
        </is>
      </c>
      <c r="E54" s="31" t="inlineStr">
        <is>
          <t>Pass</t>
        </is>
      </c>
      <c r="F54" s="31" t="inlineStr">
        <is>
          <t>N/A</t>
        </is>
      </c>
      <c r="G54" s="31" t="inlineStr">
        <is>
          <t>N/A</t>
        </is>
      </c>
      <c r="H54" s="31" t="inlineStr">
        <is>
          <t>N/A</t>
        </is>
      </c>
      <c r="I54" s="31" t="inlineStr">
        <is>
          <t>N/A</t>
        </is>
      </c>
      <c r="J54" s="31" t="inlineStr">
        <is>
          <t>Pass</t>
        </is>
      </c>
      <c r="K54" s="31" t="inlineStr">
        <is>
          <t>Pass</t>
        </is>
      </c>
      <c r="L54" s="31" t="inlineStr">
        <is>
          <t>Pass</t>
        </is>
      </c>
      <c r="M54" s="38" t="inlineStr">
        <is>
          <t>Unknown link -&gt; 'Page not found' with Go to Home (NAV-004).</t>
        </is>
      </c>
    </row>
    <row r="55">
      <c r="C55" s="14" t="inlineStr">
        <is>
          <t>Checked (of screens × 8)</t>
        </is>
      </c>
      <c r="D55" s="14">
        <f>COUNTA(E4:L54)&amp;" of "&amp;ROWS(E4:L54)*COLUMNS(E4:L54)</f>
        <v/>
      </c>
    </row>
    <row r="56">
      <c r="C56" s="14" t="inlineStr">
        <is>
          <t>Failures</t>
        </is>
      </c>
      <c r="D56" s="39">
        <f>COUNTIF(E4:L54,"Fail")</f>
        <v/>
      </c>
    </row>
  </sheetData>
  <conditionalFormatting sqref="E4:L54">
    <cfRule type="cellIs" priority="1" operator="equal" dxfId="3">
      <formula>"Pass"</formula>
    </cfRule>
    <cfRule type="cellIs" priority="2" operator="equal" dxfId="4">
      <formula>"Fail"</formula>
    </cfRule>
    <cfRule type="cellIs" priority="3" operator="equal" dxfId="5">
      <formula>"Blocked"</formula>
    </cfRule>
    <cfRule type="cellIs" priority="4" operator="equal" dxfId="6">
      <formula>"N/A"</formula>
    </cfRule>
  </conditionalFormatting>
  <dataValidations count="1">
    <dataValidation sqref="E4:L54" showDropDown="0" showInputMessage="0" showErrorMessage="0" allowBlank="1" type="list">
      <formula1>"Pass,Fail,N/A"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3"/>
  <sheetViews>
    <sheetView tabSelected="0" workbookViewId="0">
      <pane ySplit="3" topLeftCell="A4" activePane="bottomLeft" state="frozen"/>
      <selection pane="bottomLeft" activeCell="A1" sqref="A1"/>
    </sheetView>
  </sheetViews>
  <sheetFormatPr baseColWidth="8" defaultRowHeight="15"/>
  <cols>
    <col width="10" customWidth="1" min="1" max="1"/>
    <col width="36" customWidth="1" min="2" max="2"/>
    <col width="20" customWidth="1" min="3" max="3"/>
    <col width="24" customWidth="1" min="4" max="4"/>
    <col width="36" customWidth="1" min="5" max="5"/>
    <col width="22" customWidth="1" min="6" max="6"/>
    <col width="12" customWidth="1" min="7" max="7"/>
    <col width="12" customWidth="1" min="8" max="8"/>
    <col width="12" customWidth="1" min="9" max="9"/>
    <col width="12" customWidth="1" min="10" max="10"/>
    <col width="30" customWidth="1" min="11" max="11"/>
  </cols>
  <sheetData>
    <row r="1">
      <c r="A1" s="3" t="inlineStr">
        <is>
          <t>Device matrix — run the E2E journeys on every row; run the full checklist on at least one Android and one iOS row</t>
        </is>
      </c>
    </row>
    <row r="2">
      <c r="A2" s="2" t="inlineStr">
        <is>
          <t>Device classes are a recommendation for an India launch; replace the examples with the handsets you actually have.</t>
        </is>
      </c>
    </row>
    <row r="3" ht="30" customHeight="1">
      <c r="A3" s="15" t="inlineStr">
        <is>
          <t>Platform</t>
        </is>
      </c>
      <c r="B3" s="15" t="inlineStr">
        <is>
          <t>Device class (example)</t>
        </is>
      </c>
      <c r="C3" s="15" t="inlineStr">
        <is>
          <t>OS version</t>
        </is>
      </c>
      <c r="D3" s="15" t="inlineStr">
        <is>
          <t>Screen</t>
        </is>
      </c>
      <c r="E3" s="15" t="inlineStr">
        <is>
          <t>Why it is in the matrix</t>
        </is>
      </c>
      <c r="F3" s="15" t="inlineStr">
        <is>
          <t>Actual device used</t>
        </is>
      </c>
      <c r="G3" s="15" t="inlineStr">
        <is>
          <t>E2E journeys</t>
        </is>
      </c>
      <c r="H3" s="15" t="inlineStr">
        <is>
          <t>Full checklist</t>
        </is>
      </c>
      <c r="I3" s="15" t="inlineStr">
        <is>
          <t>Tester</t>
        </is>
      </c>
      <c r="J3" s="15" t="inlineStr">
        <is>
          <t>Date</t>
        </is>
      </c>
      <c r="K3" s="15" t="inlineStr">
        <is>
          <t>Notes</t>
        </is>
      </c>
    </row>
    <row r="4" ht="30" customHeight="1">
      <c r="A4" s="28" t="inlineStr">
        <is>
          <t>Android</t>
        </is>
      </c>
      <c r="B4" s="28" t="inlineStr">
        <is>
          <t>Small / low-end phone (e.g. Redmi A-series, Galaxy A0x)</t>
        </is>
      </c>
      <c r="C4" s="28" t="inlineStr">
        <is>
          <t>Lowest supported Android</t>
        </is>
      </c>
      <c r="D4" s="28" t="inlineStr">
        <is>
          <t>~360 x 640 dp, 2–3 GB RAM</t>
        </is>
      </c>
      <c r="E4" s="28" t="inlineStr">
        <is>
          <t>Minimum OS, small layout, low memory</t>
        </is>
      </c>
      <c r="F4" s="32" t="n"/>
      <c r="G4" s="32" t="n"/>
      <c r="H4" s="32" t="n"/>
      <c r="I4" s="32" t="n"/>
      <c r="J4" s="33" t="n"/>
      <c r="K4" s="32" t="n"/>
    </row>
    <row r="5" ht="30" customHeight="1">
      <c r="A5" s="28" t="inlineStr">
        <is>
          <t>Android</t>
        </is>
      </c>
      <c r="B5" s="28" t="inlineStr">
        <is>
          <t>Mid-range phone (e.g. Redmi Note, Galaxy A/M series)</t>
        </is>
      </c>
      <c r="C5" s="28" t="inlineStr">
        <is>
          <t>Android 12–13</t>
        </is>
      </c>
      <c r="D5" s="28" t="inlineStr">
        <is>
          <t>~393 x 873 dp</t>
        </is>
      </c>
      <c r="E5" s="28" t="inlineStr">
        <is>
          <t>Most common device class in India</t>
        </is>
      </c>
      <c r="F5" s="32" t="n"/>
      <c r="G5" s="32" t="n"/>
      <c r="H5" s="32" t="n"/>
      <c r="I5" s="32" t="n"/>
      <c r="J5" s="33" t="n"/>
      <c r="K5" s="32" t="n"/>
    </row>
    <row r="6" ht="17" customHeight="1">
      <c r="A6" s="28" t="inlineStr">
        <is>
          <t>Android</t>
        </is>
      </c>
      <c r="B6" s="28" t="inlineStr">
        <is>
          <t>Samsung flagship (One UI)</t>
        </is>
      </c>
      <c r="C6" s="28" t="inlineStr">
        <is>
          <t>Android 14–15</t>
        </is>
      </c>
      <c r="D6" s="28" t="inlineStr">
        <is>
          <t>~412 x 915 dp</t>
        </is>
      </c>
      <c r="E6" s="28" t="inlineStr">
        <is>
          <t>One UI behaviour, edge-to-edge</t>
        </is>
      </c>
      <c r="F6" s="32" t="n"/>
      <c r="G6" s="32" t="n"/>
      <c r="H6" s="32" t="n"/>
      <c r="I6" s="32" t="n"/>
      <c r="J6" s="33" t="n"/>
      <c r="K6" s="32" t="n"/>
    </row>
    <row r="7" ht="30" customHeight="1">
      <c r="A7" s="28" t="inlineStr">
        <is>
          <t>Android</t>
        </is>
      </c>
      <c r="B7" s="28" t="inlineStr">
        <is>
          <t>Pixel</t>
        </is>
      </c>
      <c r="C7" s="28" t="inlineStr">
        <is>
          <t>Latest Android</t>
        </is>
      </c>
      <c r="D7" s="28" t="inlineStr">
        <is>
          <t>~412 x 915 dp</t>
        </is>
      </c>
      <c r="E7" s="28" t="inlineStr">
        <is>
          <t>Reference Android, predictive back, 16 KB pages</t>
        </is>
      </c>
      <c r="F7" s="32" t="n"/>
      <c r="G7" s="32" t="n"/>
      <c r="H7" s="32" t="n"/>
      <c r="I7" s="32" t="n"/>
      <c r="J7" s="33" t="n"/>
      <c r="K7" s="32" t="n"/>
    </row>
    <row r="8" ht="30" customHeight="1">
      <c r="A8" s="28" t="inlineStr">
        <is>
          <t>Android</t>
        </is>
      </c>
      <c r="B8" s="28" t="inlineStr">
        <is>
          <t>Oppo / Vivo / Realme</t>
        </is>
      </c>
      <c r="C8" s="28" t="inlineStr">
        <is>
          <t>Android 13–14</t>
        </is>
      </c>
      <c r="D8" s="28" t="inlineStr">
        <is>
          <t>~360–412 dp wide</t>
        </is>
      </c>
      <c r="E8" s="28" t="inlineStr">
        <is>
          <t>Aggressive battery managers, push delivery</t>
        </is>
      </c>
      <c r="F8" s="32" t="n"/>
      <c r="G8" s="32" t="n"/>
      <c r="H8" s="32" t="n"/>
      <c r="I8" s="32" t="n"/>
      <c r="J8" s="33" t="n"/>
      <c r="K8" s="32" t="n"/>
    </row>
    <row r="9" ht="17" customHeight="1">
      <c r="A9" s="28" t="inlineStr">
        <is>
          <t>Android</t>
        </is>
      </c>
      <c r="B9" s="28" t="inlineStr">
        <is>
          <t>Tablet (only if distributed to tablets)</t>
        </is>
      </c>
      <c r="C9" s="28" t="inlineStr">
        <is>
          <t>Android 13+</t>
        </is>
      </c>
      <c r="D9" s="28" t="inlineStr">
        <is>
          <t>~800 x 1280 dp</t>
        </is>
      </c>
      <c r="E9" s="28" t="inlineStr">
        <is>
          <t>Large layout</t>
        </is>
      </c>
      <c r="F9" s="32" t="n"/>
      <c r="G9" s="32" t="n"/>
      <c r="H9" s="32" t="n"/>
      <c r="I9" s="32" t="n"/>
      <c r="J9" s="33" t="n"/>
      <c r="K9" s="32" t="n"/>
    </row>
    <row r="10" ht="17" customHeight="1">
      <c r="A10" s="28" t="inlineStr">
        <is>
          <t>iOS</t>
        </is>
      </c>
      <c r="B10" s="28" t="inlineStr">
        <is>
          <t>iPhone SE (2nd/3rd gen)</t>
        </is>
      </c>
      <c r="C10" s="28" t="inlineStr">
        <is>
          <t>Lowest supported iOS</t>
        </is>
      </c>
      <c r="D10" s="28" t="inlineStr">
        <is>
          <t>375 x 667 pt</t>
        </is>
      </c>
      <c r="E10" s="28" t="inlineStr">
        <is>
          <t>Smallest iOS layout, home button</t>
        </is>
      </c>
      <c r="F10" s="32" t="n"/>
      <c r="G10" s="32" t="n"/>
      <c r="H10" s="32" t="n"/>
      <c r="I10" s="32" t="n"/>
      <c r="J10" s="33" t="n"/>
      <c r="K10" s="32" t="n"/>
    </row>
    <row r="11" ht="17" customHeight="1">
      <c r="A11" s="28" t="inlineStr">
        <is>
          <t>iOS</t>
        </is>
      </c>
      <c r="B11" s="28" t="inlineStr">
        <is>
          <t>iPhone 13 / 14</t>
        </is>
      </c>
      <c r="C11" s="28" t="inlineStr">
        <is>
          <t>iOS 17–18</t>
        </is>
      </c>
      <c r="D11" s="28" t="inlineStr">
        <is>
          <t>390 x 844 pt</t>
        </is>
      </c>
      <c r="E11" s="28" t="inlineStr">
        <is>
          <t>Matches the design base size</t>
        </is>
      </c>
      <c r="F11" s="32" t="n"/>
      <c r="G11" s="32" t="n"/>
      <c r="H11" s="32" t="n"/>
      <c r="I11" s="32" t="n"/>
      <c r="J11" s="33" t="n"/>
      <c r="K11" s="32" t="n"/>
    </row>
    <row r="12" ht="17" customHeight="1">
      <c r="A12" s="28" t="inlineStr">
        <is>
          <t>iOS</t>
        </is>
      </c>
      <c r="B12" s="28" t="inlineStr">
        <is>
          <t>iPhone 15/16 Pro Max</t>
        </is>
      </c>
      <c r="C12" s="28" t="inlineStr">
        <is>
          <t>Latest iOS</t>
        </is>
      </c>
      <c r="D12" s="28" t="inlineStr">
        <is>
          <t>430 x 932 pt</t>
        </is>
      </c>
      <c r="E12" s="28" t="inlineStr">
        <is>
          <t>Largest phone, Dynamic Island</t>
        </is>
      </c>
      <c r="F12" s="32" t="n"/>
      <c r="G12" s="32" t="n"/>
      <c r="H12" s="32" t="n"/>
      <c r="I12" s="32" t="n"/>
      <c r="J12" s="33" t="n"/>
      <c r="K12" s="32" t="n"/>
    </row>
    <row r="13" ht="17" customHeight="1">
      <c r="A13" s="28" t="inlineStr">
        <is>
          <t>iOS</t>
        </is>
      </c>
      <c r="B13" s="28" t="inlineStr">
        <is>
          <t>iPad (only if distributed to iPad)</t>
        </is>
      </c>
      <c r="C13" s="28" t="inlineStr">
        <is>
          <t>Latest iPadOS</t>
        </is>
      </c>
      <c r="D13" s="28" t="inlineStr">
        <is>
          <t>820 x 1180 pt</t>
        </is>
      </c>
      <c r="E13" s="28" t="inlineStr">
        <is>
          <t>Large layout / compatibility mode</t>
        </is>
      </c>
      <c r="F13" s="32" t="n"/>
      <c r="G13" s="32" t="n"/>
      <c r="H13" s="32" t="n"/>
      <c r="I13" s="32" t="n"/>
      <c r="J13" s="33" t="n"/>
      <c r="K13" s="32" t="n"/>
    </row>
  </sheetData>
  <conditionalFormatting sqref="G4:H33">
    <cfRule type="cellIs" priority="1" operator="equal" dxfId="3">
      <formula>"Pass"</formula>
    </cfRule>
    <cfRule type="cellIs" priority="2" operator="equal" dxfId="4">
      <formula>"Fail"</formula>
    </cfRule>
    <cfRule type="cellIs" priority="3" operator="equal" dxfId="5">
      <formula>"Blocked"</formula>
    </cfRule>
    <cfRule type="cellIs" priority="4" operator="equal" dxfId="6">
      <formula>"N/A"</formula>
    </cfRule>
  </conditionalFormatting>
  <dataValidations count="1">
    <dataValidation sqref="G4:H33" showDropDown="0" showInputMessage="0" showErrorMessage="0" allowBlank="1" type="list">
      <formula1>"Not Run,Pass,Fail,Blocked,N/A"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199"/>
  <sheetViews>
    <sheetView tabSelected="0"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2" customWidth="1" min="2" max="2"/>
    <col width="34" customWidth="1" min="3" max="3"/>
    <col width="11" customWidth="1" min="4" max="4"/>
    <col width="22" customWidth="1" min="5" max="5"/>
    <col width="44" customWidth="1" min="6" max="6"/>
    <col width="34" customWidth="1" min="7" max="7"/>
    <col width="34" customWidth="1" min="8" max="8"/>
    <col width="10" customWidth="1" min="9" max="9"/>
    <col width="18" customWidth="1" min="10" max="10"/>
    <col width="14" customWidth="1" min="11" max="11"/>
    <col width="13" customWidth="1" min="12" max="12"/>
    <col width="13" customWidth="1" min="13" max="13"/>
    <col width="14" customWidth="1" min="14" max="14"/>
    <col width="12" customWidth="1" min="15" max="15"/>
    <col width="10" customWidth="1" min="16" max="16"/>
  </cols>
  <sheetData>
    <row r="1" ht="30" customHeight="1">
      <c r="A1" s="15" t="inlineStr">
        <is>
          <t>Defect ID</t>
        </is>
      </c>
      <c r="B1" s="15" t="inlineStr">
        <is>
          <t>Test case ID</t>
        </is>
      </c>
      <c r="C1" s="15" t="inlineStr">
        <is>
          <t>Title</t>
        </is>
      </c>
      <c r="D1" s="15" t="inlineStr">
        <is>
          <t>Severity</t>
        </is>
      </c>
      <c r="E1" s="15" t="inlineStr">
        <is>
          <t>Module</t>
        </is>
      </c>
      <c r="F1" s="15" t="inlineStr">
        <is>
          <t>Steps to reproduce</t>
        </is>
      </c>
      <c r="G1" s="15" t="inlineStr">
        <is>
          <t>Expected</t>
        </is>
      </c>
      <c r="H1" s="15" t="inlineStr">
        <is>
          <t>Actual</t>
        </is>
      </c>
      <c r="I1" s="15" t="inlineStr">
        <is>
          <t>Build</t>
        </is>
      </c>
      <c r="J1" s="15" t="inlineStr">
        <is>
          <t>Device / OS</t>
        </is>
      </c>
      <c r="K1" s="15" t="inlineStr">
        <is>
          <t>Reported by</t>
        </is>
      </c>
      <c r="L1" s="15" t="inlineStr">
        <is>
          <t>Date found</t>
        </is>
      </c>
      <c r="M1" s="15" t="inlineStr">
        <is>
          <t>Status</t>
        </is>
      </c>
      <c r="N1" s="15" t="inlineStr">
        <is>
          <t>Assigned to</t>
        </is>
      </c>
      <c r="O1" s="15" t="inlineStr">
        <is>
          <t>Fixed in build</t>
        </is>
      </c>
      <c r="P1" s="15" t="inlineStr">
        <is>
          <t>Retest</t>
        </is>
      </c>
    </row>
    <row r="2" ht="90" customHeight="1">
      <c r="A2" s="28" t="inlineStr">
        <is>
          <t>DEF-001</t>
        </is>
      </c>
      <c r="B2" s="28" t="inlineStr">
        <is>
          <t>BL-AUTH-008</t>
        </is>
      </c>
      <c r="C2" s="28" t="inlineStr">
        <is>
          <t>Non-Indian country codes</t>
        </is>
      </c>
      <c r="D2" s="28" t="inlineStr">
        <is>
          <t>Medium</t>
        </is>
      </c>
      <c r="E2" s="28" t="inlineStr">
        <is>
          <t>Authentication &amp; session</t>
        </is>
      </c>
      <c r="F2" s="28" t="inlineStr">
        <is>
          <t>1. Pick +971 in the country picker
2. Enter a valid 9-digit UAE number</t>
        </is>
      </c>
      <c r="G2" s="28" t="inlineStr">
        <is>
          <t>Decide what is correct: the picker offers other countries, but validation is always the Indian rule, so the number is rejected.</t>
        </is>
      </c>
      <c r="H2" s="28" t="inlineStr">
        <is>
          <t>Country picker offers +971 (and 8 other non-Indian codes); with +971 selected a valid 9-digit UAE mobile (501234567) is rejected with 'Mobile number must be 10 digits'. The non-Indian options can never be used.</t>
        </is>
      </c>
      <c r="I2" s="28" t="inlineStr">
        <is>
          <t>1.0.0+1 debug</t>
        </is>
      </c>
      <c r="J2" s="28" t="inlineStr">
        <is>
          <t>emulator-5554 / Android 14</t>
        </is>
      </c>
      <c r="K2" s="28" t="inlineStr">
        <is>
          <t>Claude (adb)</t>
        </is>
      </c>
      <c r="L2" s="42" t="n">
        <v>46299</v>
      </c>
      <c r="M2" s="28" t="inlineStr">
        <is>
          <t>Verified</t>
        </is>
      </c>
      <c r="N2" s="28" t="n"/>
      <c r="O2" s="28" t="inlineStr">
        <is>
          <t>1.0.0+1 debug (rebuilt 5 Oct 2026)</t>
        </is>
      </c>
      <c r="P2" s="28" t="inlineStr">
        <is>
          <t>Pass</t>
        </is>
      </c>
    </row>
    <row r="3" ht="90" customHeight="1">
      <c r="A3" s="43" t="inlineStr">
        <is>
          <t>DEF-002</t>
        </is>
      </c>
      <c r="B3" s="43" t="inlineStr">
        <is>
          <t>BL-AUTH-020</t>
        </is>
      </c>
      <c r="C3" s="43" t="inlineStr">
        <is>
          <t>Resend cooldown and code-expiry countdown</t>
        </is>
      </c>
      <c r="D3" s="43" t="inlineStr">
        <is>
          <t>High</t>
        </is>
      </c>
      <c r="E3" s="43" t="inlineStr">
        <is>
          <t>Authentication &amp; session</t>
        </is>
      </c>
      <c r="F3" s="43" t="inlineStr">
        <is>
          <t>Arrive on the verify screen and tap 'Resend Code' immediately, several times</t>
        </is>
      </c>
      <c r="G3" s="43" t="inlineStr">
        <is>
          <t>A 30 s cooldown / countdown is expected. The code leaves the button always tappable and relies on the server's 'too many attempts' answer.</t>
        </is>
      </c>
      <c r="H3" s="43" t="inlineStr">
        <is>
          <t>No resend cooldown or countdown on the verify screen: 'Resend code' is tappable immediately on arrival; tapping it at once gave the server banner 'Too many attempts. Please wait a moment and try again.' No expiry countdown for the 180 s code either.</t>
        </is>
      </c>
      <c r="I3" s="43" t="inlineStr">
        <is>
          <t>1.0.0+1 debug</t>
        </is>
      </c>
      <c r="J3" s="43" t="inlineStr">
        <is>
          <t>emulator-5554 / Android 14</t>
        </is>
      </c>
      <c r="K3" s="43" t="inlineStr">
        <is>
          <t>Claude (adb)</t>
        </is>
      </c>
      <c r="L3" s="44" t="n">
        <v>46299</v>
      </c>
      <c r="M3" s="43" t="inlineStr">
        <is>
          <t>Verified</t>
        </is>
      </c>
      <c r="N3" s="43" t="n"/>
      <c r="O3" s="43" t="inlineStr">
        <is>
          <t>1.0.0+1 debug (rebuilt 5 Oct 2026)</t>
        </is>
      </c>
      <c r="P3" s="43" t="inlineStr">
        <is>
          <t>Pass</t>
        </is>
      </c>
    </row>
    <row r="4" ht="90" customHeight="1">
      <c r="A4" s="28" t="inlineStr">
        <is>
          <t>DEF-003</t>
        </is>
      </c>
      <c r="B4" s="28" t="inlineStr">
        <is>
          <t>BL-AUTH-032</t>
        </is>
      </c>
      <c r="C4" s="28" t="inlineStr">
        <is>
          <t>Warning text states the real pause length</t>
        </is>
      </c>
      <c r="D4" s="28" t="inlineStr">
        <is>
          <t>High</t>
        </is>
      </c>
      <c r="E4" s="28" t="inlineStr">
        <is>
          <t>Authentication &amp; session</t>
        </is>
      </c>
      <c r="F4" s="28" t="inlineStr">
        <is>
          <t>1. Read the warning before lockout
2. Get locked out and read the countdown</t>
        </is>
      </c>
      <c r="G4" s="28" t="inlineStr">
        <is>
          <t>They should agree. The warning says 'paused for 60 seconds' while the server locks for about an hour.</t>
        </is>
      </c>
      <c r="H4" s="28" t="inlineStr">
        <is>
          <t>The warnings say sign-in will be 'paused for 60 seconds', but after the fifth failure the lockout countdown starts at 59:57 — about one hour. The warning understates the pause sixty-fold.</t>
        </is>
      </c>
      <c r="I4" s="28" t="inlineStr">
        <is>
          <t>1.0.0+1 debug</t>
        </is>
      </c>
      <c r="J4" s="28" t="inlineStr">
        <is>
          <t>emulator-5554 / Android 14</t>
        </is>
      </c>
      <c r="K4" s="28" t="inlineStr">
        <is>
          <t>Claude (adb)</t>
        </is>
      </c>
      <c r="L4" s="40" t="n">
        <v>46299</v>
      </c>
      <c r="M4" s="28" t="inlineStr">
        <is>
          <t>Verified</t>
        </is>
      </c>
      <c r="N4" s="28" t="n"/>
      <c r="O4" s="28" t="inlineStr">
        <is>
          <t>1.0.0+1 debug (rebuilt 5 Oct 2026)</t>
        </is>
      </c>
      <c r="P4" s="28" t="inlineStr">
        <is>
          <t>Pass</t>
        </is>
      </c>
    </row>
    <row r="5" ht="90" customHeight="1">
      <c r="A5" s="28" t="inlineStr">
        <is>
          <t>DEF-004</t>
        </is>
      </c>
      <c r="B5" s="28" t="inlineStr">
        <is>
          <t>BL-AUTH-035</t>
        </is>
      </c>
      <c r="C5" s="28" t="inlineStr">
        <is>
          <t>Lockout scope on a shared device</t>
        </is>
      </c>
      <c r="D5" s="28" t="inlineStr">
        <is>
          <t>High</t>
        </is>
      </c>
      <c r="E5" s="28" t="inlineStr">
        <is>
          <t>Authentication &amp; session</t>
        </is>
      </c>
      <c r="F5" s="28" t="inlineStr">
        <is>
          <t>1. Lock account A
2. On the same device try to sign in as B, sign up, and use Forgot password</t>
        </is>
      </c>
      <c r="G5" s="28" t="inlineStr">
        <is>
          <t>Decide what is correct: the code blocks all of these locally while A's lock runs, although the warning itself suggests using 'Forgot password?'.</t>
        </is>
      </c>
      <c r="H5" s="28" t="inlineStr">
        <is>
          <t>With the device locked out by one account's failed attempts, 'Forgot password?' for a DIFFERENT account's number is refused locally: 'Too many failed attempts. Try again in 60 minutes.' The lock is device-wide — nobody else can sign in, sign up or reset a password on this device for an hour, and it blocks the very 'Forgot password?' route the last-attempt warning recommends.</t>
        </is>
      </c>
      <c r="I5" s="28" t="inlineStr">
        <is>
          <t>1.0.0+1 debug</t>
        </is>
      </c>
      <c r="J5" s="28" t="inlineStr">
        <is>
          <t>emulator-5554 / Android 14</t>
        </is>
      </c>
      <c r="K5" s="28" t="inlineStr">
        <is>
          <t>Claude (adb)</t>
        </is>
      </c>
      <c r="L5" s="40" t="n">
        <v>46299</v>
      </c>
      <c r="M5" s="28" t="inlineStr">
        <is>
          <t>Verified</t>
        </is>
      </c>
      <c r="N5" s="28" t="n"/>
      <c r="O5" s="28" t="inlineStr">
        <is>
          <t>1.0.0+1 debug (rebuilt 5 Oct 2026)</t>
        </is>
      </c>
      <c r="P5" s="28" t="inlineStr">
        <is>
          <t>Pass</t>
        </is>
      </c>
    </row>
    <row r="6" ht="90" customHeight="1">
      <c r="A6" s="28" t="inlineStr">
        <is>
          <t>DEF-005</t>
        </is>
      </c>
      <c r="B6" s="28" t="inlineStr">
        <is>
          <t>BL-AUTH-036</t>
        </is>
      </c>
      <c r="C6" s="28" t="inlineStr">
        <is>
          <t>Wrong OTP must not show a password-attempt warning</t>
        </is>
      </c>
      <c r="D6" s="28" t="inlineStr">
        <is>
          <t>Medium</t>
        </is>
      </c>
      <c r="E6" s="28" t="inlineStr">
        <is>
          <t>Authentication &amp; session</t>
        </is>
      </c>
      <c r="F6" s="28" t="inlineStr">
        <is>
          <t>1. On mobile sign-in enter one wrong code
2. Go back to the sign-in screen</t>
        </is>
      </c>
      <c r="G6" s="28" t="inlineStr">
        <is>
          <t>No password warning. The code shows '2 attempts left before sign-in is paused…' although no password was tried.</t>
        </is>
      </c>
      <c r="H6" s="28" t="inlineStr">
        <is>
          <t>After one wrong OTP on mobile sign-in, going back to the sign-in screen shows the password warning 'Sign-in attempts — 2 attempts left before sign-in is paused for 60 seconds.' although no password was tried (OTP attempts are written into the password-attempt counter).</t>
        </is>
      </c>
      <c r="I6" s="28" t="inlineStr">
        <is>
          <t>1.0.0+1 debug</t>
        </is>
      </c>
      <c r="J6" s="28" t="inlineStr">
        <is>
          <t>emulator-5554 / Android 14</t>
        </is>
      </c>
      <c r="K6" s="28" t="inlineStr">
        <is>
          <t>Claude (adb)</t>
        </is>
      </c>
      <c r="L6" s="40" t="n">
        <v>46299</v>
      </c>
      <c r="M6" s="28" t="inlineStr">
        <is>
          <t>Verified</t>
        </is>
      </c>
      <c r="N6" s="28" t="n"/>
      <c r="O6" s="28" t="inlineStr">
        <is>
          <t>1.0.0+1 debug (rebuilt 5 Oct 2026)</t>
        </is>
      </c>
      <c r="P6" s="28" t="inlineStr">
        <is>
          <t>Pass</t>
        </is>
      </c>
    </row>
    <row r="7" ht="90" customHeight="1">
      <c r="A7" s="28" t="inlineStr">
        <is>
          <t>DEF-006</t>
        </is>
      </c>
      <c r="B7" s="28" t="inlineStr">
        <is>
          <t>BL-AUTH-043</t>
        </is>
      </c>
      <c r="C7" s="28" t="inlineStr">
        <is>
          <t>New password rules</t>
        </is>
      </c>
      <c r="D7" s="28" t="inlineStr">
        <is>
          <t>High</t>
        </is>
      </c>
      <c r="E7" s="28" t="inlineStr">
        <is>
          <t>Authentication &amp; session</t>
        </is>
      </c>
      <c r="F7" s="28" t="inlineStr">
        <is>
          <t>1. Submit with current empty
2. 9-character new
3. New equal to current
4. Mismatched confirmation</t>
        </is>
      </c>
      <c r="G7" s="28" t="inlineStr">
        <is>
          <t>'Enter your password' / 'At least 10 characters' / 'Choose a password you have not used before' / 'Passwords do not match'.</t>
        </is>
      </c>
      <c r="H7" s="28" t="inlineStr">
        <is>
          <t>The rules themselves work: empty current 'Enter your password'; 9-character new 'At least 10 characters'; new = current 'Choose a password you have not used before'; mismatch 'Passwords do not match'. But the New Password placeholder and helper both read 'At least 6 characters' (KB-09), contradicting the enforced 10 — a user following the hint is always rejected.</t>
        </is>
      </c>
      <c r="I7" s="28" t="inlineStr">
        <is>
          <t>1.0.0+1 debug</t>
        </is>
      </c>
      <c r="J7" s="28" t="inlineStr">
        <is>
          <t>emulator-5554 / Android 14</t>
        </is>
      </c>
      <c r="K7" s="28" t="inlineStr">
        <is>
          <t>Claude (adb)</t>
        </is>
      </c>
      <c r="L7" s="40" t="n">
        <v>46299</v>
      </c>
      <c r="M7" s="28" t="inlineStr">
        <is>
          <t>Verified</t>
        </is>
      </c>
      <c r="N7" s="28" t="n"/>
      <c r="O7" s="28" t="inlineStr">
        <is>
          <t>1.0.0+1 debug (rebuilt 5 Oct 2026)</t>
        </is>
      </c>
      <c r="P7" s="28" t="inlineStr">
        <is>
          <t>Pass</t>
        </is>
      </c>
    </row>
    <row r="8" ht="90" customHeight="1">
      <c r="A8" s="28" t="inlineStr">
        <is>
          <t>DEF-007</t>
        </is>
      </c>
      <c r="B8" s="28" t="inlineStr">
        <is>
          <t>BL-AUTH-050</t>
        </is>
      </c>
      <c r="C8" s="28" t="inlineStr">
        <is>
          <t>User is told why they were signed out</t>
        </is>
      </c>
      <c r="D8" s="28" t="inlineStr">
        <is>
          <t>High</t>
        </is>
      </c>
      <c r="E8" s="28" t="inlineStr">
        <is>
          <t>Authentication &amp; session</t>
        </is>
      </c>
      <c r="F8" s="28" t="inlineStr">
        <is>
          <t>1. Have the session revoked
2. Look at the sign-in screen</t>
        </is>
      </c>
      <c r="G8" s="28" t="inlineStr">
        <is>
          <t>A reason should be visible ('Your session has expired. Please sign in again.'). The code stores the reason but the sign-in screen does not display it.</t>
        </is>
      </c>
      <c r="H8" s="28" t="inlineStr">
        <is>
          <t>After the session was revoked remotely the user lands on the plain sign-in screen ('Hi, Welcome Back!') with no message at all — nothing says the session ended or why.</t>
        </is>
      </c>
      <c r="I8" s="28" t="inlineStr">
        <is>
          <t>1.0.0+1 debug</t>
        </is>
      </c>
      <c r="J8" s="28" t="inlineStr">
        <is>
          <t>emulator-5554 / Android 14</t>
        </is>
      </c>
      <c r="K8" s="28" t="inlineStr">
        <is>
          <t>Claude (adb)</t>
        </is>
      </c>
      <c r="L8" s="40" t="n">
        <v>46299</v>
      </c>
      <c r="M8" s="28" t="inlineStr">
        <is>
          <t>Verified</t>
        </is>
      </c>
      <c r="N8" s="28" t="n"/>
      <c r="O8" s="28" t="inlineStr">
        <is>
          <t>1.0.0+1 debug (rebuilt 5 Oct 2026)</t>
        </is>
      </c>
      <c r="P8" s="28" t="inlineStr">
        <is>
          <t>Pass</t>
        </is>
      </c>
    </row>
    <row r="9" ht="90" customHeight="1">
      <c r="A9" s="28" t="inlineStr">
        <is>
          <t>DEF-008</t>
        </is>
      </c>
      <c r="B9" s="28" t="inlineStr">
        <is>
          <t>BL-BOOK-026</t>
        </is>
      </c>
      <c r="C9" s="28" t="inlineStr">
        <is>
          <t>Booking from Doctor Details carries the slot</t>
        </is>
      </c>
      <c r="D9" s="28" t="inlineStr">
        <is>
          <t>High</t>
        </is>
      </c>
      <c r="E9" s="28" t="inlineStr">
        <is>
          <t>Booking</t>
        </is>
      </c>
      <c r="F9" s="28" t="inlineStr">
        <is>
          <t>1. Open a doctor from Search
2. Pick a time
3. Tap 'Book &lt;time&gt;'
4. Repeat after another user takes that slot</t>
        </is>
      </c>
      <c r="G9" s="28" t="inlineStr">
        <is>
          <t>Step 3 shows the chosen time; if it was taken, step 3 asks to pick a time again.</t>
        </is>
      </c>
      <c r="H9" s="28" t="inlineStr">
        <is>
          <t>From a clean start: Search -&gt; Dr. Meera Varghese -&gt; picked 9:40 AM -&gt; footer 'Book 9:40 AM tomorrow' -&gt; tapped. The booking opens on step 3 with 'Pick a doctor and a time first.' / 'Choose a doctor' — the chosen time (and the doctor) is not carried over, and step 2 shows the hospital as 'This hospital' with no doctor selected. Reproduced twice (the slot was still free). Doctor Details footer states work: 'Pick a time to continue' disabled until a time is tapped.</t>
        </is>
      </c>
      <c r="I9" s="28" t="inlineStr">
        <is>
          <t>1.0.0+1 debug</t>
        </is>
      </c>
      <c r="J9" s="28" t="inlineStr">
        <is>
          <t>emulator-5554 / Android 14</t>
        </is>
      </c>
      <c r="K9" s="28" t="inlineStr">
        <is>
          <t>Claude (adb)</t>
        </is>
      </c>
      <c r="L9" s="40" t="n">
        <v>46299</v>
      </c>
      <c r="M9" s="28" t="inlineStr">
        <is>
          <t>Verified</t>
        </is>
      </c>
      <c r="N9" s="28" t="n"/>
      <c r="O9" s="28" t="inlineStr">
        <is>
          <t>1.0.0+1 debug (rebuilt 5 Oct 2026)</t>
        </is>
      </c>
      <c r="P9" s="28" t="inlineStr">
        <is>
          <t>Pass</t>
        </is>
      </c>
    </row>
    <row r="10" ht="90" customHeight="1">
      <c r="A10" s="28" t="inlineStr">
        <is>
          <t>DEF-009</t>
        </is>
      </c>
      <c r="B10" s="28" t="inlineStr">
        <is>
          <t>BL-BOOK-034</t>
        </is>
      </c>
      <c r="C10" s="28" t="inlineStr">
        <is>
          <t>Pay stays disabled without a quote</t>
        </is>
      </c>
      <c r="D10" s="28" t="inlineStr">
        <is>
          <t>High</t>
        </is>
      </c>
      <c r="E10" s="28" t="inlineStr">
        <is>
          <t>Booking</t>
        </is>
      </c>
      <c r="F10" s="28" t="inlineStr">
        <is>
          <t>Cut the network on step 4</t>
        </is>
      </c>
      <c r="G10" s="28" t="inlineStr">
        <is>
          <t>Inline error with Retry; 'Pay ₹…' disabled.</t>
        </is>
      </c>
      <c r="H10" s="28" t="inlineStr">
        <is>
          <t>On booking step 3 with a doctor, time and patient chosen, the device was put in airplane mode and Continue tapped: instead of an inline error with Retry, the ENTIRE app is replaced by a red Flutter error screen reading 'NetworkFailure(network): The connection errored … DioException [connection error] … SocketException: Connection failed (OS Error: Network is unreachable, errno = 101), address = 62.171.151.149, port = 8443 — See also: https://docs.flutter.dev/testing/errors'. Reproduced twice. System Back then exits the app. (In a release build this would be a blank grey screen.) Screenshot: docs/emulator-run-redscreen-booking-offline.png.</t>
        </is>
      </c>
      <c r="I10" s="28" t="inlineStr">
        <is>
          <t>1.0.0+1 debug</t>
        </is>
      </c>
      <c r="J10" s="28" t="inlineStr">
        <is>
          <t>emulator-5554 / Android 14</t>
        </is>
      </c>
      <c r="K10" s="28" t="inlineStr">
        <is>
          <t>Claude (adb)</t>
        </is>
      </c>
      <c r="L10" s="40" t="n">
        <v>46299</v>
      </c>
      <c r="M10" s="28" t="inlineStr">
        <is>
          <t>Verified</t>
        </is>
      </c>
      <c r="N10" s="28" t="n"/>
      <c r="O10" s="28" t="inlineStr">
        <is>
          <t>1.0.0+1 debug (rebuilt 5 Oct 2026)</t>
        </is>
      </c>
      <c r="P10" s="28" t="inlineStr">
        <is>
          <t>Pass</t>
        </is>
      </c>
    </row>
    <row r="11" ht="90" customHeight="1">
      <c r="A11" s="28" t="inlineStr">
        <is>
          <t>DEF-010</t>
        </is>
      </c>
      <c r="B11" s="28" t="inlineStr">
        <is>
          <t>BL-BOOK-045</t>
        </is>
      </c>
      <c r="C11" s="28" t="inlineStr">
        <is>
          <t>Changing the draft after a booking exists</t>
        </is>
      </c>
      <c r="D11" s="28" t="inlineStr">
        <is>
          <t>Critical</t>
        </is>
      </c>
      <c r="E11" s="28" t="inlineStr">
        <is>
          <t>Booking</t>
        </is>
      </c>
      <c r="F11" s="28" t="inlineStr">
        <is>
          <t>1. Tap Pay
2. Back out
3. Change the slot, patient or coupon on earlier steps
4. Tap 'Complete payment'</t>
        </is>
      </c>
      <c r="G11" s="28" t="inlineStr">
        <is>
          <t>The user must not be misled. The code resumes the ORIGINAL booking while the summary shows the new choices.</t>
        </is>
      </c>
      <c r="H11" s="28" t="inlineStr">
        <is>
          <t>With booking LKSB-2610-00187 already created for Sanjay Varma, went back to step 3, chose Tara Varma, returned to step 4 (summary shows Tara) and tapped 'Complete payment': the original booking for Sanjay is resumed, and the payment screen's Order summary now shows 'Patient: Tara Varma' for it. The user is shown a different patient from the one actually booked.</t>
        </is>
      </c>
      <c r="I11" s="28" t="inlineStr">
        <is>
          <t>1.0.0+1 debug</t>
        </is>
      </c>
      <c r="J11" s="28" t="inlineStr">
        <is>
          <t>emulator-5554 / Android 14</t>
        </is>
      </c>
      <c r="K11" s="28" t="inlineStr">
        <is>
          <t>Claude (adb)</t>
        </is>
      </c>
      <c r="L11" s="40" t="n">
        <v>46299</v>
      </c>
      <c r="M11" s="28" t="inlineStr">
        <is>
          <t>Verified</t>
        </is>
      </c>
      <c r="N11" s="28" t="n"/>
      <c r="O11" s="28" t="inlineStr">
        <is>
          <t>1.0.0+1 debug (rebuilt 5 Oct 2026)</t>
        </is>
      </c>
      <c r="P11" s="28" t="inlineStr">
        <is>
          <t>Pass</t>
        </is>
      </c>
    </row>
    <row r="12" ht="90" customHeight="1">
      <c r="A12" s="28" t="inlineStr">
        <is>
          <t>DEF-011</t>
        </is>
      </c>
      <c r="B12" s="28" t="inlineStr">
        <is>
          <t>BL-PAY-003</t>
        </is>
      </c>
      <c r="C12" s="28" t="inlineStr">
        <is>
          <t>Expired screen names the booking</t>
        </is>
      </c>
      <c r="D12" s="28" t="inlineStr">
        <is>
          <t>Low</t>
        </is>
      </c>
      <c r="E12" s="28" t="inlineStr">
        <is>
          <t>Payment</t>
        </is>
      </c>
      <c r="F12" s="28" t="inlineStr">
        <is>
          <t>Let the timer expire and read the result body</t>
        </is>
      </c>
      <c r="G12" s="28" t="inlineStr">
        <is>
          <t>It should describe the lapsed booking. The code shows 'There is no booking attached to this outcome in this session.'</t>
        </is>
      </c>
      <c r="H12" s="28" t="inlineStr">
        <is>
          <t>The expired result body reads 'There is no booking attached to this outcome in this session.' although the session had just held booking LKSB-2610-00187; the lapsed booking is not named.</t>
        </is>
      </c>
      <c r="I12" s="28" t="inlineStr">
        <is>
          <t>1.0.0+1 debug</t>
        </is>
      </c>
      <c r="J12" s="28" t="inlineStr">
        <is>
          <t>emulator-5554 / Android 14</t>
        </is>
      </c>
      <c r="K12" s="28" t="inlineStr">
        <is>
          <t>Claude (adb)</t>
        </is>
      </c>
      <c r="L12" s="40" t="n">
        <v>46299</v>
      </c>
      <c r="M12" s="28" t="inlineStr">
        <is>
          <t>Verified</t>
        </is>
      </c>
      <c r="N12" s="28" t="n"/>
      <c r="O12" s="28" t="inlineStr">
        <is>
          <t>1.0.0+1 debug (rebuilt 5 Oct 2026)</t>
        </is>
      </c>
      <c r="P12" s="28" t="inlineStr">
        <is>
          <t>Pass</t>
        </is>
      </c>
    </row>
    <row r="13" ht="90" customHeight="1">
      <c r="A13" s="28" t="inlineStr">
        <is>
          <t>DEF-012</t>
        </is>
      </c>
      <c r="B13" s="28" t="inlineStr">
        <is>
          <t>BL-PAY-027</t>
        </is>
      </c>
      <c r="C13" s="28" t="inlineStr">
        <is>
          <t>Leaving the payment screen</t>
        </is>
      </c>
      <c r="D13" s="28" t="inlineStr">
        <is>
          <t>High</t>
        </is>
      </c>
      <c r="E13" s="28" t="inlineStr">
        <is>
          <t>Payment</t>
        </is>
      </c>
      <c r="F13" s="28" t="inlineStr">
        <is>
          <t>1. Press Back before paying
2. Press Back while it says 'Confirming payment…'</t>
        </is>
      </c>
      <c r="G13" s="28" t="inlineStr">
        <is>
          <t>'Leave payment?' dialog before paying. While confirming, leaving should be blocked or confirmed — the code lets Back leave with no dialog exactly then.</t>
        </is>
      </c>
      <c r="H13" s="28" t="inlineStr">
        <is>
          <t>Pressing Back on the payment screen before paying (timer running, booking LKSB-2610-00188 held) leaves immediately with no 'Leave payment?' confirmation; same after a failed attempt. The user drops back to the booking flow without being warned that the hold keeps counting down.</t>
        </is>
      </c>
      <c r="I13" s="28" t="inlineStr">
        <is>
          <t>1.0.0+1 debug</t>
        </is>
      </c>
      <c r="J13" s="28" t="inlineStr">
        <is>
          <t>emulator-5554 / Android 14</t>
        </is>
      </c>
      <c r="K13" s="28" t="inlineStr">
        <is>
          <t>Claude (adb)</t>
        </is>
      </c>
      <c r="L13" s="40" t="n">
        <v>46299</v>
      </c>
      <c r="M13" s="28" t="inlineStr">
        <is>
          <t>Verified</t>
        </is>
      </c>
      <c r="N13" s="28" t="n"/>
      <c r="O13" s="28" t="inlineStr">
        <is>
          <t>1.0.0+1 debug (rebuilt 5 Oct 2026)</t>
        </is>
      </c>
      <c r="P13" s="28" t="inlineStr">
        <is>
          <t>Pass</t>
        </is>
      </c>
    </row>
    <row r="14" ht="90" customHeight="1">
      <c r="A14" s="28" t="inlineStr">
        <is>
          <t>DEF-013</t>
        </is>
      </c>
      <c r="B14" s="28" t="inlineStr">
        <is>
          <t>BL-PAY-028</t>
        </is>
      </c>
      <c r="C14" s="28" t="inlineStr">
        <is>
          <t>Book again after expiry</t>
        </is>
      </c>
      <c r="D14" s="28" t="inlineStr">
        <is>
          <t>Medium</t>
        </is>
      </c>
      <c r="E14" s="28" t="inlineStr">
        <is>
          <t>Payment</t>
        </is>
      </c>
      <c r="F14" s="28" t="inlineStr">
        <is>
          <t>1. Let the timer expire
2. Tap 'Book again' on the result screen
3. Repeat using 'Book again' on the payment screen</t>
        </is>
      </c>
      <c r="G14" s="28" t="inlineStr">
        <is>
          <t>Both should behave the same. The code keeps doctor and patient from the payment screen but starts an empty booking from the result screen.</t>
        </is>
      </c>
      <c r="H14" s="28" t="inlineStr">
        <is>
          <t>'Book again' on the expired result screen opens step 3 of an EMPTY booking: department, hospital, doctor and notes are gone ('Pick a doctor and a time first.'; step 2 shows 'Choose a hospital' with every hospital). The user must start over, while the step indicator suggests they are on step 3.</t>
        </is>
      </c>
      <c r="I14" s="28" t="inlineStr">
        <is>
          <t>1.0.0+1 debug</t>
        </is>
      </c>
      <c r="J14" s="28" t="inlineStr">
        <is>
          <t>emulator-5554 / Android 14</t>
        </is>
      </c>
      <c r="K14" s="28" t="inlineStr">
        <is>
          <t>Claude (adb)</t>
        </is>
      </c>
      <c r="L14" s="40" t="n">
        <v>46299</v>
      </c>
      <c r="M14" s="28" t="inlineStr">
        <is>
          <t>Verified</t>
        </is>
      </c>
      <c r="N14" s="28" t="n"/>
      <c r="O14" s="28" t="inlineStr">
        <is>
          <t>1.0.0+1 debug (rebuilt 5 Oct 2026)</t>
        </is>
      </c>
      <c r="P14" s="28" t="inlineStr">
        <is>
          <t>Pass</t>
        </is>
      </c>
    </row>
    <row r="15" ht="90" customHeight="1">
      <c r="A15" s="28" t="inlineStr">
        <is>
          <t>DEF-014</t>
        </is>
      </c>
      <c r="B15" s="28" t="inlineStr">
        <is>
          <t>BL-APPT-006</t>
        </is>
      </c>
      <c r="C15" s="28" t="inlineStr">
        <is>
          <t>Card date line is relative and in hospital time</t>
        </is>
      </c>
      <c r="D15" s="28" t="inlineStr">
        <is>
          <t>Medium</t>
        </is>
      </c>
      <c r="E15" s="28" t="inlineStr">
        <is>
          <t>Appointments</t>
        </is>
      </c>
      <c r="F15" s="28" t="inlineStr">
        <is>
          <t>View appointments for today, tomorrow, later this year and another year</t>
        </is>
      </c>
      <c r="G15" s="28" t="inlineStr">
        <is>
          <t>'Today, 10:30 AM', 'Tomorrow, …', '12 Aug, 10:30 AM', '12 Aug 2025, 10:30 AM' (year only when it differs from the current year).</t>
        </is>
      </c>
      <c r="H15" s="28" t="inlineStr">
        <is>
          <t>Relative dates and India time are correct ('17 Sep, 10:00 AM', 'Tomorrow, 9:00 AM' in the accessibility label), but on the pending-payment card the visible line is truncated to 'Tomorrow, …' next to the 'Payment pending' pill — the appointment time cannot be read on the card (emulator 1080x2400, 420 dpi).</t>
        </is>
      </c>
      <c r="I15" s="28" t="inlineStr">
        <is>
          <t>1.0.0+1 debug</t>
        </is>
      </c>
      <c r="J15" s="28" t="inlineStr">
        <is>
          <t>emulator-5554 / Android 14</t>
        </is>
      </c>
      <c r="K15" s="28" t="inlineStr">
        <is>
          <t>Claude (adb)</t>
        </is>
      </c>
      <c r="L15" s="40" t="n">
        <v>46299</v>
      </c>
      <c r="M15" s="28" t="inlineStr">
        <is>
          <t>Verified</t>
        </is>
      </c>
      <c r="N15" s="28" t="n"/>
      <c r="O15" s="28" t="inlineStr">
        <is>
          <t>1.0.0+1 debug (rebuilt 5 Oct 2026)</t>
        </is>
      </c>
      <c r="P15" s="28" t="inlineStr">
        <is>
          <t>Pass</t>
        </is>
      </c>
    </row>
    <row r="16" ht="90" customHeight="1">
      <c r="A16" s="28" t="inlineStr">
        <is>
          <t>DEF-015</t>
        </is>
      </c>
      <c r="B16" s="28" t="inlineStr">
        <is>
          <t>BL-APPT-022</t>
        </is>
      </c>
      <c r="C16" s="28" t="inlineStr">
        <is>
          <t>Status filter must not leak into other tabs</t>
        </is>
      </c>
      <c r="D16" s="28" t="inlineStr">
        <is>
          <t>Medium</t>
        </is>
      </c>
      <c r="E16" s="28" t="inlineStr">
        <is>
          <t>Appointments</t>
        </is>
      </c>
      <c r="F16" s="28" t="inlineStr">
        <is>
          <t>1. On Upcoming select a status filter
2. Switch to Completed and Cancelled</t>
        </is>
      </c>
      <c r="G16" s="28" t="inlineStr">
        <is>
          <t>Decide what is correct: the code keeps the status chip and counts it in 'Filters · n' on the other tabs although it is not applied there, and an empty tab then says 'No appointments match these filters.'</t>
        </is>
      </c>
      <c r="H16" s="28" t="inlineStr">
        <is>
          <t>Status filters set on Upcoming (Confirmed, Checked in) stay as removable chips and count in 'Filter appointments, 3 active' on the Completed tab, where they are not applied — a Completed visit is listed under chips saying 'Status Confirmed / Checked in'. The Completed filter sheet also says '3 filters set' while showing no status section.</t>
        </is>
      </c>
      <c r="I16" s="28" t="inlineStr">
        <is>
          <t>1.0.0+1 debug</t>
        </is>
      </c>
      <c r="J16" s="28" t="inlineStr">
        <is>
          <t>emulator-5554 / Android 14</t>
        </is>
      </c>
      <c r="K16" s="28" t="inlineStr">
        <is>
          <t>Claude (adb)</t>
        </is>
      </c>
      <c r="L16" s="40" t="n">
        <v>46299</v>
      </c>
      <c r="M16" s="28" t="inlineStr">
        <is>
          <t>Verified</t>
        </is>
      </c>
      <c r="N16" s="28" t="n"/>
      <c r="O16" s="28" t="inlineStr">
        <is>
          <t>1.0.0+1 debug (rebuilt 5 Oct 2026)</t>
        </is>
      </c>
      <c r="P16" s="28" t="inlineStr">
        <is>
          <t>Pass</t>
        </is>
      </c>
    </row>
    <row r="17" ht="90" customHeight="1">
      <c r="A17" s="28" t="inlineStr">
        <is>
          <t>DEF-016</t>
        </is>
      </c>
      <c r="B17" s="28" t="inlineStr">
        <is>
          <t>BL-APPT-056</t>
        </is>
      </c>
      <c r="C17" s="28" t="inlineStr">
        <is>
          <t>Receipt status after a refund</t>
        </is>
      </c>
      <c r="D17" s="28" t="inlineStr">
        <is>
          <t>Medium</t>
        </is>
      </c>
      <c r="E17" s="28" t="inlineStr">
        <is>
          <t>Appointments</t>
        </is>
      </c>
      <c r="F17" s="28" t="inlineStr">
        <is>
          <t>Open the receipt of a cancelled, refunded appointment</t>
        </is>
      </c>
      <c r="G17" s="28" t="inlineStr">
        <is>
          <t>The header should reflect the refund. The code shows a fixed 'Paid' pill.</t>
        </is>
      </c>
      <c r="H17" s="28" t="inlineStr">
        <is>
          <t>Receipt LKSR/26-27/00137 belongs to a cancelled appointment whose payment status is 'Refunded' (₹500 refund processed 26 Sep), yet the receipt header pill still reads 'Paid' and nothing on the receipt mentions the refund.</t>
        </is>
      </c>
      <c r="I17" s="28" t="inlineStr">
        <is>
          <t>1.0.0+1 debug</t>
        </is>
      </c>
      <c r="J17" s="28" t="inlineStr">
        <is>
          <t>emulator-5554 / Android 14</t>
        </is>
      </c>
      <c r="K17" s="28" t="inlineStr">
        <is>
          <t>Claude (adb)</t>
        </is>
      </c>
      <c r="L17" s="40" t="n">
        <v>46299</v>
      </c>
      <c r="M17" s="28" t="inlineStr">
        <is>
          <t>Verified</t>
        </is>
      </c>
      <c r="N17" s="28" t="n"/>
      <c r="O17" s="28" t="inlineStr">
        <is>
          <t>1.0.0+1 debug (rebuilt 5 Oct 2026)</t>
        </is>
      </c>
      <c r="P17" s="28" t="inlineStr">
        <is>
          <t>Pass</t>
        </is>
      </c>
    </row>
    <row r="18" ht="90" customHeight="1">
      <c r="A18" s="28" t="inlineStr">
        <is>
          <t>DEF-017</t>
        </is>
      </c>
      <c r="B18" s="28" t="inlineStr">
        <is>
          <t>BL-QUEUE-003</t>
        </is>
      </c>
      <c r="C18" s="28" t="inlineStr">
        <is>
          <t>'Next' when the session is not running</t>
        </is>
      </c>
      <c r="D18" s="28" t="inlineStr">
        <is>
          <t>Medium</t>
        </is>
      </c>
      <c r="E18" s="28" t="inlineStr">
        <is>
          <t>Live queue</t>
        </is>
      </c>
      <c r="F18" s="28" t="inlineStr">
        <is>
          <t>Open the queue before the desk opens and after it closes</t>
        </is>
      </c>
      <c r="G18" s="28" t="inlineStr">
        <is>
          <t>Wait should not read 'Next'. The code shows 'Next' whenever the estimate is 0, including closed / not-opened sessions.</t>
        </is>
      </c>
      <c r="H18" s="28" t="inlineStr">
        <is>
          <t>Estimated wait reads 'Next' when the session has not opened ('The desk has not opened yet', booking for tomorrow) and when it has ended ('This session has ended', a visit from 17 Sep) — in both cases there is no wait to be 'next' for.</t>
        </is>
      </c>
      <c r="I18" s="28" t="inlineStr">
        <is>
          <t>1.0.0+1 debug</t>
        </is>
      </c>
      <c r="J18" s="28" t="inlineStr">
        <is>
          <t>emulator-5554 / Android 14</t>
        </is>
      </c>
      <c r="K18" s="28" t="inlineStr">
        <is>
          <t>Claude (adb)</t>
        </is>
      </c>
      <c r="L18" s="40" t="n">
        <v>46299</v>
      </c>
      <c r="M18" s="28" t="inlineStr">
        <is>
          <t>Verified</t>
        </is>
      </c>
      <c r="N18" s="28" t="n"/>
      <c r="O18" s="28" t="inlineStr">
        <is>
          <t>1.0.0+1 debug (rebuilt 5 Oct 2026)</t>
        </is>
      </c>
      <c r="P18" s="28" t="inlineStr">
        <is>
          <t>Pass</t>
        </is>
      </c>
    </row>
    <row r="19" ht="90" customHeight="1">
      <c r="A19" s="28" t="inlineStr">
        <is>
          <t>DEF-018</t>
        </is>
      </c>
      <c r="B19" s="28" t="inlineStr">
        <is>
          <t>BL-QUEUE-013</t>
        </is>
      </c>
      <c r="C19" s="28" t="inlineStr">
        <is>
          <t>Recovery after giving up</t>
        </is>
      </c>
      <c r="D19" s="28" t="inlineStr">
        <is>
          <t>Medium</t>
        </is>
      </c>
      <c r="E19" s="28" t="inlineStr">
        <is>
          <t>Live queue</t>
        </is>
      </c>
      <c r="F19" s="28" t="inlineStr">
        <is>
          <t>1. After 'Live updates unavailable', restore the network
2. Pull to refresh</t>
        </is>
      </c>
      <c r="G19" s="28" t="inlineStr">
        <is>
          <t>Live updates should resume. The code only re-reads the numbers; the socket stays off until the screen is reopened.</t>
        </is>
      </c>
      <c r="H19" s="28" t="inlineStr">
        <is>
          <t>After 'Live updates unavailable. Pull down to refresh.', restoring the network and pulling to refresh does not bring live updates back: the banner and 'Last update' label stay for 30+ s. Only leaving and reopening the screen restores 'Live'. The banner's own instruction does not work.</t>
        </is>
      </c>
      <c r="I19" s="28" t="inlineStr">
        <is>
          <t>1.0.0+1 debug</t>
        </is>
      </c>
      <c r="J19" s="28" t="inlineStr">
        <is>
          <t>emulator-5554 / Android 14</t>
        </is>
      </c>
      <c r="K19" s="28" t="inlineStr">
        <is>
          <t>Claude (adb)</t>
        </is>
      </c>
      <c r="L19" s="40" t="n">
        <v>46299</v>
      </c>
      <c r="M19" s="28" t="inlineStr">
        <is>
          <t>Verified</t>
        </is>
      </c>
      <c r="N19" s="28" t="n"/>
      <c r="O19" s="28" t="inlineStr">
        <is>
          <t>1.0.0+1 debug (rebuilt 5 Oct 2026)</t>
        </is>
      </c>
      <c r="P19" s="28" t="inlineStr">
        <is>
          <t>Pass</t>
        </is>
      </c>
    </row>
    <row r="20" ht="90" customHeight="1">
      <c r="A20" s="28" t="inlineStr">
        <is>
          <t>DEF-019</t>
        </is>
      </c>
      <c r="B20" s="28" t="inlineStr">
        <is>
          <t>BL-HOME-006</t>
        </is>
      </c>
      <c r="C20" s="28" t="inlineStr">
        <is>
          <t>View All / View Less</t>
        </is>
      </c>
      <c r="D20" s="28" t="inlineStr">
        <is>
          <t>Low</t>
        </is>
      </c>
      <c r="E20" s="28" t="inlineStr">
        <is>
          <t>Home &amp; search</t>
        </is>
      </c>
      <c r="F20" s="28" t="inlineStr">
        <is>
          <t>1. Open Home on an account/location with 7+ departments
2. Toggle the link</t>
        </is>
      </c>
      <c r="G20" s="28" t="inlineStr">
        <is>
          <t>Confirm intended: the section opens expanded with up to 6 tiles and the link reads 'View Less'; 'View All' never shows more than 6.</t>
        </is>
      </c>
      <c r="H20" s="28" t="inlineStr">
        <is>
          <t>The API returns 7 departments; Home opens expanded with 6 and the link 'Show fewer services'; collapsing shows 3 and 'Show all services', which again shows only 6. Paediatrics is never shown on Home although the link says 'all'.</t>
        </is>
      </c>
      <c r="I20" s="28" t="inlineStr">
        <is>
          <t>1.0.0+1 debug</t>
        </is>
      </c>
      <c r="J20" s="28" t="inlineStr">
        <is>
          <t>emulator-5554 / Android 14</t>
        </is>
      </c>
      <c r="K20" s="28" t="inlineStr">
        <is>
          <t>Claude (adb)</t>
        </is>
      </c>
      <c r="L20" s="40" t="n">
        <v>46299</v>
      </c>
      <c r="M20" s="28" t="inlineStr">
        <is>
          <t>Verified</t>
        </is>
      </c>
      <c r="N20" s="28" t="n"/>
      <c r="O20" s="28" t="inlineStr">
        <is>
          <t>1.0.0+1 debug (rebuilt 5 Oct 2026)</t>
        </is>
      </c>
      <c r="P20" s="28" t="inlineStr">
        <is>
          <t>Pass</t>
        </is>
      </c>
    </row>
    <row r="21" ht="90" customHeight="1">
      <c r="A21" s="28" t="inlineStr">
        <is>
          <t>DEF-020</t>
        </is>
      </c>
      <c r="B21" s="28" t="inlineStr">
        <is>
          <t>BL-REC-009</t>
        </is>
      </c>
      <c r="C21" s="28" t="inlineStr">
        <is>
          <t>Unsaved-changes guard</t>
        </is>
      </c>
      <c r="D21" s="28" t="inlineStr">
        <is>
          <t>Medium</t>
        </is>
      </c>
      <c r="E21" s="28" t="inlineStr">
        <is>
          <t>Records &amp; uploads</t>
        </is>
      </c>
      <c r="F21" s="28" t="inlineStr">
        <is>
          <t>1. Type a title or pick a file
2. Press Back</t>
        </is>
      </c>
      <c r="G21" s="28" t="inlineStr">
        <is>
          <t>'Discard this document?' confirmation.</t>
        </is>
      </c>
      <c r="H21" s="28" t="inlineStr">
        <is>
          <t>System Back with a typed title shows 'Discard this document? The details you have entered will not be saved to your records.' But the header back arrow ('Back to records') leaves the upload form at once with no confirmation and the entry is lost — same behaviour as Edit Profile.</t>
        </is>
      </c>
      <c r="I21" s="28" t="inlineStr">
        <is>
          <t>1.0.0+1 debug</t>
        </is>
      </c>
      <c r="J21" s="28" t="inlineStr">
        <is>
          <t>emulator-5554 / Android 14</t>
        </is>
      </c>
      <c r="K21" s="28" t="inlineStr">
        <is>
          <t>Claude (adb)</t>
        </is>
      </c>
      <c r="L21" s="40" t="n">
        <v>46299</v>
      </c>
      <c r="M21" s="28" t="inlineStr">
        <is>
          <t>Verified</t>
        </is>
      </c>
      <c r="N21" s="28" t="n"/>
      <c r="O21" s="28" t="inlineStr">
        <is>
          <t>1.0.0+1 debug (rebuilt 5 Oct 2026)</t>
        </is>
      </c>
      <c r="P21" s="28" t="inlineStr">
        <is>
          <t>Pass</t>
        </is>
      </c>
    </row>
    <row r="22" ht="90" customHeight="1">
      <c r="A22" s="28" t="inlineStr">
        <is>
          <t>DEF-021</t>
        </is>
      </c>
      <c r="B22" s="28" t="inlineStr">
        <is>
          <t>BL-REC-014</t>
        </is>
      </c>
      <c r="C22" s="28" t="inlineStr">
        <is>
          <t>Heading and count</t>
        </is>
      </c>
      <c r="D22" s="28" t="inlineStr">
        <is>
          <t>Low</t>
        </is>
      </c>
      <c r="E22" s="28" t="inlineStr">
        <is>
          <t>Records &amp; uploads</t>
        </is>
      </c>
      <c r="F22" s="28" t="inlineStr">
        <is>
          <t>Filter by Prescription, by Discharge summary, and to exactly one result</t>
        </is>
      </c>
      <c r="G22" s="28" t="inlineStr">
        <is>
          <t>'Prescriptions', '1 record' / 'N records'. Check the Discharge summary heading — the code appends 's' ('Discharge Summarys').</t>
        </is>
      </c>
      <c r="H22" s="28" t="inlineStr">
        <is>
          <t>Filtering by Discharge Summary shows the heading 'Discharge Summarys' (plural built by adding 's'). Count wording is right ('0 records', '2 records').</t>
        </is>
      </c>
      <c r="I22" s="28" t="inlineStr">
        <is>
          <t>1.0.0+1 debug</t>
        </is>
      </c>
      <c r="J22" s="28" t="inlineStr">
        <is>
          <t>emulator-5554 / Android 14</t>
        </is>
      </c>
      <c r="K22" s="28" t="inlineStr">
        <is>
          <t>Claude (adb)</t>
        </is>
      </c>
      <c r="L22" s="40" t="n">
        <v>46299</v>
      </c>
      <c r="M22" s="28" t="inlineStr">
        <is>
          <t>Verified</t>
        </is>
      </c>
      <c r="N22" s="28" t="n"/>
      <c r="O22" s="28" t="inlineStr">
        <is>
          <t>1.0.0+1 debug (rebuilt 5 Oct 2026)</t>
        </is>
      </c>
      <c r="P22" s="28" t="inlineStr">
        <is>
          <t>Pass</t>
        </is>
      </c>
    </row>
    <row r="23" ht="90" customHeight="1">
      <c r="A23" s="28" t="inlineStr">
        <is>
          <t>DEF-022</t>
        </is>
      </c>
      <c r="B23" s="28" t="inlineStr">
        <is>
          <t>BL-REC-018</t>
        </is>
      </c>
      <c r="C23" s="28" t="inlineStr">
        <is>
          <t>Edit conflict</t>
        </is>
      </c>
      <c r="D23" s="28" t="inlineStr">
        <is>
          <t>High</t>
        </is>
      </c>
      <c r="E23" s="28" t="inlineStr">
        <is>
          <t>Records &amp; uploads</t>
        </is>
      </c>
      <c r="F23" s="28" t="inlineStr">
        <is>
          <t>1. Edit the same document on a second device
2. Save on the first
3. Close and reopen the document, save again</t>
        </is>
      </c>
      <c r="G23" s="28" t="inlineStr">
        <is>
          <t>'This document changed elsewhere. Reload and try again.' The reopen should load the new version — the code appears to serve the stale cached copy, so the conflict repeats.</t>
        </is>
      </c>
      <c r="H23" s="28" t="inlineStr">
        <is>
          <t>Notes changed from another session (server v2). Saving on the device: 'This document changed elsewhere. Reload and try again.' After closing the sheet, leaving to the Records list and reopening the document, the detail and edit sheet still show the old content (no notes) and saving conflicts again — the stale copy is served from cache, so the document cannot be edited until the cache is refreshed some other way.</t>
        </is>
      </c>
      <c r="I23" s="28" t="inlineStr">
        <is>
          <t>1.0.0+1 debug</t>
        </is>
      </c>
      <c r="J23" s="28" t="inlineStr">
        <is>
          <t>emulator-5554 / Android 14</t>
        </is>
      </c>
      <c r="K23" s="28" t="inlineStr">
        <is>
          <t>Claude (adb)</t>
        </is>
      </c>
      <c r="L23" s="40" t="n">
        <v>46299</v>
      </c>
      <c r="M23" s="28" t="inlineStr">
        <is>
          <t>Verified</t>
        </is>
      </c>
      <c r="N23" s="28" t="n"/>
      <c r="O23" s="28" t="inlineStr">
        <is>
          <t>1.0.0+1 debug (rebuilt 5 Oct 2026)</t>
        </is>
      </c>
      <c r="P23" s="28" t="inlineStr">
        <is>
          <t>Pass</t>
        </is>
      </c>
    </row>
    <row r="24" ht="90" customHeight="1">
      <c r="A24" s="28" t="inlineStr">
        <is>
          <t>DEF-023</t>
        </is>
      </c>
      <c r="B24" s="28" t="inlineStr">
        <is>
          <t>BL-REC-022</t>
        </is>
      </c>
      <c r="C24" s="28" t="inlineStr">
        <is>
          <t>Link choices and display</t>
        </is>
      </c>
      <c r="D24" s="28" t="inlineStr">
        <is>
          <t>Medium</t>
        </is>
      </c>
      <c r="E24" s="28" t="inlineStr">
        <is>
          <t>Records &amp; uploads</t>
        </is>
      </c>
      <c r="F24" s="28" t="inlineStr">
        <is>
          <t>1. Open 'Linked appointment (optional)'
2. Link one
3. Open the document</t>
        </is>
      </c>
      <c r="G24" s="28" t="inlineStr">
        <is>
          <t>'Not linked' plus your appointments (newest first); detail shows '&lt;Doctor&gt; · &lt;date&gt;' and opens that appointment; 'Not linked to a visit' otherwise.</t>
        </is>
      </c>
      <c r="H24" s="28" t="inlineStr">
        <is>
          <t>'Linked appointment (optional)' opens 'Link an appointment' with only 'Not linked — This document stands on its own', although this account has 5 completed and 10 cancelled appointments (waited 3.5 s, reopened twice). No appointment can be linked from the upload form.</t>
        </is>
      </c>
      <c r="I24" s="28" t="inlineStr">
        <is>
          <t>1.0.0+1 debug</t>
        </is>
      </c>
      <c r="J24" s="28" t="inlineStr">
        <is>
          <t>emulator-5554 / Android 14</t>
        </is>
      </c>
      <c r="K24" s="28" t="inlineStr">
        <is>
          <t>Claude (adb)</t>
        </is>
      </c>
      <c r="L24" s="40" t="n">
        <v>46299</v>
      </c>
      <c r="M24" s="28" t="inlineStr">
        <is>
          <t>Verified</t>
        </is>
      </c>
      <c r="N24" s="28" t="n"/>
      <c r="O24" s="28" t="inlineStr">
        <is>
          <t>1.0.0+1 debug (rebuilt 5 Oct 2026)</t>
        </is>
      </c>
      <c r="P24" s="28" t="inlineStr">
        <is>
          <t>Pass</t>
        </is>
      </c>
    </row>
    <row r="25" ht="90" customHeight="1">
      <c r="A25" s="28" t="inlineStr">
        <is>
          <t>DEF-024</t>
        </is>
      </c>
      <c r="B25" s="28" t="inlineStr">
        <is>
          <t>BL-REC-030</t>
        </is>
      </c>
      <c r="C25" s="28" t="inlineStr">
        <is>
          <t>Cancelling the picker changes nothing</t>
        </is>
      </c>
      <c r="D25" s="28" t="inlineStr">
        <is>
          <t>Low</t>
        </is>
      </c>
      <c r="E25" s="28" t="inlineStr">
        <is>
          <t>Records &amp; uploads</t>
        </is>
      </c>
      <c r="F25" s="28" t="inlineStr">
        <is>
          <t>1. With a ready file tap Replace
2. Cancel the picker</t>
        </is>
      </c>
      <c r="G25" s="28" t="inlineStr">
        <is>
          <t>Tile returns to 'Scanned, ready'.</t>
        </is>
      </c>
      <c r="H25" s="28" t="inlineStr">
        <is>
          <t>With a failed tile showing 'The file could not be sent to our storage…', opening the picker and cancelling it returns to the same file and buttons, but the message is replaced by the generic 'Something went wrong.' — the earlier explanation is lost.</t>
        </is>
      </c>
      <c r="I25" s="28" t="inlineStr">
        <is>
          <t>1.0.0+1 debug</t>
        </is>
      </c>
      <c r="J25" s="28" t="inlineStr">
        <is>
          <t>emulator-5554 / Android 14</t>
        </is>
      </c>
      <c r="K25" s="28" t="inlineStr">
        <is>
          <t>Claude (adb)</t>
        </is>
      </c>
      <c r="L25" s="40" t="n">
        <v>46299</v>
      </c>
      <c r="M25" s="28" t="inlineStr">
        <is>
          <t>Verified</t>
        </is>
      </c>
      <c r="N25" s="28" t="n"/>
      <c r="O25" s="28" t="inlineStr">
        <is>
          <t>1.0.0+1 debug (rebuilt 5 Oct 2026)</t>
        </is>
      </c>
      <c r="P25" s="28" t="inlineStr">
        <is>
          <t>Pass</t>
        </is>
      </c>
    </row>
    <row r="26" ht="90" customHeight="1">
      <c r="A26" s="28" t="inlineStr">
        <is>
          <t>DEF-025</t>
        </is>
      </c>
      <c r="B26" s="28" t="inlineStr">
        <is>
          <t>BL-CACHE-008</t>
        </is>
      </c>
      <c r="C26" s="28" t="inlineStr">
        <is>
          <t>Detail screens offline after a cold start</t>
        </is>
      </c>
      <c r="D26" s="28" t="inlineStr">
        <is>
          <t>High</t>
        </is>
      </c>
      <c r="E26" s="28" t="inlineStr">
        <is>
          <t>Cache, offline &amp; pagination</t>
        </is>
      </c>
      <c r="F26" s="28" t="inlineStr">
        <is>
          <t>1. Load a document detail and more pages of a list
2. Kill the app
3. Relaunch offline
4. Open the same detail</t>
        </is>
      </c>
      <c r="G26" s="28" t="inlineStr">
        <is>
          <t>The saved copy should show. The code may sit on the loading skeleton for these one-shot reads.</t>
        </is>
      </c>
      <c r="H26" s="28" t="inlineStr">
        <is>
          <t>Opened the Prescription document online, killed the app, relaunched in airplane mode and opened the same document from the (cached) Records list: the detail screen stays blank under the 'Document' title for 10+ seconds — no saved copy, no offline message, no retry.</t>
        </is>
      </c>
      <c r="I26" s="28" t="inlineStr">
        <is>
          <t>1.0.0+1 debug</t>
        </is>
      </c>
      <c r="J26" s="28" t="inlineStr">
        <is>
          <t>emulator-5554 / Android 14</t>
        </is>
      </c>
      <c r="K26" s="28" t="inlineStr">
        <is>
          <t>Claude (adb)</t>
        </is>
      </c>
      <c r="L26" s="40" t="n">
        <v>46299</v>
      </c>
      <c r="M26" s="28" t="inlineStr">
        <is>
          <t>Verified</t>
        </is>
      </c>
      <c r="N26" s="28" t="n"/>
      <c r="O26" s="28" t="inlineStr">
        <is>
          <t>1.0.0+1 debug (rebuilt 5 Oct 2026)</t>
        </is>
      </c>
      <c r="P26" s="28" t="inlineStr">
        <is>
          <t>Pass</t>
        </is>
      </c>
    </row>
    <row r="27" ht="90" customHeight="1">
      <c r="A27" s="28" t="inlineStr">
        <is>
          <t>DEF-026</t>
        </is>
      </c>
      <c r="B27" s="28" t="inlineStr">
        <is>
          <t>BL-CACHE-017</t>
        </is>
      </c>
      <c r="C27" s="28" t="inlineStr">
        <is>
          <t>Offline indicators appear and clear</t>
        </is>
      </c>
      <c r="D27" s="28" t="inlineStr">
        <is>
          <t>High</t>
        </is>
      </c>
      <c r="E27" s="28" t="inlineStr">
        <is>
          <t>Cache, offline &amp; pagination</t>
        </is>
      </c>
      <c r="F27" s="28" t="inlineStr">
        <is>
          <t>Toggle airplane mode on shared lists and on Notifications</t>
        </is>
      </c>
      <c r="G27" s="28" t="inlineStr">
        <is>
          <t>'You're offline. Showing what was saved on this device.' while offline; cleared on reconnect.</t>
        </is>
      </c>
      <c r="H27" s="28" t="inlineStr">
        <is>
          <t>Offline indicators appear correctly, but they do not all clear: on the Appointments tab (opened offline after a cold start) the screen showed both 'You're offline. Showing what was saved on this phone.' and a full error view 'You're offline — You appear to be offline…'. After the network returned the banner went away but the error view stayed for 20+ s and pull-to-refresh did nothing; only tapping 'Try Again' loaded the list. Records, by contrast, refreshed automatically.</t>
        </is>
      </c>
      <c r="I27" s="28" t="inlineStr">
        <is>
          <t>1.0.0+1 debug</t>
        </is>
      </c>
      <c r="J27" s="28" t="inlineStr">
        <is>
          <t>emulator-5554 / Android 14</t>
        </is>
      </c>
      <c r="K27" s="28" t="inlineStr">
        <is>
          <t>Claude (adb)</t>
        </is>
      </c>
      <c r="L27" s="40" t="n">
        <v>46299</v>
      </c>
      <c r="M27" s="28" t="inlineStr">
        <is>
          <t>Verified</t>
        </is>
      </c>
      <c r="N27" s="28" t="n"/>
      <c r="O27" s="28" t="inlineStr">
        <is>
          <t>1.0.0+1 debug (rebuilt 5 Oct 2026)</t>
        </is>
      </c>
      <c r="P27" s="28" t="inlineStr">
        <is>
          <t>Pass</t>
        </is>
      </c>
    </row>
    <row r="28" ht="90" customHeight="1">
      <c r="A28" s="28" t="inlineStr">
        <is>
          <t>DEF-027</t>
        </is>
      </c>
      <c r="B28" s="28" t="inlineStr">
        <is>
          <t>BL-NOTIF-009</t>
        </is>
      </c>
      <c r="C28" s="28" t="inlineStr">
        <is>
          <t>Unread tab after marking read</t>
        </is>
      </c>
      <c r="D28" s="28" t="inlineStr">
        <is>
          <t>Low</t>
        </is>
      </c>
      <c r="E28" s="28" t="inlineStr">
        <is>
          <t>Notifications</t>
        </is>
      </c>
      <c r="F28" s="28" t="inlineStr">
        <is>
          <t>On the Unread tab mark a row (or all) as read</t>
        </is>
      </c>
      <c r="G28" s="28" t="inlineStr">
        <is>
          <t>Rows should leave the Unread tab. The code keeps them visible until the tab is refreshed.</t>
        </is>
      </c>
      <c r="H28" s="28" t="inlineStr">
        <is>
          <t>On the Unread tab, a notification marked as read (long-press) stays in the list, now labelled 'Read'; it leaves only when the tab is reloaded. The header count does drop (42 -&gt; 41).</t>
        </is>
      </c>
      <c r="I28" s="28" t="inlineStr">
        <is>
          <t>1.0.0+1 debug</t>
        </is>
      </c>
      <c r="J28" s="28" t="inlineStr">
        <is>
          <t>emulator-5554 / Android 14</t>
        </is>
      </c>
      <c r="K28" s="28" t="inlineStr">
        <is>
          <t>Claude (adb)</t>
        </is>
      </c>
      <c r="L28" s="40" t="n">
        <v>46299</v>
      </c>
      <c r="M28" s="28" t="inlineStr">
        <is>
          <t>Verified</t>
        </is>
      </c>
      <c r="N28" s="28" t="n"/>
      <c r="O28" s="28" t="inlineStr">
        <is>
          <t>1.0.0+1 debug (rebuilt 5 Oct 2026)</t>
        </is>
      </c>
      <c r="P28" s="28" t="inlineStr">
        <is>
          <t>Pass</t>
        </is>
      </c>
    </row>
    <row r="29" ht="90" customHeight="1">
      <c r="A29" s="28" t="inlineStr">
        <is>
          <t>DEF-028</t>
        </is>
      </c>
      <c r="B29" s="28" t="inlineStr">
        <is>
          <t>BL-NOTIF-014</t>
        </is>
      </c>
      <c r="C29" s="28" t="inlineStr">
        <is>
          <t>Open list shows the new notification</t>
        </is>
      </c>
      <c r="D29" s="28" t="inlineStr">
        <is>
          <t>High</t>
        </is>
      </c>
      <c r="E29" s="28" t="inlineStr">
        <is>
          <t>Notifications</t>
        </is>
      </c>
      <c r="F29" s="28" t="inlineStr">
        <is>
          <t>Stay on the Notifications screen while a new one is created</t>
        </is>
      </c>
      <c r="G29" s="28" t="inlineStr">
        <is>
          <t>The new row should appear. The code may answer the reload from memory, so the badge rises but the row is missing until pull-to-refresh.</t>
        </is>
      </c>
      <c r="H29" s="28" t="inlineStr">
        <is>
          <t>Same run: the count rose to 42 but the new 'Appointment cancelled' notification (created seconds earlier) did not appear in the open list — the first row was still '1 hour ago' until pull-to-refresh.</t>
        </is>
      </c>
      <c r="I29" s="28" t="inlineStr">
        <is>
          <t>1.0.0+1 debug</t>
        </is>
      </c>
      <c r="J29" s="28" t="inlineStr">
        <is>
          <t>emulator-5554 / Android 14</t>
        </is>
      </c>
      <c r="K29" s="28" t="inlineStr">
        <is>
          <t>Claude (adb)</t>
        </is>
      </c>
      <c r="L29" s="40" t="n">
        <v>46299</v>
      </c>
      <c r="M29" s="28" t="inlineStr">
        <is>
          <t>Verified</t>
        </is>
      </c>
      <c r="N29" s="28" t="n"/>
      <c r="O29" s="28" t="inlineStr">
        <is>
          <t>1.0.0+1 debug (rebuilt 5 Oct 2026)</t>
        </is>
      </c>
      <c r="P29" s="28" t="inlineStr">
        <is>
          <t>Pass</t>
        </is>
      </c>
    </row>
    <row r="30" ht="90" customHeight="1">
      <c r="A30" s="28" t="inlineStr">
        <is>
          <t>DEF-029</t>
        </is>
      </c>
      <c r="B30" s="28" t="inlineStr">
        <is>
          <t>BL-NOTIF-017</t>
        </is>
      </c>
      <c r="C30" s="28" t="inlineStr">
        <is>
          <t>Device is registered for push after sign-in</t>
        </is>
      </c>
      <c r="D30" s="28" t="inlineStr">
        <is>
          <t>Critical</t>
        </is>
      </c>
      <c r="E30" s="28" t="inlineStr">
        <is>
          <t>Notifications</t>
        </is>
      </c>
      <c r="F30" s="28" t="inlineStr">
        <is>
          <t>1. Sign in with a proxy attached
2. Look for the device registration call</t>
        </is>
      </c>
      <c r="G30" s="28" t="inlineStr">
        <is>
          <t>A registration is expected. The code never calls it and has no push SDK, so push cannot be tested yet.</t>
        </is>
      </c>
      <c r="H30" s="28" t="inlineStr">
        <is>
          <t>KB-04 confirmed: after signing in on the emulator the server's device list for the account contains only a seeded iOS demo device last seen on 12 Aug; no Android device was registered by this sign-in. The app never registers for push, so no push notification can be delivered.</t>
        </is>
      </c>
      <c r="I30" s="28" t="inlineStr">
        <is>
          <t>1.0.0+1 debug</t>
        </is>
      </c>
      <c r="J30" s="28" t="inlineStr">
        <is>
          <t>emulator-5554 / Android 14</t>
        </is>
      </c>
      <c r="K30" s="28" t="inlineStr">
        <is>
          <t>Claude (adb)</t>
        </is>
      </c>
      <c r="L30" s="40" t="n">
        <v>46299</v>
      </c>
      <c r="M30" s="28" t="inlineStr">
        <is>
          <t>Open</t>
        </is>
      </c>
      <c r="N30" s="28" t="n"/>
      <c r="O30" s="28" t="n"/>
      <c r="P30" s="28" t="n"/>
    </row>
    <row r="31" ht="90" customHeight="1">
      <c r="A31" s="28" t="inlineStr">
        <is>
          <t>DEF-030</t>
        </is>
      </c>
      <c r="B31" s="28" t="inlineStr">
        <is>
          <t>BL-PROF-005</t>
        </is>
      </c>
      <c r="C31" s="28" t="inlineStr">
        <is>
          <t>Clearing the blood group</t>
        </is>
      </c>
      <c r="D31" s="28" t="inlineStr">
        <is>
          <t>High</t>
        </is>
      </c>
      <c r="E31" s="28" t="inlineStr">
        <is>
          <t>Profile &amp; account</t>
        </is>
      </c>
      <c r="F31" s="28" t="inlineStr">
        <is>
          <t>1. Set blood group O+ and save
2. Reopen, choose 'Not known', save
3. Reopen</t>
        </is>
      </c>
      <c r="G31" s="28" t="inlineStr">
        <is>
          <t>Blood group should be cleared. The code sends nothing and keeps O+ while showing 'Profile updated'.</t>
        </is>
      </c>
      <c r="H31" s="28" t="inlineStr">
        <is>
          <t>Blood group O+ saved. Reopened Edit Profile, chose 'Not known' (form shows 'not set'), tapped Save Changes: the app returns to Profile as if saved, but the server still has O+ (version unchanged) and Profile still shows 'Blood group O+'. The blood group cannot be cleared.</t>
        </is>
      </c>
      <c r="I31" s="28" t="inlineStr">
        <is>
          <t>1.0.0+1 debug</t>
        </is>
      </c>
      <c r="J31" s="28" t="inlineStr">
        <is>
          <t>emulator-5554 / Android 14</t>
        </is>
      </c>
      <c r="K31" s="28" t="inlineStr">
        <is>
          <t>Claude (adb)</t>
        </is>
      </c>
      <c r="L31" s="40" t="n">
        <v>46299</v>
      </c>
      <c r="M31" s="28" t="inlineStr">
        <is>
          <t>Verified</t>
        </is>
      </c>
      <c r="N31" s="28" t="n"/>
      <c r="O31" s="28" t="inlineStr">
        <is>
          <t>1.0.0+1 debug (rebuilt 5 Oct 2026)</t>
        </is>
      </c>
      <c r="P31" s="28" t="inlineStr">
        <is>
          <t>Pass</t>
        </is>
      </c>
    </row>
    <row r="32" ht="90" customHeight="1">
      <c r="A32" s="28" t="inlineStr">
        <is>
          <t>DEF-031</t>
        </is>
      </c>
      <c r="B32" s="28" t="inlineStr">
        <is>
          <t>BL-PROF-009</t>
        </is>
      </c>
      <c r="C32" s="28" t="inlineStr">
        <is>
          <t>Unsaved-changes guard</t>
        </is>
      </c>
      <c r="D32" s="28" t="inlineStr">
        <is>
          <t>Medium</t>
        </is>
      </c>
      <c r="E32" s="28" t="inlineStr">
        <is>
          <t>Profile &amp; account</t>
        </is>
      </c>
      <c r="F32" s="28" t="inlineStr">
        <is>
          <t>1. Edit a field
2. Press Back</t>
        </is>
      </c>
      <c r="G32" s="28" t="inlineStr">
        <is>
          <t>'Discard your changes?'</t>
        </is>
      </c>
      <c r="H32" s="28" t="inlineStr">
        <is>
          <t>System Back with an edited field shows 'Discard your changes? The details you have edited will not be saved to your account.' (Keep Editing / Discard). But the header back arrow ('Back to profile') leaves Edit Profile immediately with no confirmation — tried after changing the first name and after changing the date of birth; the edits are lost silently.</t>
        </is>
      </c>
      <c r="I32" s="28" t="inlineStr">
        <is>
          <t>1.0.0+1 debug</t>
        </is>
      </c>
      <c r="J32" s="28" t="inlineStr">
        <is>
          <t>emulator-5554 / Android 14</t>
        </is>
      </c>
      <c r="K32" s="28" t="inlineStr">
        <is>
          <t>Claude (adb)</t>
        </is>
      </c>
      <c r="L32" s="40" t="n">
        <v>46299</v>
      </c>
      <c r="M32" s="28" t="inlineStr">
        <is>
          <t>Verified</t>
        </is>
      </c>
      <c r="N32" s="28" t="n"/>
      <c r="O32" s="28" t="inlineStr">
        <is>
          <t>1.0.0+1 debug (rebuilt 5 Oct 2026)</t>
        </is>
      </c>
      <c r="P32" s="28" t="inlineStr">
        <is>
          <t>Pass</t>
        </is>
      </c>
    </row>
    <row r="33" ht="90" customHeight="1">
      <c r="A33" s="28" t="inlineStr">
        <is>
          <t>DEF-032</t>
        </is>
      </c>
      <c r="B33" s="28" t="inlineStr">
        <is>
          <t>BL-PROF-010</t>
        </is>
      </c>
      <c r="C33" s="28" t="inlineStr">
        <is>
          <t>Profile changed on another device</t>
        </is>
      </c>
      <c r="D33" s="28" t="inlineStr">
        <is>
          <t>High</t>
        </is>
      </c>
      <c r="E33" s="28" t="inlineStr">
        <is>
          <t>Profile &amp; account</t>
        </is>
      </c>
      <c r="F33" s="28" t="inlineStr">
        <is>
          <t>1. Change the profile on device B
2. Save an older form on device A
3. Save again</t>
        </is>
      </c>
      <c r="G33" s="28" t="inlineStr">
        <is>
          <t>'Your details were changed elsewhere and have been reloaded. Review them and save again.'; typed edits kept; second save succeeds.</t>
        </is>
      </c>
      <c r="H33" s="28" t="inlineStr">
        <is>
          <t>Message and retry work: saving a stale form shows 'Your details were changed elsewhere and have been reloaded. Review them and save again.' (toast + banner), typed edits are kept and the second save succeeds. BUT the form is not actually reloaded: fields the user never touched keep their stale values and are re-sent. Another session had cleared blood group and allergies (server v6: none); after the second save the server was back to blood group O+ and allergies ['Penicillin'] — the other device's change was silently undone.</t>
        </is>
      </c>
      <c r="I33" s="28" t="inlineStr">
        <is>
          <t>1.0.0+1 debug</t>
        </is>
      </c>
      <c r="J33" s="28" t="inlineStr">
        <is>
          <t>emulator-5554 / Android 14</t>
        </is>
      </c>
      <c r="K33" s="28" t="inlineStr">
        <is>
          <t>Claude (adb)</t>
        </is>
      </c>
      <c r="L33" s="40" t="n">
        <v>46299</v>
      </c>
      <c r="M33" s="28" t="inlineStr">
        <is>
          <t>Verified</t>
        </is>
      </c>
      <c r="N33" s="28" t="n"/>
      <c r="O33" s="28" t="inlineStr">
        <is>
          <t>1.0.0+1 debug (rebuilt 5 Oct 2026)</t>
        </is>
      </c>
      <c r="P33" s="28" t="inlineStr">
        <is>
          <t>Pass</t>
        </is>
      </c>
    </row>
    <row r="34" ht="90" customHeight="1">
      <c r="A34" s="28" t="inlineStr">
        <is>
          <t>DEF-033</t>
        </is>
      </c>
      <c r="B34" s="28" t="inlineStr">
        <is>
          <t>BL-PROF-011</t>
        </is>
      </c>
      <c r="C34" s="28" t="inlineStr">
        <is>
          <t>Family member, address or contact changed elsewhere</t>
        </is>
      </c>
      <c r="D34" s="28" t="inlineStr">
        <is>
          <t>High</t>
        </is>
      </c>
      <c r="E34" s="28" t="inlineStr">
        <is>
          <t>Profile &amp; account</t>
        </is>
      </c>
      <c r="F34" s="28" t="inlineStr">
        <is>
          <t>1. Edit the same record on two devices
2. Save the older one
3. Tap Save again without leaving</t>
        </is>
      </c>
      <c r="G34" s="28" t="inlineStr">
        <is>
          <t>'This record was changed elsewhere and has been reloaded. Review it and save again.' The second Save should succeed — the code keeps the old version, so it conflicts again until the record is reopened.</t>
        </is>
      </c>
      <c r="H34" s="28" t="inlineStr">
        <is>
          <t>Address edited by another session while its edit sheet was open: Save shows 'This record was changed elsewhere and has been reloaded. Review it and save again.' — but saving again on the same sheet gives the same message every time; the sheet keeps the stale version, so the user must close and reopen the record. (Checked on an address; family and contact forms share the mechanism.)</t>
        </is>
      </c>
      <c r="I34" s="28" t="inlineStr">
        <is>
          <t>1.0.0+1 debug</t>
        </is>
      </c>
      <c r="J34" s="28" t="inlineStr">
        <is>
          <t>emulator-5554 / Android 14</t>
        </is>
      </c>
      <c r="K34" s="28" t="inlineStr">
        <is>
          <t>Claude (adb)</t>
        </is>
      </c>
      <c r="L34" s="40" t="n">
        <v>46299</v>
      </c>
      <c r="M34" s="28" t="inlineStr">
        <is>
          <t>Verified</t>
        </is>
      </c>
      <c r="N34" s="28" t="n"/>
      <c r="O34" s="28" t="inlineStr">
        <is>
          <t>1.0.0+1 debug (rebuilt 5 Oct 2026)</t>
        </is>
      </c>
      <c r="P34" s="28" t="inlineStr">
        <is>
          <t>Pass</t>
        </is>
      </c>
    </row>
    <row r="35" ht="90" customHeight="1">
      <c r="A35" s="28" t="inlineStr">
        <is>
          <t>DEF-034</t>
        </is>
      </c>
      <c r="B35" s="28" t="inlineStr">
        <is>
          <t>BL-PROF-017</t>
        </is>
      </c>
      <c r="C35" s="28" t="inlineStr">
        <is>
          <t>Resend timer after a wrong code</t>
        </is>
      </c>
      <c r="D35" s="28" t="inlineStr">
        <is>
          <t>Medium</t>
        </is>
      </c>
      <c r="E35" s="28" t="inlineStr">
        <is>
          <t>Profile &amp; account</t>
        </is>
      </c>
      <c r="F35" s="28" t="inlineStr">
        <is>
          <t>1. Wait for 'Resend code' to become available
2. Enter a wrong code</t>
        </is>
      </c>
      <c r="G35" s="28" t="inlineStr">
        <is>
          <t>'Resend code' should stay available. The code restarts the full 'Resend in' countdown and clears the box after every failed attempt.</t>
        </is>
      </c>
      <c r="H35" s="28" t="inlineStr">
        <is>
          <t>On step 2 'Resend code' had become available (30 s elapsed); after one wrong code the control reverted to 'Resend in 00:27' and the code box was cleared — and again after the next wrong code. Each failed attempt restarts the full resend countdown.</t>
        </is>
      </c>
      <c r="I35" s="28" t="inlineStr">
        <is>
          <t>1.0.0+1 debug</t>
        </is>
      </c>
      <c r="J35" s="28" t="inlineStr">
        <is>
          <t>emulator-5554 / Android 14</t>
        </is>
      </c>
      <c r="K35" s="28" t="inlineStr">
        <is>
          <t>Claude (adb)</t>
        </is>
      </c>
      <c r="L35" s="40" t="n">
        <v>46299</v>
      </c>
      <c r="M35" s="28" t="inlineStr">
        <is>
          <t>Verified</t>
        </is>
      </c>
      <c r="N35" s="28" t="n"/>
      <c r="O35" s="28" t="inlineStr">
        <is>
          <t>1.0.0+1 debug (rebuilt 5 Oct 2026)</t>
        </is>
      </c>
      <c r="P35" s="28" t="inlineStr">
        <is>
          <t>Pass</t>
        </is>
      </c>
    </row>
    <row r="36" ht="90" customHeight="1">
      <c r="A36" s="28" t="inlineStr">
        <is>
          <t>DEF-035</t>
        </is>
      </c>
      <c r="B36" s="28" t="inlineStr">
        <is>
          <t>BL-PROF-020</t>
        </is>
      </c>
      <c r="C36" s="28" t="inlineStr">
        <is>
          <t>Alternate number equal to the main number</t>
        </is>
      </c>
      <c r="D36" s="28" t="inlineStr">
        <is>
          <t>Low</t>
        </is>
      </c>
      <c r="E36" s="28" t="inlineStr">
        <is>
          <t>Profile &amp; account</t>
        </is>
      </c>
      <c r="F36" s="28" t="inlineStr">
        <is>
          <t>Enter your own sign-in number as the alternate</t>
        </is>
      </c>
      <c r="G36" s="28" t="inlineStr">
        <is>
          <t>Should be refused. The app has no check of its own; see whether the server refuses it.</t>
        </is>
      </c>
      <c r="H36" s="28" t="inlineStr">
        <is>
          <t>Entering the account's own sign-in number as the alternate number: the server refuses it (nothing saved), but the sheet closes and the only feedback is the toast 'Please check the highlighted fields and try again.' — no field is highlighted (the sheet is gone) and the reason is never shown.</t>
        </is>
      </c>
      <c r="I36" s="28" t="inlineStr">
        <is>
          <t>1.0.0+1 debug</t>
        </is>
      </c>
      <c r="J36" s="28" t="inlineStr">
        <is>
          <t>emulator-5554 / Android 14</t>
        </is>
      </c>
      <c r="K36" s="28" t="inlineStr">
        <is>
          <t>Claude (adb)</t>
        </is>
      </c>
      <c r="L36" s="40" t="n">
        <v>46299</v>
      </c>
      <c r="M36" s="28" t="inlineStr">
        <is>
          <t>Verified</t>
        </is>
      </c>
      <c r="N36" s="28" t="n"/>
      <c r="O36" s="28" t="inlineStr">
        <is>
          <t>1.0.0+1 debug (rebuilt 5 Oct 2026)</t>
        </is>
      </c>
      <c r="P36" s="28" t="inlineStr">
        <is>
          <t>Pass</t>
        </is>
      </c>
    </row>
    <row r="37" ht="90" customHeight="1">
      <c r="A37" s="28" t="inlineStr">
        <is>
          <t>DEF-036</t>
        </is>
      </c>
      <c r="B37" s="28" t="inlineStr">
        <is>
          <t>BL-PROF-024</t>
        </is>
      </c>
      <c r="C37" s="28" t="inlineStr">
        <is>
          <t>Editing keeps data the form does not show</t>
        </is>
      </c>
      <c r="D37" s="28" t="inlineStr">
        <is>
          <t>Medium</t>
        </is>
      </c>
      <c r="E37" s="28" t="inlineStr">
        <is>
          <t>Profile &amp; account</t>
        </is>
      </c>
      <c r="F37" s="28" t="inlineStr">
        <is>
          <t>1. Use an address that has a contact number or a custom label (set via the backend)
2. Edit any field and save</t>
        </is>
      </c>
      <c r="G37" s="28" t="inlineStr">
        <is>
          <t>Contact number and label should be kept. The code sends an empty phone on every save and replaces an unknown label with 'Other'.</t>
        </is>
      </c>
      <c r="H37" s="28" t="inlineStr">
        <is>
          <t>Address created by another client with label 'Beach house' and contact +919812300000 (shown on the card as 'Contact: +919812300000'). Opened Edit, changed only the city, saved ('Beach house updated'): the server now has label 'Other' and phone null — the custom label and the contact number were wiped by an edit that never showed them.</t>
        </is>
      </c>
      <c r="I37" s="28" t="inlineStr">
        <is>
          <t>1.0.0+1 debug</t>
        </is>
      </c>
      <c r="J37" s="28" t="inlineStr">
        <is>
          <t>emulator-5554 / Android 14</t>
        </is>
      </c>
      <c r="K37" s="28" t="inlineStr">
        <is>
          <t>Claude (adb)</t>
        </is>
      </c>
      <c r="L37" s="40" t="n">
        <v>46299</v>
      </c>
      <c r="M37" s="28" t="inlineStr">
        <is>
          <t>Verified</t>
        </is>
      </c>
      <c r="N37" s="28" t="n"/>
      <c r="O37" s="28" t="inlineStr">
        <is>
          <t>1.0.0+1 debug (rebuilt 5 Oct 2026)</t>
        </is>
      </c>
      <c r="P37" s="28" t="inlineStr">
        <is>
          <t>Pass</t>
        </is>
      </c>
    </row>
    <row r="38" ht="90" customHeight="1">
      <c r="A38" s="28" t="inlineStr">
        <is>
          <t>DEF-037</t>
        </is>
      </c>
      <c r="B38" s="28" t="inlineStr">
        <is>
          <t>BL-FAM-013</t>
        </is>
      </c>
      <c r="C38" s="28" t="inlineStr">
        <is>
          <t>Changing the number after sending a code</t>
        </is>
      </c>
      <c r="D38" s="28" t="inlineStr">
        <is>
          <t>Medium</t>
        </is>
      </c>
      <c r="E38" s="28" t="inlineStr">
        <is>
          <t>Family members</t>
        </is>
      </c>
      <c r="F38" s="28" t="inlineStr">
        <is>
          <t>1. Send a code to number A
2. Tap 'Change number'
3. Send to number B</t>
        </is>
      </c>
      <c r="G38" s="28" t="inlineStr">
        <is>
          <t>A code should go to B. The code reuses the same request key, so the second send may be refused ('already being processed').</t>
        </is>
      </c>
      <c r="H38" s="28" t="inlineStr">
        <is>
          <t>Release sheet for Tara: code sent to 9123456795 ('We sent a 4-digit code to +91******95'), tapped 'Change number', entered 9123456796 and tapped Send Code: 'That request is already being processed. Please wait a moment.' — a code cannot be sent to a corrected number.</t>
        </is>
      </c>
      <c r="I38" s="28" t="inlineStr">
        <is>
          <t>1.0.0+1 debug</t>
        </is>
      </c>
      <c r="J38" s="28" t="inlineStr">
        <is>
          <t>emulator-5554 / Android 14</t>
        </is>
      </c>
      <c r="K38" s="28" t="inlineStr">
        <is>
          <t>Claude (adb)</t>
        </is>
      </c>
      <c r="L38" s="40" t="n">
        <v>46299</v>
      </c>
      <c r="M38" s="28" t="inlineStr">
        <is>
          <t>Verified</t>
        </is>
      </c>
      <c r="N38" s="28" t="n"/>
      <c r="O38" s="28" t="inlineStr">
        <is>
          <t>1.0.0+1 debug (rebuilt 5 Oct 2026)</t>
        </is>
      </c>
      <c r="P38" s="28" t="inlineStr">
        <is>
          <t>Pass</t>
        </is>
      </c>
    </row>
    <row r="39" ht="90" customHeight="1">
      <c r="A39" s="28" t="inlineStr">
        <is>
          <t>DEF-038</t>
        </is>
      </c>
      <c r="B39" s="28" t="inlineStr">
        <is>
          <t>BL-INS-006</t>
        </is>
      </c>
      <c r="C39" s="28" t="inlineStr">
        <is>
          <t>Editing a policy</t>
        </is>
      </c>
      <c r="D39" s="28" t="inlineStr">
        <is>
          <t>Medium</t>
        </is>
      </c>
      <c r="E39" s="28" t="inlineStr">
        <is>
          <t>Insurance</t>
        </is>
      </c>
      <c r="F39" s="28" t="inlineStr">
        <is>
          <t>Look for an edit action on a saved policy</t>
        </is>
      </c>
      <c r="G39" s="28" t="inlineStr">
        <is>
          <t>Confirm with the owner: there is no edit screen, yet the renewal prompt says 'then update the dates here'.</t>
        </is>
      </c>
      <c r="H39" s="28" t="inlineStr">
        <is>
          <t>The renewal banner says 'Renew with your insurer directly, then update the dates here.', but a saved policy has no edit action — the detail screen offers only document attach and 'Remove Policy'. Dates can only be 'updated' by deleting and re-adding the policy.</t>
        </is>
      </c>
      <c r="I39" s="28" t="inlineStr">
        <is>
          <t>1.0.0+1 debug</t>
        </is>
      </c>
      <c r="J39" s="28" t="inlineStr">
        <is>
          <t>emulator-5554 / Android 14</t>
        </is>
      </c>
      <c r="K39" s="28" t="inlineStr">
        <is>
          <t>Claude (adb)</t>
        </is>
      </c>
      <c r="L39" s="40" t="n">
        <v>46299</v>
      </c>
      <c r="M39" s="28" t="inlineStr">
        <is>
          <t>Verified</t>
        </is>
      </c>
      <c r="N39" s="28" t="n"/>
      <c r="O39" s="28" t="inlineStr">
        <is>
          <t>1.0.0+1 debug (rebuilt 5 Oct 2026)</t>
        </is>
      </c>
      <c r="P39" s="28" t="inlineStr">
        <is>
          <t>Pass</t>
        </is>
      </c>
    </row>
    <row r="40" ht="90" customHeight="1">
      <c r="A40" s="28" t="inlineStr">
        <is>
          <t>DEF-039</t>
        </is>
      </c>
      <c r="B40" s="28" t="inlineStr">
        <is>
          <t>BL-SUP-005</t>
        </is>
      </c>
      <c r="C40" s="28" t="inlineStr">
        <is>
          <t>No duplicate ticket after returning from the thread</t>
        </is>
      </c>
      <c r="D40" s="28" t="inlineStr">
        <is>
          <t>High</t>
        </is>
      </c>
      <c r="E40" s="28" t="inlineStr">
        <is>
          <t>Support, legal &amp; ambulance</t>
        </is>
      </c>
      <c r="F40" s="28" t="inlineStr">
        <is>
          <t>1. Raise a request
2. Press Back to the form (fields look empty)
3. Tap Send Request</t>
        </is>
      </c>
      <c r="G40" s="28" t="inlineStr">
        <is>
          <t>Nothing should be sent. The code keeps the previous subject/description internally, so a duplicate ticket may be created.</t>
        </is>
      </c>
      <c r="H40" s="28" t="inlineStr">
        <is>
          <t>After raising TKT-2026-0020 and pressing Back, the form's subject and description boxes are empty; tapping 'Send Request' immediately raised TKT-2026-0021 with the same subject and description (server now has both). A duplicate ticket is created from a visibly empty form.</t>
        </is>
      </c>
      <c r="I40" s="28" t="inlineStr">
        <is>
          <t>1.0.0+1 debug</t>
        </is>
      </c>
      <c r="J40" s="28" t="inlineStr">
        <is>
          <t>emulator-5554 / Android 14</t>
        </is>
      </c>
      <c r="K40" s="28" t="inlineStr">
        <is>
          <t>Claude (adb)</t>
        </is>
      </c>
      <c r="L40" s="40" t="n">
        <v>46299</v>
      </c>
      <c r="M40" s="28" t="inlineStr">
        <is>
          <t>Verified</t>
        </is>
      </c>
      <c r="N40" s="28" t="n"/>
      <c r="O40" s="28" t="inlineStr">
        <is>
          <t>1.0.0+1 debug (rebuilt 5 Oct 2026)</t>
        </is>
      </c>
      <c r="P40" s="28" t="inlineStr">
        <is>
          <t>Pass</t>
        </is>
      </c>
    </row>
    <row r="41" ht="90" customHeight="1">
      <c r="A41" s="28" t="inlineStr">
        <is>
          <t>DEF-040</t>
        </is>
      </c>
      <c r="B41" s="28" t="inlineStr">
        <is>
          <t>BL-SUP-020</t>
        </is>
      </c>
      <c r="C41" s="28" t="inlineStr">
        <is>
          <t>Load failure offers a retry</t>
        </is>
      </c>
      <c r="D41" s="28" t="inlineStr">
        <is>
          <t>High</t>
        </is>
      </c>
      <c r="E41" s="28" t="inlineStr">
        <is>
          <t>Support, legal &amp; ambulance</t>
        </is>
      </c>
      <c r="F41" s="28" t="inlineStr">
        <is>
          <t>Open Emergency offline on a fresh install</t>
        </is>
      </c>
      <c r="G41" s="28" t="inlineStr">
        <is>
          <t>A retry should be offered. The code shows the same 'No operators listed' view as an empty directory, with no retry (108 is shown).</t>
        </is>
      </c>
      <c r="H41" s="28" t="inlineStr">
        <is>
          <t>Ambulance screen opened for the first time in airplane mode: 'You're offline. Showing what was saved on this device.' above 'No operators listed — We could not load the ambulance directory. The national emergency number is 108.' with only 'Contact support' (no retry). After reconnecting, the screen stays that way and pull-to-refresh does not load the directory; the emergency-contact card also says 'No emergency contact saved' although Tara Varma is the primary contact. Only leaving and reopening the screen loads the 3+ operators.</t>
        </is>
      </c>
      <c r="I41" s="28" t="inlineStr">
        <is>
          <t>1.0.0+1 debug</t>
        </is>
      </c>
      <c r="J41" s="28" t="inlineStr">
        <is>
          <t>emulator-5554 / Android 14</t>
        </is>
      </c>
      <c r="K41" s="28" t="inlineStr">
        <is>
          <t>Claude (adb)</t>
        </is>
      </c>
      <c r="L41" s="40" t="n">
        <v>46299</v>
      </c>
      <c r="M41" s="28" t="inlineStr">
        <is>
          <t>Verified</t>
        </is>
      </c>
      <c r="N41" s="28" t="n"/>
      <c r="O41" s="28" t="inlineStr">
        <is>
          <t>1.0.0+1 debug (rebuilt 5 Oct 2026)</t>
        </is>
      </c>
      <c r="P41" s="28" t="inlineStr">
        <is>
          <t>Pass</t>
        </is>
      </c>
    </row>
    <row r="42" ht="90" customHeight="1">
      <c r="A42" s="28" t="inlineStr">
        <is>
          <t>DEF-041</t>
        </is>
      </c>
      <c r="B42" s="28" t="inlineStr">
        <is>
          <t>BL-CORE-007</t>
        </is>
      </c>
      <c r="C42" s="28" t="inlineStr">
        <is>
          <t>Deadlines trust the device clock</t>
        </is>
      </c>
      <c r="D42" s="28" t="inlineStr">
        <is>
          <t>High</t>
        </is>
      </c>
      <c r="E42" s="28" t="inlineStr">
        <is>
          <t>Shared rules: money &amp; time</t>
        </is>
      </c>
      <c r="F42" s="28" t="inlineStr">
        <is>
          <t>1. Set the device clock 10 minutes wrong
2. Watch the payment countdown and the 'Pay within' timer</t>
        </is>
      </c>
      <c r="G42" s="28" t="inlineStr">
        <is>
          <t>Server still enforces the real deadline; check the user is not shown time that does not exist (or an early expiry).</t>
        </is>
      </c>
      <c r="H42" s="28" t="inlineStr">
        <is>
          <t>With a pending booking whose server deadline was about 4 minutes away, the device clock was set 10 minutes fast: the payment screen immediately showed 'The payment window closed — Unpaid bookings are released after 5 minutes. Nothing has been charged.' while the server still held the booking as pending_payment. The countdown and expiry are computed from the device clock, so a phone with a wrong clock cannot pay (and a slow clock would show time that does not exist).</t>
        </is>
      </c>
      <c r="I42" s="28" t="inlineStr">
        <is>
          <t>1.0.0+1 debug</t>
        </is>
      </c>
      <c r="J42" s="28" t="inlineStr">
        <is>
          <t>emulator-5554 / Android 14</t>
        </is>
      </c>
      <c r="K42" s="28" t="inlineStr">
        <is>
          <t>Claude (adb)</t>
        </is>
      </c>
      <c r="L42" s="40" t="n">
        <v>46299</v>
      </c>
      <c r="M42" s="28" t="inlineStr">
        <is>
          <t>Verified</t>
        </is>
      </c>
      <c r="N42" s="28" t="n"/>
      <c r="O42" s="28" t="inlineStr">
        <is>
          <t>1.0.0+1 debug (rebuilt 5 Oct 2026)</t>
        </is>
      </c>
      <c r="P42" s="28" t="inlineStr">
        <is>
          <t>Pass</t>
        </is>
      </c>
    </row>
    <row r="43" ht="90" customHeight="1">
      <c r="A43" s="28" t="inlineStr">
        <is>
          <t>DEF-042</t>
        </is>
      </c>
      <c r="B43" s="28" t="inlineStr">
        <is>
          <t>BL-AUTH-003</t>
        </is>
      </c>
      <c r="C43" s="28" t="inlineStr">
        <is>
          <t>Consent can be accepted without the Terms having loaded</t>
        </is>
      </c>
      <c r="D43" s="28" t="inlineStr">
        <is>
          <t>Medium</t>
        </is>
      </c>
      <c r="E43" s="28" t="inlineStr">
        <is>
          <t>Authentication &amp; session</t>
        </is>
      </c>
      <c r="F43" s="28" t="inlineStr">
        <is>
          <t>1. Go offline
2. Tick the terms box and accept</t>
        </is>
      </c>
      <c r="G43" s="28" t="inlineStr">
        <is>
          <t>The user cannot accept the Terms until the document has loaded.</t>
        </is>
      </c>
      <c r="H43" s="28" t="inlineStr">
        <is>
          <t>Owner decision (4 Oct 2026): NOT acceptable. Observed: in airplane mode the terms box can be ticked and 'Agree and Continue' moves on to sign-in although the Terms could not be loaded (the policy page shows 'We could not load this document'); the device then stores an acceptance with an empty Terms version. Expected: the user must not be able to agree to Terms they could not open — block with a 'connect to the internet to continue' message until the document has loaded.</t>
        </is>
      </c>
      <c r="I43" s="28" t="inlineStr">
        <is>
          <t>1.0.0+1 debug</t>
        </is>
      </c>
      <c r="J43" s="28" t="inlineStr">
        <is>
          <t>emulator-5554 / Android 14</t>
        </is>
      </c>
      <c r="K43" s="28" t="inlineStr">
        <is>
          <t>Claude (adb)</t>
        </is>
      </c>
      <c r="L43" s="40" t="n">
        <v>46299</v>
      </c>
      <c r="M43" s="28" t="inlineStr">
        <is>
          <t>Verified</t>
        </is>
      </c>
      <c r="N43" s="28" t="n"/>
      <c r="O43" s="28" t="inlineStr">
        <is>
          <t>1.0.0+1 debug (rebuilt 4 Oct 2026)</t>
        </is>
      </c>
      <c r="P43" s="28" t="inlineStr">
        <is>
          <t>Pass</t>
        </is>
      </c>
    </row>
    <row r="44" ht="90" customHeight="1">
      <c r="A44" s="28" t="inlineStr">
        <is>
          <t>DEF-043</t>
        </is>
      </c>
      <c r="B44" s="28" t="inlineStr">
        <is>
          <t>BL-AUTH-005</t>
        </is>
      </c>
      <c r="C44" s="28" t="inlineStr">
        <is>
          <t>Intro can be skipped by a deep link</t>
        </is>
      </c>
      <c r="D44" s="28" t="inlineStr">
        <is>
          <t>Medium</t>
        </is>
      </c>
      <c r="E44" s="28" t="inlineStr">
        <is>
          <t>Authentication &amp; session</t>
        </is>
      </c>
      <c r="F44" s="28" t="inlineStr">
        <is>
          <t>1. Fresh install, leave the app open on the intro
2. Open medibook://signup or medibook://login</t>
        </is>
      </c>
      <c r="G44" s="28" t="inlineStr">
        <is>
          <t>A link never skips the intro and consent screen on a device that has not completed them.</t>
        </is>
      </c>
      <c r="H44" s="28" t="inlineStr">
        <is>
          <t>Owner decision (4 Oct 2026): links must never skip the intro. Observed: with the app already open on the intro (not completed), medibook://signup and medibook://login opened Create Account / sign-in directly, skipping the intro and consent screen. A cold-start link already showed the intro.</t>
        </is>
      </c>
      <c r="I44" s="28" t="inlineStr">
        <is>
          <t>1.0.0+1 debug</t>
        </is>
      </c>
      <c r="J44" s="28" t="inlineStr">
        <is>
          <t>emulator-5554 / Android 14</t>
        </is>
      </c>
      <c r="K44" s="28" t="inlineStr">
        <is>
          <t>Claude (adb)</t>
        </is>
      </c>
      <c r="L44" s="40" t="n">
        <v>46299</v>
      </c>
      <c r="M44" s="28" t="inlineStr">
        <is>
          <t>Verified</t>
        </is>
      </c>
      <c r="N44" s="28" t="n"/>
      <c r="O44" s="28" t="inlineStr">
        <is>
          <t>1.0.0+1 debug (rebuilt 4 Oct 2026)</t>
        </is>
      </c>
      <c r="P44" s="28" t="inlineStr">
        <is>
          <t>Pass</t>
        </is>
      </c>
    </row>
    <row r="45" ht="90" customHeight="1">
      <c r="A45" s="28" t="inlineStr">
        <is>
          <t>DEF-044</t>
        </is>
      </c>
      <c r="B45" s="28" t="inlineStr">
        <is>
          <t>BL-AUTH-048</t>
        </is>
      </c>
      <c r="C45" s="28" t="inlineStr">
        <is>
          <t>Two token refreshes at once sign the user out after the access token expires</t>
        </is>
      </c>
      <c r="D45" s="28" t="inlineStr">
        <is>
          <t>Critical</t>
        </is>
      </c>
      <c r="E45" s="28" t="inlineStr">
        <is>
          <t>Authentication &amp; session</t>
        </is>
      </c>
      <c r="F45" s="28" t="inlineStr">
        <is>
          <t>1. Sign in
2. Close the app and wait more than 15 minutes
3. Open the app</t>
        </is>
      </c>
      <c r="G45" s="28" t="inlineStr">
        <is>
          <t>Exactly one refresh call; Home opens and the user stays signed in (contract section 1.4: refresh must be single-flight).</t>
        </is>
      </c>
      <c r="H45" s="28" t="inlineStr">
        <is>
          <t>Opening the app after the access token has expired sends two POST /patient/auth/token/refresh calls about 0.1 s apart: one from the API client after the 401s, one from the inbox WebSocket after its handshake is refused (403). The server answers the second with 401 AUTH_SESSION_REVOKED and revokes the session, so the user lands on the sign-in screen with no message. Seen on 5 Oct 2026 with a call recorder attached and again on the normal build without it; BL-AUTH-047 passed on 4 Oct, so it depends on timing. The inbox socket (notifications_provider.dart:475) and the live queue socket (appointments_provider.dart:561) call refreshSession() directly, outside the API client's single refresh. Also fails BL-AUTH-047.</t>
        </is>
      </c>
      <c r="I45" s="28" t="inlineStr">
        <is>
          <t>1.0.0+1 debug</t>
        </is>
      </c>
      <c r="J45" s="28" t="inlineStr">
        <is>
          <t>emulator-5554 / Android 14</t>
        </is>
      </c>
      <c r="K45" s="28" t="inlineStr">
        <is>
          <t>Claude (adb)</t>
        </is>
      </c>
      <c r="L45" s="40" t="n">
        <v>46300</v>
      </c>
      <c r="M45" s="28" t="inlineStr">
        <is>
          <t>Verified</t>
        </is>
      </c>
      <c r="N45" s="28" t="n"/>
      <c r="O45" s="28" t="inlineStr">
        <is>
          <t>1.0.0+1 debug (rebuilt 5 Oct 2026)</t>
        </is>
      </c>
      <c r="P45" s="28" t="inlineStr">
        <is>
          <t>Pass</t>
        </is>
      </c>
    </row>
    <row r="46" ht="90" customHeight="1">
      <c r="A46" s="28" t="inlineStr">
        <is>
          <t>DEF-045</t>
        </is>
      </c>
      <c r="B46" s="28" t="inlineStr">
        <is>
          <t>BL-AUTH-051</t>
        </is>
      </c>
      <c r="C46" s="28" t="inlineStr">
        <is>
          <t>A failed token refresh signs the user out and wipes the session</t>
        </is>
      </c>
      <c r="D46" s="28" t="inlineStr">
        <is>
          <t>Critical</t>
        </is>
      </c>
      <c r="E46" s="28" t="inlineStr">
        <is>
          <t>Authentication &amp; session</t>
        </is>
      </c>
      <c r="F46" s="28" t="inlineStr">
        <is>
          <t>1. Sign in
2. Let the access token expire
3. Make the refresh call fail without the server refusing it (no signal, timeout, 500 or 429)
4. Open the app</t>
        </is>
      </c>
      <c r="G46" s="28" t="inlineStr">
        <is>
          <t>The user stays signed in and sees an offline / try-again message; only a refresh the server refuses ends the session.</t>
        </is>
      </c>
      <c r="H46" s="28" t="inlineStr">
        <is>
          <t>Opening the app with an expired access token while POST /patient/auth/token/refresh answered 500: the app went to the sign-in screen and the stored session was cleared. The API client treated every refresh failure as a lost session (lib/core/network/api_client.dart, _refreshOnce).</t>
        </is>
      </c>
      <c r="I46" s="28" t="inlineStr">
        <is>
          <t>1.0.0+1 debug</t>
        </is>
      </c>
      <c r="J46" s="28" t="inlineStr">
        <is>
          <t>emulator-5554 / Android 14</t>
        </is>
      </c>
      <c r="K46" s="28" t="inlineStr">
        <is>
          <t>Claude (adb)</t>
        </is>
      </c>
      <c r="L46" s="40" t="n">
        <v>46300</v>
      </c>
      <c r="M46" s="28" t="inlineStr">
        <is>
          <t>Verified</t>
        </is>
      </c>
      <c r="N46" s="28" t="n"/>
      <c r="O46" s="28" t="inlineStr">
        <is>
          <t>1.0.0+1 debug (rebuilt 5 Oct 2026)</t>
        </is>
      </c>
      <c r="P46" s="28" t="inlineStr">
        <is>
          <t>Pass</t>
        </is>
      </c>
    </row>
    <row r="47" ht="90" customHeight="1">
      <c r="A47" s="28" t="inlineStr">
        <is>
          <t>DEF-046</t>
        </is>
      </c>
      <c r="B47" s="28" t="inlineStr">
        <is>
          <t>BL-BOOK-030</t>
        </is>
      </c>
      <c r="C47" s="28" t="inlineStr">
        <is>
          <t>Booking notes and search boxes drop what is typed</t>
        </is>
      </c>
      <c r="D47" s="28" t="inlineStr">
        <is>
          <t>High</t>
        </is>
      </c>
      <c r="E47" s="28" t="inlineStr">
        <is>
          <t>Booking</t>
        </is>
      </c>
      <c r="F47" s="28" t="inlineStr">
        <is>
          <t>1. Start a booking and reach the Patient step
2. Tap Notes for the doctor and type 'chest pain'
3. Do the same in the doctor search and the department search</t>
        </is>
      </c>
      <c r="G47" s="28" t="inlineStr">
        <is>
          <t>The text stays as typed, spaces included, and the keyboard stays open.</t>
        </is>
      </c>
      <c r="H47" s="28" t="inlineStr">
        <is>
          <t>After the first character the box lost the keyboard, so the rest of the text went nowhere ('chest pain' left 'c'; 'harish' in the doctor search left 'h'). In the notes box a space was also removed the moment it was typed, so words ran together ('chestpain'). Cause: the three boxes built a new text controller from the stored (trimmed) value on every rebuild and changed their key when the value stopped being empty (lib/features/booking/presentation/screen/booking_screen.dart). This is what the 4 Oct run recorded as a tooling limit.</t>
        </is>
      </c>
      <c r="I47" s="28" t="inlineStr">
        <is>
          <t>1.0.0+1 debug</t>
        </is>
      </c>
      <c r="J47" s="28" t="inlineStr">
        <is>
          <t>emulator-5554 / Android 14</t>
        </is>
      </c>
      <c r="K47" s="28" t="inlineStr">
        <is>
          <t>Claude (adb)</t>
        </is>
      </c>
      <c r="L47" s="40" t="n">
        <v>46300</v>
      </c>
      <c r="M47" s="28" t="inlineStr">
        <is>
          <t>Verified</t>
        </is>
      </c>
      <c r="N47" s="28" t="n"/>
      <c r="O47" s="28" t="inlineStr">
        <is>
          <t>1.0.0+1 debug (rebuilt 5 Oct 2026)</t>
        </is>
      </c>
      <c r="P47" s="28" t="inlineStr">
        <is>
          <t>Pass</t>
        </is>
      </c>
    </row>
    <row r="48" ht="90" customHeight="1">
      <c r="A48" s="28" t="inlineStr">
        <is>
          <t>DEF-047</t>
        </is>
      </c>
      <c r="B48" s="28" t="inlineStr">
        <is>
          <t>BL-BOOK-035</t>
        </is>
      </c>
      <c r="C48" s="28" t="inlineStr">
        <is>
          <t>A price that differs from the confirmed quote is charged without a clear warning</t>
        </is>
      </c>
      <c r="D48" s="28" t="inlineStr">
        <is>
          <t>High</t>
        </is>
      </c>
      <c r="E48" s="28" t="inlineStr">
        <is>
          <t>Booking</t>
        </is>
      </c>
      <c r="F48" s="28" t="inlineStr">
        <is>
          <t>1. Book a slot whose price for that date differs from the fee quote
2. Compare the step 4 total with the payment screen total
3. Tap Pay</t>
        </is>
      </c>
      <c r="G48" s="28" t="inlineStr">
        <is>
          <t>The patient is told the price changed and agrees to the new amount before any payment starts.</t>
        </is>
      </c>
      <c r="H48" s="28" t="inlineStr">
        <is>
          <t>Owner decision (5 Oct 2026): not acceptable. The payment screen charged the booking's own fee, which can differ from the step 4 quote, with only the small line 'Priced for &lt;date&gt; by the hospital.' and no comparison with what the patient had just been shown.</t>
        </is>
      </c>
      <c r="I48" s="28" t="inlineStr">
        <is>
          <t>1.0.0+1 debug</t>
        </is>
      </c>
      <c r="J48" s="28" t="inlineStr">
        <is>
          <t>emulator-5554 / Android 14</t>
        </is>
      </c>
      <c r="K48" s="28" t="inlineStr">
        <is>
          <t>Claude (adb)</t>
        </is>
      </c>
      <c r="L48" s="40" t="n">
        <v>46300</v>
      </c>
      <c r="M48" s="28" t="inlineStr">
        <is>
          <t>Verified</t>
        </is>
      </c>
      <c r="N48" s="28" t="n"/>
      <c r="O48" s="28" t="inlineStr">
        <is>
          <t>1.0.0+1 debug (rebuilt 5 Oct 2026)</t>
        </is>
      </c>
      <c r="P48" s="28" t="inlineStr">
        <is>
          <t>Pass</t>
        </is>
      </c>
    </row>
    <row r="49" ht="90" customHeight="1">
      <c r="A49" s="28" t="inlineStr">
        <is>
          <t>DEF-048</t>
        </is>
      </c>
      <c r="B49" s="28" t="inlineStr">
        <is>
          <t>BL-BOOK-047</t>
        </is>
      </c>
      <c r="C49" s="28" t="inlineStr">
        <is>
          <t>'Try Again' on a failed booking does not retry</t>
        </is>
      </c>
      <c r="D49" s="28" t="inlineStr">
        <is>
          <t>Low</t>
        </is>
      </c>
      <c r="E49" s="28" t="inlineStr">
        <is>
          <t>Booking</t>
        </is>
      </c>
      <c r="F49" s="28" t="inlineStr">
        <is>
          <t>1. Reach the confirmation step of a booking
2. Tap Pay while offline
3. Tap the inline Try Again</t>
        </is>
      </c>
      <c r="G49" s="28" t="inlineStr">
        <is>
          <t>Try Again sends the booking again, the same as tapping Pay.</t>
        </is>
      </c>
      <c r="H49" s="28" t="inlineStr">
        <is>
          <t>Owner decision (5 Oct 2026): it must really retry. Tapping Try Again only removed the 'You appear to be offline…' message; nothing was re-sent and the user had to tap Pay again.</t>
        </is>
      </c>
      <c r="I49" s="28" t="inlineStr">
        <is>
          <t>1.0.0+1 debug</t>
        </is>
      </c>
      <c r="J49" s="28" t="inlineStr">
        <is>
          <t>emulator-5554 / Android 14</t>
        </is>
      </c>
      <c r="K49" s="28" t="inlineStr">
        <is>
          <t>Claude (adb)</t>
        </is>
      </c>
      <c r="L49" s="40" t="n">
        <v>46300</v>
      </c>
      <c r="M49" s="28" t="inlineStr">
        <is>
          <t>Verified</t>
        </is>
      </c>
      <c r="N49" s="28" t="n"/>
      <c r="O49" s="28" t="inlineStr">
        <is>
          <t>1.0.0+1 debug (rebuilt 5 Oct 2026)</t>
        </is>
      </c>
      <c r="P49" s="28" t="inlineStr">
        <is>
          <t>Pass</t>
        </is>
      </c>
    </row>
    <row r="50" ht="90" customHeight="1">
      <c r="A50" s="28" t="inlineStr">
        <is>
          <t>DEF-049</t>
        </is>
      </c>
      <c r="B50" s="28" t="inlineStr">
        <is>
          <t>BL-PAY-029</t>
        </is>
      </c>
      <c r="C50" s="28" t="inlineStr">
        <is>
          <t>The token-card success screen cannot be reached</t>
        </is>
      </c>
      <c r="D50" s="28" t="inlineStr">
        <is>
          <t>Low</t>
        </is>
      </c>
      <c r="E50" s="28" t="inlineStr">
        <is>
          <t>Payment</t>
        </is>
      </c>
      <c r="F50" s="28" t="inlineStr">
        <is>
          <t>1. Complete a booking and note which confirmation screen appears
2. Look for a way to open the token card from the payment result or the appointment</t>
        </is>
      </c>
      <c r="G50" s="28" t="inlineStr">
        <is>
          <t>The token card opens from a 'View token' button on the payment result screen and on the appointment (owner decision, 5 Oct 2026).</t>
        </is>
      </c>
      <c r="H50" s="28" t="inlineStr">
        <is>
          <t>Nothing in the app navigated to the token-card screen (/success) and medibook://success?appt=&lt;id&gt; showed 'Page not found', so a finished screen was unreachable.</t>
        </is>
      </c>
      <c r="I50" s="28" t="inlineStr">
        <is>
          <t>1.0.0+1 debug</t>
        </is>
      </c>
      <c r="J50" s="28" t="inlineStr">
        <is>
          <t>emulator-5554 / Android 14</t>
        </is>
      </c>
      <c r="K50" s="28" t="inlineStr">
        <is>
          <t>Claude (adb)</t>
        </is>
      </c>
      <c r="L50" s="40" t="n">
        <v>46300</v>
      </c>
      <c r="M50" s="28" t="inlineStr">
        <is>
          <t>Fixed</t>
        </is>
      </c>
      <c r="N50" s="28" t="n"/>
      <c r="O50" s="28" t="inlineStr">
        <is>
          <t>1.0.0+1 debug (rebuilt 5 Oct 2026)</t>
        </is>
      </c>
      <c r="P50" s="28" t="n"/>
    </row>
    <row r="51" ht="90" customHeight="1">
      <c r="A51" s="28" t="inlineStr">
        <is>
          <t>DEF-050</t>
        </is>
      </c>
      <c r="B51" s="28" t="inlineStr">
        <is>
          <t>BL-APPT-032</t>
        </is>
      </c>
      <c r="C51" s="28" t="inlineStr">
        <is>
          <t>Live queue is offered on an unpaid booking</t>
        </is>
      </c>
      <c r="D51" s="28" t="inlineStr">
        <is>
          <t>Low</t>
        </is>
      </c>
      <c r="E51" s="28" t="inlineStr">
        <is>
          <t>Appointments</t>
        </is>
      </c>
      <c r="F51" s="28" t="inlineStr">
        <is>
          <t>1. Create a booking and do not pay
2. Open its Appointment Details</t>
        </is>
      </c>
      <c r="G51" s="28" t="inlineStr">
        <is>
          <t>No Live queue row on an unpaid booking; bookings awaiting confirmation and confirmed bookings keep it (owner decision, 5 Oct 2026).</t>
        </is>
      </c>
      <c r="H51" s="28" t="inlineStr">
        <is>
          <t>A pending-payment booking showed the 'Live queue' row, and the queue opened with 'The desk has not opened yet'. The row was shown for every upcoming status.</t>
        </is>
      </c>
      <c r="I51" s="28" t="inlineStr">
        <is>
          <t>1.0.0+1 debug</t>
        </is>
      </c>
      <c r="J51" s="28" t="inlineStr">
        <is>
          <t>emulator-5554 / Android 14</t>
        </is>
      </c>
      <c r="K51" s="28" t="inlineStr">
        <is>
          <t>Claude (adb)</t>
        </is>
      </c>
      <c r="L51" s="40" t="n">
        <v>46300</v>
      </c>
      <c r="M51" s="28" t="inlineStr">
        <is>
          <t>Verified</t>
        </is>
      </c>
      <c r="N51" s="28" t="n"/>
      <c r="O51" s="28" t="inlineStr">
        <is>
          <t>1.0.0+1 debug (rebuilt 5 Oct 2026)</t>
        </is>
      </c>
      <c r="P51" s="28" t="inlineStr">
        <is>
          <t>Pass</t>
        </is>
      </c>
    </row>
    <row r="52" ht="90" customHeight="1">
      <c r="A52" s="28" t="inlineStr">
        <is>
          <t>DEF-051</t>
        </is>
      </c>
      <c r="B52" s="28" t="inlineStr">
        <is>
          <t>BL-APPT-049</t>
        </is>
      </c>
      <c r="C52" s="28" t="inlineStr">
        <is>
          <t>Appointment screen is not refreshed after the server refuses a cancel</t>
        </is>
      </c>
      <c r="D52" s="28" t="inlineStr">
        <is>
          <t>Medium</t>
        </is>
      </c>
      <c r="E52" s="28" t="inlineStr">
        <is>
          <t>Appointments</t>
        </is>
      </c>
      <c r="F52" s="28" t="inlineStr">
        <is>
          <t>1. Open an upcoming appointment
2. Have the server refuse the cancel with a 409 (token called, cancelled elsewhere)
3. Stay on the screen</t>
        </is>
      </c>
      <c r="G52" s="28" t="inlineStr">
        <is>
          <t>The screen re-reads the booking, so the status and the Cancel button reflect what the server now says.</t>
        </is>
      </c>
      <c r="H52" s="28" t="inlineStr">
        <is>
          <t>After a 409 on cancel the app showed the toast but did not re-fetch the appointment, leaving a status and a Cancel button that could be out of date.</t>
        </is>
      </c>
      <c r="I52" s="28" t="inlineStr">
        <is>
          <t>1.0.0+1 debug</t>
        </is>
      </c>
      <c r="J52" s="28" t="inlineStr">
        <is>
          <t>emulator-5554 / Android 14</t>
        </is>
      </c>
      <c r="K52" s="28" t="inlineStr">
        <is>
          <t>Claude (adb)</t>
        </is>
      </c>
      <c r="L52" s="40" t="n">
        <v>46300</v>
      </c>
      <c r="M52" s="28" t="inlineStr">
        <is>
          <t>Verified</t>
        </is>
      </c>
      <c r="N52" s="28" t="n"/>
      <c r="O52" s="28" t="inlineStr">
        <is>
          <t>1.0.0+1 debug (rebuilt 5 Oct 2026)</t>
        </is>
      </c>
      <c r="P52" s="28" t="inlineStr">
        <is>
          <t>Pass</t>
        </is>
      </c>
    </row>
    <row r="53" ht="90" customHeight="1">
      <c r="A53" s="28" t="inlineStr">
        <is>
          <t>DEF-052</t>
        </is>
      </c>
      <c r="B53" s="28" t="inlineStr">
        <is>
          <t>BL-APPT-048</t>
        </is>
      </c>
      <c r="C53" s="28" t="inlineStr">
        <is>
          <t>Toast text is drawn with a yellow double underline</t>
        </is>
      </c>
      <c r="D53" s="28" t="inlineStr">
        <is>
          <t>Medium</t>
        </is>
      </c>
      <c r="E53" s="28" t="inlineStr">
        <is>
          <t>Shared (toast)</t>
        </is>
      </c>
      <c r="F53" s="28" t="inlineStr">
        <is>
          <t>1. Do anything that shows a toast, for example cancel an appointment
2. Look at the toast text</t>
        </is>
      </c>
      <c r="G53" s="28" t="inlineStr">
        <is>
          <t>Plain white text on the dark pill.</t>
        </is>
      </c>
      <c r="H53" s="28" t="inlineStr">
        <is>
          <t>Every toast showed its text with a yellow double underline. The toast host is mounted above the pages (MaterialApp.builder), where no Material supplies a text style, so the text fell back to Flutter's unstyled look. Found in the captures taken for BL-APPT-048. Fixed in lib/core/widgets/toast/toast_host.dart; retest: 'Appointment cancelled.' shows as plain white text. Test added: test/widgets/toast_host_test.dart.</t>
        </is>
      </c>
      <c r="I53" s="28" t="inlineStr">
        <is>
          <t>1.0.0+1 debug</t>
        </is>
      </c>
      <c r="J53" s="28" t="inlineStr">
        <is>
          <t>emulator-5554 / Android 14</t>
        </is>
      </c>
      <c r="K53" s="28" t="inlineStr">
        <is>
          <t>Claude (adb)</t>
        </is>
      </c>
      <c r="L53" s="40" t="n">
        <v>46300</v>
      </c>
      <c r="M53" s="28" t="inlineStr">
        <is>
          <t>Verified</t>
        </is>
      </c>
      <c r="N53" s="28" t="n"/>
      <c r="O53" s="28" t="inlineStr">
        <is>
          <t>1.0.0+1 debug (rebuilt 5 Oct 2026)</t>
        </is>
      </c>
      <c r="P53" s="28" t="inlineStr">
        <is>
          <t>Pass</t>
        </is>
      </c>
    </row>
    <row r="54" ht="90" customHeight="1">
      <c r="A54" s="28" t="inlineStr">
        <is>
          <t>DEF-053</t>
        </is>
      </c>
      <c r="B54" s="28" t="inlineStr">
        <is>
          <t>BL-APPT-049</t>
        </is>
      </c>
      <c r="C54" s="28" t="inlineStr">
        <is>
          <t>A new booking does not appear in Upcoming until pull to refresh</t>
        </is>
      </c>
      <c r="D54" s="28" t="inlineStr">
        <is>
          <t>High</t>
        </is>
      </c>
      <c r="E54" s="28" t="inlineStr">
        <is>
          <t>Appointments</t>
        </is>
      </c>
      <c r="F54" s="28" t="inlineStr">
        <is>
          <t>1. Open the Appointments tab
2. Go to Home and create a booking
3. Return to the Appointments tab</t>
        </is>
      </c>
      <c r="G54" s="28" t="inlineStr">
        <is>
          <t>The new booking is listed without the patient having to pull to refresh.</t>
        </is>
      </c>
      <c r="H54" s="28" t="inlineStr">
        <is>
          <t>With the tab already opened earlier in the session, Upcoming still said '0 visits - Nothing here yet' after a booking was created; it appeared only after a pull to refresh. The tab's screen stays built in the background and kept its old list. Owner instruction (5 Oct 2026): read the data again whenever the screen is navigated to. Fixed: the router reports each arrival at a tab's screen (lib/app/router/tab_visits.dart, app_router.dart) and the Appointments screen re-reads its list on it. Retest: same steps, booking LKSB-2610-00200 showed as '1 visit' on arriving. Test added in test/app/sign_in_routing_test.dart.</t>
        </is>
      </c>
      <c r="I54" s="28" t="inlineStr">
        <is>
          <t>1.0.0+1 debug</t>
        </is>
      </c>
      <c r="J54" s="28" t="inlineStr">
        <is>
          <t>emulator-5554 / Android 14</t>
        </is>
      </c>
      <c r="K54" s="28" t="inlineStr">
        <is>
          <t>Claude (adb)</t>
        </is>
      </c>
      <c r="L54" s="40" t="n">
        <v>46300</v>
      </c>
      <c r="M54" s="28" t="inlineStr">
        <is>
          <t>Verified</t>
        </is>
      </c>
      <c r="N54" s="28" t="n"/>
      <c r="O54" s="28" t="inlineStr">
        <is>
          <t>1.0.0+1 debug (rebuilt 5 Oct 2026)</t>
        </is>
      </c>
      <c r="P54" s="28" t="inlineStr">
        <is>
          <t>Pass</t>
        </is>
      </c>
    </row>
    <row r="55" ht="90" customHeight="1">
      <c r="A55" s="28" t="inlineStr">
        <is>
          <t>DEF-054</t>
        </is>
      </c>
      <c r="B55" s="28" t="inlineStr">
        <is>
          <t>BL-CACHE-001</t>
        </is>
      </c>
      <c r="C55" s="28" t="inlineStr">
        <is>
          <t>Screens keep old data when navigated back to</t>
        </is>
      </c>
      <c r="D55" s="28" t="inlineStr">
        <is>
          <t>High</t>
        </is>
      </c>
      <c r="E55" s="28" t="inlineStr">
        <is>
          <t>Cache, offline &amp; pagination</t>
        </is>
      </c>
      <c r="F55" s="28" t="inlineStr">
        <is>
          <t>1. Open a tab or a list
2. Go to another screen and change something there, or wait for a change on the server
3. Return to the first screen</t>
        </is>
      </c>
      <c r="G55" s="28" t="inlineStr">
        <is>
          <t>Owner instruction (5 Oct 2026): every screen calls its endpoints again when it is navigated to, so the latest data shows without a pull to refresh.</t>
        </is>
      </c>
      <c r="H55" s="28" t="inlineStr">
        <is>
          <t>Screens that stay built under another screen (the four tabs, a list under its detail) kept what they first loaded, and a screen reopened within 12 hours was answered from memory with no call. Fixed with one mechanism: the router tells the cache about every arrival (a saved copy is still shown at once, then re-checked - a 304 when unchanged), and screens re-read themselves when navigated back to (RouteArrival, built into the pull-to-refresh widget; 19 screens that way and 12 read-only screens wired directly). Not applied to forms, sign-in screens, sheets and the two payment screens. Retest through the recorder: returning to Home, Appointments, Records and Profile re-reads each; back from a hospital page re-reads the list; reopening the same hospital sends conditional requests (304). Home's refresh was also missing its hospitals list and token card; both added.</t>
        </is>
      </c>
      <c r="I55" s="28" t="inlineStr">
        <is>
          <t>1.0.0+1 debug</t>
        </is>
      </c>
      <c r="J55" s="28" t="inlineStr">
        <is>
          <t>emulator-5554 / Android 14</t>
        </is>
      </c>
      <c r="K55" s="28" t="inlineStr">
        <is>
          <t>Claude (adb)</t>
        </is>
      </c>
      <c r="L55" s="40" t="n">
        <v>46300</v>
      </c>
      <c r="M55" s="28" t="inlineStr">
        <is>
          <t>Verified</t>
        </is>
      </c>
      <c r="N55" s="28" t="n"/>
      <c r="O55" s="28" t="inlineStr">
        <is>
          <t>1.0.0+1 debug (rebuilt 5 Oct 2026)</t>
        </is>
      </c>
      <c r="P55" s="28" t="inlineStr">
        <is>
          <t>Pass</t>
        </is>
      </c>
    </row>
    <row r="56" ht="90" customHeight="1">
      <c r="A56" s="28" t="inlineStr">
        <is>
          <t>DEF-055</t>
        </is>
      </c>
      <c r="B56" s="28" t="inlineStr">
        <is>
          <t>BL-APPT-058</t>
        </is>
      </c>
      <c r="C56" s="28" t="inlineStr">
        <is>
          <t>A second receipt action shows a false error</t>
        </is>
      </c>
      <c r="D56" s="28" t="inlineStr">
        <is>
          <t>Low</t>
        </is>
      </c>
      <c r="E56" s="28" t="inlineStr">
        <is>
          <t>Appointments</t>
        </is>
      </c>
      <c r="F56" s="28" t="inlineStr">
        <is>
          <t>1. Open a receipt
2. Tap Download PDF and immediately tap Add to calendar</t>
        </is>
      </c>
      <c r="G56" s="28" t="inlineStr">
        <is>
          <t>No error: the second tap is simply ignored while the first action is running.</t>
        </is>
      </c>
      <c r="H56" s="28" t="inlineStr">
        <is>
          <t>The second action was refused by the controller and its button reported the refusal as a failure - 'Could not download the calendar file.' or 'Could not fetch the PDF.' Found by reading the code; not reproducible by hand.</t>
        </is>
      </c>
      <c r="I56" s="28" t="inlineStr">
        <is>
          <t>1.0.0+1 debug</t>
        </is>
      </c>
      <c r="J56" s="28" t="inlineStr">
        <is>
          <t>emulator-5554 / Android 14</t>
        </is>
      </c>
      <c r="K56" s="28" t="inlineStr">
        <is>
          <t>Claude (adb)</t>
        </is>
      </c>
      <c r="L56" s="40" t="n">
        <v>46300</v>
      </c>
      <c r="M56" s="28" t="inlineStr">
        <is>
          <t>Fixed</t>
        </is>
      </c>
      <c r="N56" s="28" t="n"/>
      <c r="O56" s="28" t="inlineStr">
        <is>
          <t>1.0.0+1 debug (rebuilt 5 Oct 2026)</t>
        </is>
      </c>
      <c r="P56" s="28" t="n"/>
    </row>
    <row r="57" ht="90" customHeight="1">
      <c r="A57" s="28" t="inlineStr">
        <is>
          <t>DEF-056</t>
        </is>
      </c>
      <c r="B57" s="28" t="inlineStr">
        <is>
          <t>BL-QUEUE-015</t>
        </is>
      </c>
      <c r="C57" s="28" t="inlineStr">
        <is>
          <t>A refused live connection refreshes the session on every retry</t>
        </is>
      </c>
      <c r="D57" s="28" t="inlineStr">
        <is>
          <t>Low</t>
        </is>
      </c>
      <c r="E57" s="28" t="inlineStr">
        <is>
          <t>Live queue</t>
        </is>
      </c>
      <c r="F57" s="28" t="inlineStr">
        <is>
          <t>1. Open the live queue for an appointment the server refuses (another patient's)
2. Watch the calls for two minutes</t>
        </is>
      </c>
      <c r="G57" s="28" t="inlineStr">
        <is>
          <t>One session refresh at most; the retries then back off and stop.</t>
        </is>
      </c>
      <c r="H57" s="28" t="inlineStr">
        <is>
          <t>Each of the 6 retry rounds refreshed the session token (6 refresh calls in 78 s, five of them within 43 s - the server's limit is 5 a minute), although a new token cannot make another patient's queue allowed. The notification inbox had the same pattern.</t>
        </is>
      </c>
      <c r="I57" s="28" t="inlineStr">
        <is>
          <t>1.0.0+1 debug</t>
        </is>
      </c>
      <c r="J57" s="28" t="inlineStr">
        <is>
          <t>emulator-5554 / Android 14</t>
        </is>
      </c>
      <c r="K57" s="28" t="inlineStr">
        <is>
          <t>Claude (adb)</t>
        </is>
      </c>
      <c r="L57" s="40" t="n">
        <v>46300</v>
      </c>
      <c r="M57" s="28" t="inlineStr">
        <is>
          <t>Verified</t>
        </is>
      </c>
      <c r="N57" s="28" t="n"/>
      <c r="O57" s="28" t="inlineStr">
        <is>
          <t>1.0.0+1 debug (rebuilt 5 Oct 2026)</t>
        </is>
      </c>
      <c r="P57" s="28" t="inlineStr">
        <is>
          <t>Pass</t>
        </is>
      </c>
    </row>
    <row r="58" ht="90" customHeight="1">
      <c r="A58" s="28" t="inlineStr">
        <is>
          <t>DEF-057</t>
        </is>
      </c>
      <c r="B58" s="28" t="inlineStr">
        <is>
          <t>BL-HOME-003</t>
        </is>
      </c>
      <c r="C58" s="28" t="inlineStr">
        <is>
          <t>An unpaid booking is shown as 'Your Token' on Home</t>
        </is>
      </c>
      <c r="D58" s="28" t="inlineStr">
        <is>
          <t>Medium</t>
        </is>
      </c>
      <c r="E58" s="28" t="inlineStr">
        <is>
          <t>Home &amp; search</t>
        </is>
      </c>
      <c r="F58" s="28" t="inlineStr">
        <is>
          <t>1. Create a booking and leave it unpaid
2. Open Home</t>
        </is>
      </c>
      <c r="G58" s="28" t="inlineStr">
        <is>
          <t>Owner decision (5 Oct 2026): keep showing it, labelled as payment pending, with a tap that leads to payment.</t>
        </is>
      </c>
      <c r="H58" s="28" t="inlineStr">
        <is>
          <t>Home's card showed a pending-payment booking under 'Your Token' with token A001 before any payment, as though the visit were confirmed.</t>
        </is>
      </c>
      <c r="I58" s="28" t="inlineStr">
        <is>
          <t>1.0.0+1 debug</t>
        </is>
      </c>
      <c r="J58" s="28" t="inlineStr">
        <is>
          <t>emulator-5554 / Android 14</t>
        </is>
      </c>
      <c r="K58" s="28" t="inlineStr">
        <is>
          <t>Claude (adb)</t>
        </is>
      </c>
      <c r="L58" s="40" t="n">
        <v>46300</v>
      </c>
      <c r="M58" s="28" t="inlineStr">
        <is>
          <t>Verified</t>
        </is>
      </c>
      <c r="N58" s="28" t="n"/>
      <c r="O58" s="28" t="inlineStr">
        <is>
          <t>1.0.0+1 debug (rebuilt 5 Oct 2026)</t>
        </is>
      </c>
      <c r="P58" s="28" t="inlineStr">
        <is>
          <t>Pass</t>
        </is>
      </c>
    </row>
    <row r="59" ht="90" customHeight="1">
      <c r="A59" s="28" t="inlineStr">
        <is>
          <t>DEF-058</t>
        </is>
      </c>
      <c r="B59" s="28" t="inlineStr">
        <is>
          <t>BL-HOME-009</t>
        </is>
      </c>
      <c r="C59" s="28" t="inlineStr">
        <is>
          <t>Home greeting shows a stray '!' when the account has no first name</t>
        </is>
      </c>
      <c r="D59" s="28" t="inlineStr">
        <is>
          <t>Low</t>
        </is>
      </c>
      <c r="E59" s="28" t="inlineStr">
        <is>
          <t>Home &amp; search</t>
        </is>
      </c>
      <c r="F59" s="28" t="inlineStr">
        <is>
          <t>1. Sign in to an account whose first name is blank
2. Open Home</t>
        </is>
      </c>
      <c r="G59" s="28" t="inlineStr">
        <is>
          <t>A greeting without a name - never a placeholder name or a stray mark.</t>
        </is>
      </c>
      <c r="H59" s="28" t="inlineStr">
        <is>
          <t>With a blank first name the header showed 'Welcome back,' and a lone '!' on the next line. Seen by answering GET /patient/me with first_name '' through a recorder.</t>
        </is>
      </c>
      <c r="I59" s="28" t="inlineStr">
        <is>
          <t>1.0.0+1 debug</t>
        </is>
      </c>
      <c r="J59" s="28" t="inlineStr">
        <is>
          <t>emulator-5554 / Android 14</t>
        </is>
      </c>
      <c r="K59" s="28" t="inlineStr">
        <is>
          <t>Claude (adb)</t>
        </is>
      </c>
      <c r="L59" s="40" t="n">
        <v>46300</v>
      </c>
      <c r="M59" s="28" t="inlineStr">
        <is>
          <t>Verified</t>
        </is>
      </c>
      <c r="N59" s="28" t="n"/>
      <c r="O59" s="28" t="inlineStr">
        <is>
          <t>1.0.0+1 debug (rebuilt 5 Oct 2026)</t>
        </is>
      </c>
      <c r="P59" s="28" t="inlineStr">
        <is>
          <t>Pass</t>
        </is>
      </c>
    </row>
    <row r="60" ht="90" customHeight="1">
      <c r="A60" s="28" t="inlineStr">
        <is>
          <t>DEF-059</t>
        </is>
      </c>
      <c r="B60" s="28" t="inlineStr">
        <is>
          <t>BL-REC-007</t>
        </is>
      </c>
      <c r="C60" s="28" t="inlineStr">
        <is>
          <t>A server error on the date or file keeps Save blocked after the field is fixed</t>
        </is>
      </c>
      <c r="D60" s="28" t="inlineStr">
        <is>
          <t>Medium</t>
        </is>
      </c>
      <c r="E60" s="28" t="inlineStr">
        <is>
          <t>Records &amp; uploads</t>
        </is>
      </c>
      <c r="F60" s="28" t="inlineStr">
        <is>
          <t>1. Save a record and get a server error on the date (or the file)
2. Change the date (or replace the file)
3. Save</t>
        </is>
      </c>
      <c r="G60" s="28" t="inlineStr">
        <is>
          <t>The error clears when its field is changed, and Save goes through.</t>
        </is>
      </c>
      <c r="H60" s="28" t="inlineStr">
        <is>
          <t>Server field errors were cleared only when the title, person or appointment was edited. After a date or file error the form stayed invalid whatever the patient changed in that field.</t>
        </is>
      </c>
      <c r="I60" s="28" t="inlineStr">
        <is>
          <t>1.0.0+1 debug</t>
        </is>
      </c>
      <c r="J60" s="28" t="inlineStr">
        <is>
          <t>emulator-5554 / Android 14</t>
        </is>
      </c>
      <c r="K60" s="28" t="inlineStr">
        <is>
          <t>Claude (adb)</t>
        </is>
      </c>
      <c r="L60" s="40" t="n">
        <v>46300</v>
      </c>
      <c r="M60" s="28" t="inlineStr">
        <is>
          <t>Verified</t>
        </is>
      </c>
      <c r="N60" s="28" t="n"/>
      <c r="O60" s="28" t="inlineStr">
        <is>
          <t>1.0.0+1 debug (rebuilt 5 Oct 2026)</t>
        </is>
      </c>
      <c r="P60" s="28" t="inlineStr">
        <is>
          <t>Pass</t>
        </is>
      </c>
    </row>
    <row r="61" ht="90" customHeight="1">
      <c r="A61" s="28" t="inlineStr">
        <is>
          <t>DEF-060</t>
        </is>
      </c>
      <c r="B61" s="28" t="inlineStr">
        <is>
          <t>BL-REC-016</t>
        </is>
      </c>
      <c r="C61" s="28" t="inlineStr">
        <is>
          <t>Records cannot be searched by title</t>
        </is>
      </c>
      <c r="D61" s="28" t="inlineStr">
        <is>
          <t>Low</t>
        </is>
      </c>
      <c r="E61" s="28" t="inlineStr">
        <is>
          <t>Records &amp; uploads</t>
        </is>
      </c>
      <c r="F61" s="28" t="inlineStr">
        <is>
          <t>1. Open Records
2. Look for a way to search by title</t>
        </is>
      </c>
      <c r="G61" s="28" t="inlineStr">
        <is>
          <t>Owner decision (5 Oct 2026): add a title search to the Records screen.</t>
        </is>
      </c>
      <c r="H61" s="28" t="inlineStr">
        <is>
          <t>The API and the query model supported a title search (q), but no screen offered it: Records had only Newest / Oldest and Filters.</t>
        </is>
      </c>
      <c r="I61" s="28" t="inlineStr">
        <is>
          <t>1.0.0+1 debug</t>
        </is>
      </c>
      <c r="J61" s="28" t="inlineStr">
        <is>
          <t>emulator-5554 / Android 14</t>
        </is>
      </c>
      <c r="K61" s="28" t="inlineStr">
        <is>
          <t>Claude (adb)</t>
        </is>
      </c>
      <c r="L61" s="40" t="n">
        <v>46300</v>
      </c>
      <c r="M61" s="28" t="inlineStr">
        <is>
          <t>Verified</t>
        </is>
      </c>
      <c r="N61" s="28" t="n"/>
      <c r="O61" s="28" t="inlineStr">
        <is>
          <t>1.0.0+1 debug (rebuilt 5 Oct 2026)</t>
        </is>
      </c>
      <c r="P61" s="28" t="inlineStr">
        <is>
          <t>Pass</t>
        </is>
      </c>
    </row>
    <row r="62" ht="90" customHeight="1">
      <c r="A62" s="28" t="inlineStr">
        <is>
          <t>DEF-061</t>
        </is>
      </c>
      <c r="B62" s="28" t="inlineStr">
        <is>
          <t>BL-REC-031</t>
        </is>
      </c>
      <c r="C62" s="28" t="inlineStr">
        <is>
          <t>Replaced and retried uploads are left behind on the server</t>
        </is>
      </c>
      <c r="D62" s="28" t="inlineStr">
        <is>
          <t>Low</t>
        </is>
      </c>
      <c r="E62" s="28" t="inlineStr">
        <is>
          <t>Records &amp; uploads</t>
        </is>
      </c>
      <c r="F62" s="28" t="inlineStr">
        <is>
          <t>1. Records &gt; Add, choose a file and let it upload
2. Tap Replace and choose another (or let an upload fail and tap Try again / Choose another)
3. Watch the calls to the server</t>
        </is>
      </c>
      <c r="G62" s="28" t="inlineStr">
        <is>
          <t>The file that is no longer wanted is deleted from the server (DELETE /shared/files/{id}).</t>
        </is>
      </c>
      <c r="H62" s="28" t="inlineStr">
        <is>
          <t>Only Remove and Discard delete the file. Replace, Try again and Choose another start a new upload and leave the earlier one on the server.</t>
        </is>
      </c>
      <c r="I62" s="28" t="inlineStr">
        <is>
          <t>1.0.0+1 debug</t>
        </is>
      </c>
      <c r="J62" s="28" t="inlineStr">
        <is>
          <t>emulator-5554 / Android 14</t>
        </is>
      </c>
      <c r="K62" s="28" t="inlineStr">
        <is>
          <t>Claude (adb)</t>
        </is>
      </c>
      <c r="L62" s="40" t="n">
        <v>46300</v>
      </c>
      <c r="M62" s="28" t="inlineStr">
        <is>
          <t>Verified</t>
        </is>
      </c>
      <c r="N62" s="28" t="n"/>
      <c r="O62" s="28" t="inlineStr">
        <is>
          <t>1.0.0+1 debug (rebuilt 5 Oct 2026)</t>
        </is>
      </c>
      <c r="P62" s="28" t="inlineStr">
        <is>
          <t>Pass</t>
        </is>
      </c>
    </row>
    <row r="63" ht="90" customHeight="1">
      <c r="A63" s="28" t="inlineStr">
        <is>
          <t>DEF-062</t>
        </is>
      </c>
      <c r="B63" s="28" t="inlineStr">
        <is>
          <t>BL-REC-033</t>
        </is>
      </c>
      <c r="C63" s="28" t="inlineStr">
        <is>
          <t>Nothing is said when no app on the device can open a file link</t>
        </is>
      </c>
      <c r="D63" s="28" t="inlineStr">
        <is>
          <t>Low</t>
        </is>
      </c>
      <c r="E63" s="28" t="inlineStr">
        <is>
          <t>Records &amp; uploads</t>
        </is>
      </c>
      <c r="F63" s="28" t="inlineStr">
        <is>
          <t>1. Open a record on a device with no app that can open the file link
2. Tap View (or Download)</t>
        </is>
      </c>
      <c r="G63" s="28" t="inlineStr">
        <is>
          <t>The toast 'No app on this device could open the file'.</t>
        </is>
      </c>
      <c r="H63" s="28" t="inlineStr">
        <is>
          <t>The button stopped spinning and no message appeared. On Android the link plugin throws when nothing can take the link, and the app only checked for a 'false' answer. The same gap was in the insurance card, data export and appointment links.</t>
        </is>
      </c>
      <c r="I63" s="28" t="inlineStr">
        <is>
          <t>1.0.0+1 debug</t>
        </is>
      </c>
      <c r="J63" s="28" t="inlineStr">
        <is>
          <t>emulator-5554 / Android 14</t>
        </is>
      </c>
      <c r="K63" s="28" t="inlineStr">
        <is>
          <t>Claude (adb)</t>
        </is>
      </c>
      <c r="L63" s="40" t="n">
        <v>46300</v>
      </c>
      <c r="M63" s="28" t="inlineStr">
        <is>
          <t>Verified</t>
        </is>
      </c>
      <c r="N63" s="28" t="n"/>
      <c r="O63" s="28" t="inlineStr">
        <is>
          <t>1.0.0+1 debug (rebuilt 5 Oct 2026)</t>
        </is>
      </c>
      <c r="P63" s="28" t="inlineStr">
        <is>
          <t>Pass</t>
        </is>
      </c>
    </row>
    <row r="64" ht="90" customHeight="1">
      <c r="A64" s="28" t="inlineStr">
        <is>
          <t>DEF-063</t>
        </is>
      </c>
      <c r="B64" s="28" t="inlineStr">
        <is>
          <t>BL-REC-034</t>
        </is>
      </c>
      <c r="C64" s="28" t="inlineStr">
        <is>
          <t>View and Download on a record do the same thing</t>
        </is>
      </c>
      <c r="D64" s="28" t="inlineStr">
        <is>
          <t>Low</t>
        </is>
      </c>
      <c r="E64" s="28" t="inlineStr">
        <is>
          <t>Records &amp; uploads</t>
        </is>
      </c>
      <c r="F64" s="28" t="inlineStr">
        <is>
          <t>1. Open a record
2. Tap View, then Download</t>
        </is>
      </c>
      <c r="G64" s="28" t="inlineStr">
        <is>
          <t>Owner decision (5 Oct 2026): keep one button, 'Open file'.</t>
        </is>
      </c>
      <c r="H64" s="28" t="inlineStr">
        <is>
          <t>Both buttons asked for a new link and handed it to the browser; only the labels differed. Nothing is saved by the app itself.</t>
        </is>
      </c>
      <c r="I64" s="28" t="inlineStr">
        <is>
          <t>1.0.0+1 debug</t>
        </is>
      </c>
      <c r="J64" s="28" t="inlineStr">
        <is>
          <t>emulator-5554 / Android 14</t>
        </is>
      </c>
      <c r="K64" s="28" t="inlineStr">
        <is>
          <t>Claude (adb)</t>
        </is>
      </c>
      <c r="L64" s="40" t="n">
        <v>46300</v>
      </c>
      <c r="M64" s="28" t="inlineStr">
        <is>
          <t>Verified</t>
        </is>
      </c>
      <c r="N64" s="28" t="n"/>
      <c r="O64" s="28" t="inlineStr">
        <is>
          <t>1.0.0+1 debug (rebuilt 5 Oct 2026)</t>
        </is>
      </c>
      <c r="P64" s="28" t="inlineStr">
        <is>
          <t>Pass</t>
        </is>
      </c>
    </row>
    <row r="65" ht="90" customHeight="1">
      <c r="A65" s="28" t="inlineStr">
        <is>
          <t>DEF-064</t>
        </is>
      </c>
      <c r="B65" s="28" t="inlineStr">
        <is>
          <t>BL-CACHE-003</t>
        </is>
      </c>
      <c r="C65" s="28" t="inlineStr">
        <is>
          <t>Tappable banners are read out twice by a screen reader</t>
        </is>
      </c>
      <c r="D65" s="28" t="inlineStr">
        <is>
          <t>Low</t>
        </is>
      </c>
      <c r="E65" s="28" t="inlineStr">
        <is>
          <t>Cache, offline &amp; pagination</t>
        </is>
      </c>
      <c r="F65" s="28" t="inlineStr">
        <is>
          <t>1. Turn on a screen reader
2. Open a screen showing a tappable banner, e.g. the amber 'Data from 1 day ago - Tap to refresh' bar on Records
3. Focus the banner</t>
        </is>
      </c>
      <c r="G65" s="28" t="inlineStr">
        <is>
          <t>The sentence is read once.</t>
        </is>
      </c>
      <c r="H65" s="28" t="inlineStr">
        <is>
          <t>The banner's label held the sentence twice ('Data from 1 day ago - Tap to refresh' followed by the same text again), because the label was set and the text inside was also read. Same for every tappable banner (could not update, stale data).</t>
        </is>
      </c>
      <c r="I65" s="28" t="inlineStr">
        <is>
          <t>1.0.0+1 debug</t>
        </is>
      </c>
      <c r="J65" s="28" t="inlineStr">
        <is>
          <t>emulator-5554 / Android 14</t>
        </is>
      </c>
      <c r="K65" s="28" t="inlineStr">
        <is>
          <t>Claude (adb)</t>
        </is>
      </c>
      <c r="L65" s="40" t="n">
        <v>46300</v>
      </c>
      <c r="M65" s="28" t="inlineStr">
        <is>
          <t>Verified</t>
        </is>
      </c>
      <c r="N65" s="28" t="n"/>
      <c r="O65" s="28" t="inlineStr">
        <is>
          <t>1.0.0+1 debug (rebuilt 5 Oct 2026)</t>
        </is>
      </c>
      <c r="P65" s="28" t="inlineStr">
        <is>
          <t>Pass</t>
        </is>
      </c>
    </row>
    <row r="66" ht="90" customHeight="1">
      <c r="A66" s="28" t="inlineStr">
        <is>
          <t>DEF-065</t>
        </is>
      </c>
      <c r="B66" s="28" t="inlineStr">
        <is>
          <t>BL-CACHE-010</t>
        </is>
      </c>
      <c r="C66" s="28" t="inlineStr">
        <is>
          <t>Saved data is lost to offline use after every sign-in token refresh</t>
        </is>
      </c>
      <c r="D66" s="28" t="inlineStr">
        <is>
          <t>High</t>
        </is>
      </c>
      <c r="E66" s="28" t="inlineStr">
        <is>
          <t>Cache, offline &amp; pagination</t>
        </is>
      </c>
      <c r="F66" s="28" t="inlineStr">
        <is>
          <t>1. Open Records online
2. Use other screens for 15+ minutes (the access token is replaced)
3. Relaunch in airplane mode and open Records</t>
        </is>
      </c>
      <c r="G66" s="28" t="inlineStr">
        <is>
          <t>The records saved in step 1 are shown, with the offline banner.</t>
        </is>
      </c>
      <c r="H66" s="28" t="inlineStr">
        <is>
          <t>'We could not load your records - You appear to be offline.' The cache key includes the access token, so data saved under an earlier token is never found again. Screens visited after the last token change still work offline.</t>
        </is>
      </c>
      <c r="I66" s="28" t="inlineStr">
        <is>
          <t>1.0.0+1 debug</t>
        </is>
      </c>
      <c r="J66" s="28" t="inlineStr">
        <is>
          <t>emulator-5554 / Android 14</t>
        </is>
      </c>
      <c r="K66" s="28" t="inlineStr">
        <is>
          <t>Claude (adb)</t>
        </is>
      </c>
      <c r="L66" s="40" t="n">
        <v>46300</v>
      </c>
      <c r="M66" s="28" t="inlineStr">
        <is>
          <t>Verified</t>
        </is>
      </c>
      <c r="N66" s="28" t="n"/>
      <c r="O66" s="28" t="inlineStr">
        <is>
          <t>1.0.0+1 debug (rebuilt 5 Oct 2026)</t>
        </is>
      </c>
      <c r="P66" s="28" t="inlineStr">
        <is>
          <t>Pass</t>
        </is>
      </c>
    </row>
    <row r="67" ht="90" customHeight="1">
      <c r="A67" s="28" t="inlineStr">
        <is>
          <t>DEF-066</t>
        </is>
      </c>
      <c r="B67" s="28" t="inlineStr">
        <is>
          <t>BL-CACHE-019</t>
        </is>
      </c>
      <c r="C67" s="28" t="inlineStr">
        <is>
          <t>Wi-Fi without internet is treated as online</t>
        </is>
      </c>
      <c r="D67" s="28" t="inlineStr">
        <is>
          <t>Medium</t>
        </is>
      </c>
      <c r="E67" s="28" t="inlineStr">
        <is>
          <t>Cache, offline &amp; pagination</t>
        </is>
      </c>
      <c r="F67" s="28" t="inlineStr">
        <is>
          <t>1. Connect to Wi-Fi that has no internet
2. Open Records, Insurance and Home</t>
        </is>
      </c>
      <c r="G67" s="28" t="inlineStr">
        <is>
          <t>Owner decision (5 Oct 2026): after repeated timeouts show the usual offline banner and saved data, and come back online by itself when the internet returns.</t>
        </is>
      </c>
      <c r="H67" s="28" t="inlineStr">
        <is>
          <t>No offline banner. Each screen waited about 10 s; Records' 'Updating...' vanished without a message, and pull to refresh / Insurance showed 'This is taking longer than usual. Please try again.'</t>
        </is>
      </c>
      <c r="I67" s="28" t="inlineStr">
        <is>
          <t>1.0.0+1 debug</t>
        </is>
      </c>
      <c r="J67" s="28" t="inlineStr">
        <is>
          <t>emulator-5554 / Android 14</t>
        </is>
      </c>
      <c r="K67" s="28" t="inlineStr">
        <is>
          <t>Claude (adb)</t>
        </is>
      </c>
      <c r="L67" s="40" t="n">
        <v>46300</v>
      </c>
      <c r="M67" s="28" t="inlineStr">
        <is>
          <t>Verified</t>
        </is>
      </c>
      <c r="N67" s="28" t="n"/>
      <c r="O67" s="28" t="inlineStr">
        <is>
          <t>1.0.0+1 debug (rebuilt 5 Oct 2026)</t>
        </is>
      </c>
      <c r="P67" s="28" t="inlineStr">
        <is>
          <t>Pass</t>
        </is>
      </c>
    </row>
    <row r="68" ht="90" customHeight="1">
      <c r="A68" s="28" t="inlineStr">
        <is>
          <t>DEF-067</t>
        </is>
      </c>
      <c r="B68" s="28" t="inlineStr">
        <is>
          <t>BL-CACHE-024</t>
        </is>
      </c>
      <c r="C68" s="28" t="inlineStr">
        <is>
          <t>A fast double tap on Save shows 'saved' before the save finishes</t>
        </is>
      </c>
      <c r="D68" s="28" t="inlineStr">
        <is>
          <t>Medium</t>
        </is>
      </c>
      <c r="E68" s="28" t="inlineStr">
        <is>
          <t>Cache, offline &amp; pagination</t>
        </is>
      </c>
      <c r="F68" s="28" t="inlineStr">
        <is>
          <t>1. Edit the profile (or a family member)
2. Tap Save twice very quickly</t>
        </is>
      </c>
      <c r="G68" s="28" t="inlineStr">
        <is>
          <t>One save is sent, and the success message and closing happen only when it has finished.</t>
        </is>
      </c>
      <c r="H68" s="28" t="inlineStr">
        <is>
          <t>The second tap was ignored by the save controller but reported as success, so 'Profile updated' showed and the screen closed while the real save was still running; a failure of that save would be lost.</t>
        </is>
      </c>
      <c r="I68" s="28" t="inlineStr">
        <is>
          <t>1.0.0+1 debug</t>
        </is>
      </c>
      <c r="J68" s="28" t="inlineStr">
        <is>
          <t>Automated screen test</t>
        </is>
      </c>
      <c r="K68" s="28" t="inlineStr">
        <is>
          <t>Claude (code review + test)</t>
        </is>
      </c>
      <c r="L68" s="40" t="n">
        <v>46300</v>
      </c>
      <c r="M68" s="28" t="inlineStr">
        <is>
          <t>Verified</t>
        </is>
      </c>
      <c r="N68" s="28" t="n"/>
      <c r="O68" s="28" t="inlineStr">
        <is>
          <t>1.0.0+1 debug (rebuilt 5 Oct 2026)</t>
        </is>
      </c>
      <c r="P68" s="28" t="inlineStr">
        <is>
          <t>Pass</t>
        </is>
      </c>
    </row>
    <row r="69" ht="90" customHeight="1">
      <c r="A69" s="28" t="inlineStr">
        <is>
          <t>DEF-068</t>
        </is>
      </c>
      <c r="B69" s="28" t="inlineStr">
        <is>
          <t>BL-CACHE-010</t>
        </is>
      </c>
      <c r="C69" s="28" t="inlineStr">
        <is>
          <t>Offline, record rows lose the patient's name and the bell says 'no unread'</t>
        </is>
      </c>
      <c r="D69" s="28" t="inlineStr">
        <is>
          <t>High</t>
        </is>
      </c>
      <c r="E69" s="28" t="inlineStr">
        <is>
          <t>Cache, offline &amp; pagination</t>
        </is>
      </c>
      <c r="F69" s="28" t="inlineStr">
        <is>
          <t>1. Open Records, a record and Home online
2. Relaunch in airplane mode
3. Open Records, the same record, and look at the bell</t>
        </is>
      </c>
      <c r="G69" s="28" t="inlineStr">
        <is>
          <t>Saved data shows at once: the patient's name on each record, the record's details, the last known unread count.</t>
        </is>
      </c>
      <c r="H69" s="28" t="inlineStr">
        <is>
          <t>Record rows said 'Family member' and the bell said 'no unread'. The family list behind the names is a one-shot read, which waited for the connection to return (up to 30 minutes) instead of returning the saved copy - the same cause as DEF-025; the unread count was never saved.</t>
        </is>
      </c>
      <c r="I69" s="28" t="inlineStr">
        <is>
          <t>1.0.0+1 debug</t>
        </is>
      </c>
      <c r="J69" s="28" t="inlineStr">
        <is>
          <t>emulator-5554 / Android 14</t>
        </is>
      </c>
      <c r="K69" s="28" t="inlineStr">
        <is>
          <t>Claude (adb)</t>
        </is>
      </c>
      <c r="L69" s="40" t="n">
        <v>46300</v>
      </c>
      <c r="M69" s="28" t="inlineStr">
        <is>
          <t>Verified</t>
        </is>
      </c>
      <c r="N69" s="28" t="n"/>
      <c r="O69" s="28" t="inlineStr">
        <is>
          <t>1.0.0+1 debug (rebuilt 5 Oct 2026)</t>
        </is>
      </c>
      <c r="P69" s="28" t="inlineStr">
        <is>
          <t>Pass</t>
        </is>
      </c>
    </row>
    <row r="70" ht="90" customHeight="1">
      <c r="A70" s="28" t="inlineStr">
        <is>
          <t>DEF-069</t>
        </is>
      </c>
      <c r="B70" s="28" t="inlineStr">
        <is>
          <t>BL-SUP-006</t>
        </is>
      </c>
      <c r="C70" s="28" t="inlineStr">
        <is>
          <t>Support requests and replies cannot carry files</t>
        </is>
      </c>
      <c r="D70" s="28" t="inlineStr">
        <is>
          <t>Low</t>
        </is>
      </c>
      <c r="E70" s="28" t="inlineStr">
        <is>
          <t>Support</t>
        </is>
      </c>
      <c r="F70" s="28" t="inlineStr">
        <is>
          <t>1. Open Help &amp; Support &gt; Raise a request, or reply on a request
2. Look for a way to attach a file</t>
        </is>
      </c>
      <c r="G70" s="28" t="inlineStr">
        <is>
          <t>Owner decision (5 Oct 2026): an Attach button - up to 5 PDFs or photos on a request or a reply.</t>
        </is>
      </c>
      <c r="H70" s="28" t="inlineStr">
        <is>
          <t>The API accepted up to 5 files per request and reply, but neither the form nor the reply box had a control to attach one.</t>
        </is>
      </c>
      <c r="I70" s="28" t="inlineStr">
        <is>
          <t>1.0.0+1 debug</t>
        </is>
      </c>
      <c r="J70" s="28" t="inlineStr">
        <is>
          <t>emulator-5554 / Android 14</t>
        </is>
      </c>
      <c r="K70" s="28" t="inlineStr">
        <is>
          <t>Claude (adb)</t>
        </is>
      </c>
      <c r="L70" s="40" t="n">
        <v>46300</v>
      </c>
      <c r="M70" s="28" t="inlineStr">
        <is>
          <t>Fixed - retest on real storage</t>
        </is>
      </c>
      <c r="N70" s="28" t="n"/>
      <c r="O70" s="28" t="inlineStr">
        <is>
          <t>1.0.0+1 debug (rebuilt 5 Oct 2026)</t>
        </is>
      </c>
      <c r="P70" s="28" t="n"/>
    </row>
    <row r="71" ht="90" customHeight="1">
      <c r="A71" s="28" t="inlineStr">
        <is>
          <t>DEF-070</t>
        </is>
      </c>
      <c r="B71" s="28" t="inlineStr">
        <is>
          <t>BL-SUP-017</t>
        </is>
      </c>
      <c r="C71" s="28" t="inlineStr">
        <is>
          <t>A fresh install opened offline stays stuck on the consent screen after the internet returns</t>
        </is>
      </c>
      <c r="D71" s="28" t="inlineStr">
        <is>
          <t>High</t>
        </is>
      </c>
      <c r="E71" s="28" t="inlineStr">
        <is>
          <t>Authentication &amp; session</t>
        </is>
      </c>
      <c r="F71" s="28" t="inlineStr">
        <is>
          <t>1. Install the app (or clear its data)
2. Open it with no internet and go through the intro
3. Turn the internet on
4. Tap Agree and Continue</t>
        </is>
      </c>
      <c r="G71" s="28" t="inlineStr">
        <is>
          <t>With the internet back, Agree and Continue loads what it needs and goes on to sign-in, without closing the app.</t>
        </is>
      </c>
      <c r="H71" s="28" t="inlineStr">
        <is>
          <t>'We could not load the Terms &amp; Conditions and Privacy Policy. Check your connection, then tap Agree and Continue again.' keeps showing and no request is sent: the server settings (app-config) are read only at launch and never retried. Only closing and reopening the app gets past it.</t>
        </is>
      </c>
      <c r="I71" s="28" t="inlineStr">
        <is>
          <t>1.0.0+1 debug</t>
        </is>
      </c>
      <c r="J71" s="28" t="inlineStr">
        <is>
          <t>emulator-5554 / Android 14</t>
        </is>
      </c>
      <c r="K71" s="28" t="inlineStr">
        <is>
          <t>Claude (adb)</t>
        </is>
      </c>
      <c r="L71" s="40" t="n">
        <v>46300</v>
      </c>
      <c r="M71" s="28" t="inlineStr">
        <is>
          <t>Verified</t>
        </is>
      </c>
      <c r="N71" s="28" t="n"/>
      <c r="O71" s="28" t="inlineStr">
        <is>
          <t>1.0.0+1 debug (rebuilt 5 Oct 2026)</t>
        </is>
      </c>
      <c r="P71" s="28" t="inlineStr">
        <is>
          <t>Pass</t>
        </is>
      </c>
    </row>
    <row r="72" ht="90" customHeight="1">
      <c r="A72" s="28" t="inlineStr">
        <is>
          <t>DEF-071</t>
        </is>
      </c>
      <c r="B72" s="28" t="inlineStr">
        <is>
          <t>BL-PROF-011</t>
        </is>
      </c>
      <c r="C72" s="28" t="inlineStr">
        <is>
          <t>After 'changed elsewhere', saving an address or contact again undoes the other device's change</t>
        </is>
      </c>
      <c r="D72" s="28" t="inlineStr">
        <is>
          <t>Medium</t>
        </is>
      </c>
      <c r="E72" s="28" t="inlineStr">
        <is>
          <t>Profile &amp; account</t>
        </is>
      </c>
      <c r="F72" s="28" t="inlineStr">
        <is>
          <t>1. Open an address's edit sheet
2. From another device change a field you do not touch here
3. Save (conflict message), then Save again</t>
        </is>
      </c>
      <c r="G72" s="28" t="inlineStr">
        <is>
          <t>The second save keeps the other device's change in fields this sheet did not edit, like Edit Profile now does.</t>
        </is>
      </c>
      <c r="H72" s="28" t="inlineStr">
        <is>
          <t>The sheet's boxes still hold the values from when it opened and the whole address is sent, so the other device's change is overwritten. Seen 5 Oct 2026: another session set the additional line to 'Ernakulam'; the second save cleared it.</t>
        </is>
      </c>
      <c r="I72" s="28" t="inlineStr">
        <is>
          <t>1.0.0+1 debug</t>
        </is>
      </c>
      <c r="J72" s="28" t="inlineStr">
        <is>
          <t>emulator-5554 / Android 14</t>
        </is>
      </c>
      <c r="K72" s="28" t="inlineStr">
        <is>
          <t>Claude (adb)</t>
        </is>
      </c>
      <c r="L72" s="40" t="n">
        <v>46300</v>
      </c>
      <c r="M72" s="28" t="inlineStr">
        <is>
          <t>Open</t>
        </is>
      </c>
      <c r="N72" s="28" t="n"/>
      <c r="O72" s="28" t="n"/>
      <c r="P72" s="28" t="n"/>
    </row>
    <row r="73" ht="90" customHeight="1">
      <c r="A73" s="28" t="inlineStr">
        <is>
          <t>DEF-072</t>
        </is>
      </c>
      <c r="B73" s="28" t="inlineStr">
        <is>
          <t>BL-AUTH-022</t>
        </is>
      </c>
      <c r="C73" s="28" t="inlineStr">
        <is>
          <t>Generic verify screen accepted any code for a phone change</t>
        </is>
      </c>
      <c r="D73" s="28" t="inlineStr">
        <is>
          <t>Medium</t>
        </is>
      </c>
      <c r="E73" s="28" t="inlineStr">
        <is>
          <t>Authentication &amp; session</t>
        </is>
      </c>
      <c r="F73" s="28" t="inlineStr">
        <is>
          <t>1. Open /verify?purpose=phone-change&amp;ch=x&amp;len=4 while signed in
2. Enter any 4 digits</t>
        </is>
      </c>
      <c r="G73" s="28" t="inlineStr">
        <is>
          <t>Nothing is verified without the server checking the code.</t>
        </is>
      </c>
      <c r="H73" s="28" t="inlineStr">
        <is>
          <t>The phone-change branch accepted any well-formed code with no server call and opened Edit Profile. Not reachable from links or any in-app path, but a code path that verifies nothing.</t>
        </is>
      </c>
      <c r="I73" s="28" t="inlineStr">
        <is>
          <t>1.0.0+1 debug</t>
        </is>
      </c>
      <c r="J73" s="28" t="inlineStr">
        <is>
          <t>emulator-5554 / Android 14</t>
        </is>
      </c>
      <c r="K73" s="28" t="inlineStr">
        <is>
          <t>Claude (adb)</t>
        </is>
      </c>
      <c r="L73" s="40" t="n">
        <v>46300</v>
      </c>
      <c r="M73" s="28" t="inlineStr">
        <is>
          <t>Verified</t>
        </is>
      </c>
      <c r="N73" s="28" t="n"/>
      <c r="O73" s="28" t="inlineStr">
        <is>
          <t>1.0.0+1 debug (rebuilt 5 Oct 2026)</t>
        </is>
      </c>
      <c r="P73" s="28" t="inlineStr">
        <is>
          <t>Pass</t>
        </is>
      </c>
    </row>
    <row r="74" ht="90" customHeight="1">
      <c r="A74" s="28" t="inlineStr">
        <is>
          <t>DEF-073</t>
        </is>
      </c>
      <c r="B74" s="28" t="inlineStr">
        <is>
          <t>BL-BOOK-025</t>
        </is>
      </c>
      <c r="C74" s="28" t="inlineStr">
        <is>
          <t>A slot taken meanwhile stayed chosen and confirmable on Change</t>
        </is>
      </c>
      <c r="D74" s="28" t="inlineStr">
        <is>
          <t>Medium</t>
        </is>
      </c>
      <c r="E74" s="28" t="inlineStr">
        <is>
          <t>Booking</t>
        </is>
      </c>
      <c r="F74" s="28" t="inlineStr">
        <is>
          <t>1. Choose a slot and reach step 3
2. Another patient books that slot
3. Tap Change</t>
        </is>
      </c>
      <c r="G74" s="28" t="inlineStr">
        <is>
          <t>The taken slot is not confirmable; the sheet moves to a free slot and says so.</t>
        </is>
      </c>
      <c r="H74" s="28" t="inlineStr">
        <is>
          <t>The sheet kept the taken slot preselected with 'Continue with &lt;time&gt;' enabled, so the booking failed later.</t>
        </is>
      </c>
      <c r="I74" s="28" t="inlineStr">
        <is>
          <t>1.0.0+1 debug</t>
        </is>
      </c>
      <c r="J74" s="28" t="inlineStr">
        <is>
          <t>emulator-5554 / Android 14</t>
        </is>
      </c>
      <c r="K74" s="28" t="inlineStr">
        <is>
          <t>Claude (adb)</t>
        </is>
      </c>
      <c r="L74" s="40" t="n">
        <v>46300</v>
      </c>
      <c r="M74" s="28" t="inlineStr">
        <is>
          <t>Verified</t>
        </is>
      </c>
      <c r="N74" s="28" t="n"/>
      <c r="O74" s="28" t="inlineStr">
        <is>
          <t>1.0.0+1 debug (rebuilt 5 Oct 2026)</t>
        </is>
      </c>
      <c r="P74" s="28" t="inlineStr">
        <is>
          <t>Pass</t>
        </is>
      </c>
    </row>
    <row r="75" ht="90" customHeight="1">
      <c r="A75" s="28" t="inlineStr">
        <is>
          <t>DEF-074</t>
        </is>
      </c>
      <c r="B75" s="28" t="inlineStr">
        <is>
          <t>BL-APPT-026</t>
        </is>
      </c>
      <c r="C75" s="28" t="inlineStr">
        <is>
          <t>'Browse with filters instead' applied filters out of sight</t>
        </is>
      </c>
      <c r="D75" s="28" t="inlineStr">
        <is>
          <t>Low</t>
        </is>
      </c>
      <c r="E75" s="28" t="inlineStr">
        <is>
          <t>Appointments</t>
        </is>
      </c>
      <c r="F75" s="28" t="inlineStr">
        <is>
          <t>1. Appointments -&gt; Search
2. Tap 'Browse with filters instead'
3. Apply a filter</t>
        </is>
      </c>
      <c r="G75" s="28" t="inlineStr">
        <is>
          <t>The patient sees the filtered appointments list.</t>
        </is>
      </c>
      <c r="H75" s="28" t="inlineStr">
        <is>
          <t>The filter sheet opened over the empty search screen; the filter changed the tab list underneath and nothing visible happened.</t>
        </is>
      </c>
      <c r="I75" s="28" t="inlineStr">
        <is>
          <t>1.0.0+1 debug</t>
        </is>
      </c>
      <c r="J75" s="28" t="inlineStr">
        <is>
          <t>emulator-5554 / Android 14</t>
        </is>
      </c>
      <c r="K75" s="28" t="inlineStr">
        <is>
          <t>Claude (adb)</t>
        </is>
      </c>
      <c r="L75" s="40" t="n">
        <v>46300</v>
      </c>
      <c r="M75" s="28" t="inlineStr">
        <is>
          <t>Verified</t>
        </is>
      </c>
      <c r="N75" s="28" t="n"/>
      <c r="O75" s="28" t="inlineStr">
        <is>
          <t>1.0.0+1 debug (rebuilt 5 Oct 2026)</t>
        </is>
      </c>
      <c r="P75" s="28" t="inlineStr">
        <is>
          <t>Pass</t>
        </is>
      </c>
    </row>
    <row r="76" ht="90" customHeight="1">
      <c r="A76" s="28" t="inlineStr">
        <is>
          <t>DEF-075</t>
        </is>
      </c>
      <c r="B76" s="28" t="inlineStr">
        <is>
          <t>E2E-009 (Checklist)</t>
        </is>
      </c>
      <c r="C76" s="28" t="inlineStr">
        <is>
          <t>An appointments tab that is empty shows an error screen offline</t>
        </is>
      </c>
      <c r="D76" s="28" t="inlineStr">
        <is>
          <t>Low</t>
        </is>
      </c>
      <c r="E76" s="28" t="inlineStr">
        <is>
          <t>Appointments</t>
        </is>
      </c>
      <c r="F76" s="28" t="inlineStr">
        <is>
          <t>1. Open Appointments online on a tab with no visits (Upcoming)
2. Turn on airplane mode
3. Open Appointments again</t>
        </is>
      </c>
      <c r="G76" s="28" t="inlineStr">
        <is>
          <t>'Nothing here yet' under the offline line, as saved.</t>
        </is>
      </c>
      <c r="H76" s="28" t="inlineStr">
        <is>
          <t>'You're offline / You appear to be offline. Check your connection and try again.' error screen instead of the saved (empty) list.</t>
        </is>
      </c>
      <c r="I76" s="28" t="inlineStr">
        <is>
          <t>1.0.0+1 debug</t>
        </is>
      </c>
      <c r="J76" s="28" t="inlineStr">
        <is>
          <t>emulator-5554 / Android 14</t>
        </is>
      </c>
      <c r="K76" s="28" t="inlineStr">
        <is>
          <t>Claude (adb)</t>
        </is>
      </c>
      <c r="L76" s="40" t="n">
        <v>46300</v>
      </c>
      <c r="M76" s="28" t="inlineStr">
        <is>
          <t>Verified</t>
        </is>
      </c>
      <c r="N76" s="28" t="n"/>
      <c r="O76" s="28" t="inlineStr">
        <is>
          <t>1.0.0+1 debug (rebuilt 5 Oct 2026)</t>
        </is>
      </c>
      <c r="P76" s="28" t="inlineStr">
        <is>
          <t>Pass</t>
        </is>
      </c>
    </row>
    <row r="77" ht="90" customHeight="1">
      <c r="A77" s="28" t="inlineStr">
        <is>
          <t>DEF-076</t>
        </is>
      </c>
      <c r="B77" s="28" t="inlineStr">
        <is>
          <t>E2E-009 (Checklist)</t>
        </is>
      </c>
      <c r="C77" s="28" t="inlineStr">
        <is>
          <t>Offline actions say 'taking longer than usual' instead of 'offline'</t>
        </is>
      </c>
      <c r="D77" s="28" t="inlineStr">
        <is>
          <t>Medium</t>
        </is>
      </c>
      <c r="E77" s="28" t="inlineStr">
        <is>
          <t>Network, offline &amp; cache</t>
        </is>
      </c>
      <c r="F77" s="28" t="inlineStr">
        <is>
          <t>1. Reach the payment step of a booking
2. Turn on airplane mode
3. Tap Pay</t>
        </is>
      </c>
      <c r="G77" s="28" t="inlineStr">
        <is>
          <t>A clear offline message.</t>
        </is>
      </c>
      <c r="H77" s="28" t="inlineStr">
        <is>
          <t>Spinner for about 3 s, then 'This is taking longer than usual. Please try again.' With no network a request ends as a timeout; the app now reports it as no connection when the device has no network.</t>
        </is>
      </c>
      <c r="I77" s="28" t="inlineStr">
        <is>
          <t>1.0.0+1 debug</t>
        </is>
      </c>
      <c r="J77" s="28" t="inlineStr">
        <is>
          <t>emulator-5554 / Android 14</t>
        </is>
      </c>
      <c r="K77" s="28" t="inlineStr">
        <is>
          <t>Claude (adb)</t>
        </is>
      </c>
      <c r="L77" s="40" t="n">
        <v>46300</v>
      </c>
      <c r="M77" s="28" t="inlineStr">
        <is>
          <t>Verified</t>
        </is>
      </c>
      <c r="N77" s="28" t="n"/>
      <c r="O77" s="28" t="inlineStr">
        <is>
          <t>1.0.0+1 debug (rebuilt 5 Oct 2026)</t>
        </is>
      </c>
      <c r="P77" s="28" t="inlineStr">
        <is>
          <t>Pass</t>
        </is>
      </c>
    </row>
    <row r="78" ht="90" customHeight="1">
      <c r="A78" s="28" t="inlineStr">
        <is>
          <t>DEF-077</t>
        </is>
      </c>
      <c r="B78" s="28" t="inlineStr">
        <is>
          <t>ONB-004 (Checklist)</t>
        </is>
      </c>
      <c r="C78" s="28" t="inlineStr">
        <is>
          <t>Policy documents opened offline stay failed after reconnecting</t>
        </is>
      </c>
      <c r="D78" s="28" t="inlineStr">
        <is>
          <t>Low</t>
        </is>
      </c>
      <c r="E78" s="28" t="inlineStr">
        <is>
          <t>Onboarding &amp; consent</t>
        </is>
      </c>
      <c r="F78" s="28" t="inlineStr">
        <is>
          <t>1. Fresh install, airplane mode on
2. Get Started, then turn airplane mode off
3. Tap Terms &amp; Conditions</t>
        </is>
      </c>
      <c r="G78" s="28" t="inlineStr">
        <is>
          <t>The document loads once the connection is back.</t>
        </is>
      </c>
      <c r="H78" s="28" t="inlineStr">
        <is>
          <t>'We could not load this document / You appear to be offline' until Try Again was pressed; the consent screen keeps the failed load in memory.</t>
        </is>
      </c>
      <c r="I78" s="28" t="inlineStr">
        <is>
          <t>1.0.0+1 debug</t>
        </is>
      </c>
      <c r="J78" s="28" t="inlineStr">
        <is>
          <t>emulator-5554 / Android 14</t>
        </is>
      </c>
      <c r="K78" s="28" t="inlineStr">
        <is>
          <t>Claude (adb)</t>
        </is>
      </c>
      <c r="L78" s="40" t="n">
        <v>46300</v>
      </c>
      <c r="M78" s="28" t="inlineStr">
        <is>
          <t>Verified</t>
        </is>
      </c>
      <c r="N78" s="28" t="n"/>
      <c r="O78" s="28" t="inlineStr">
        <is>
          <t>1.0.0+1 debug (rebuilt 5 Oct 2026)</t>
        </is>
      </c>
      <c r="P78" s="28" t="inlineStr">
        <is>
          <t>Pass</t>
        </is>
      </c>
    </row>
    <row r="79" ht="90" customHeight="1">
      <c r="A79" s="28" t="inlineStr">
        <is>
          <t>DEF-078</t>
        </is>
      </c>
      <c r="B79" s="28" t="inlineStr">
        <is>
          <t>INS-007 (Checklist)</t>
        </is>
      </c>
      <c r="C79" s="28" t="inlineStr">
        <is>
          <t>Misconfigured production build hangs on the splash with no visible error; IP API host accepted</t>
        </is>
      </c>
      <c r="D79" s="28" t="inlineStr">
        <is>
          <t>Medium</t>
        </is>
      </c>
      <c r="E79" s="28" t="inlineStr">
        <is>
          <t>Install, launch &amp; bootstrap</t>
        </is>
      </c>
      <c r="F79" s="28" t="inlineStr">
        <is>
          <t>1. flutter run --dart-define=MEDIBOOK_ENV=prod --dart-define=MEDIBOOK_DEMO=true
2. Launch</t>
        </is>
      </c>
      <c r="G79" s="28" t="inlineStr">
        <is>
          <t>The app refuses to start and logs a clear configuration error.</t>
        </is>
      </c>
      <c r="H79" s="28" t="inlineStr">
        <is>
          <t>The app stayed on the native splash; the error was written only to DevTools, so the device log showed nothing. A prod build also accepted the default integration-server IP as its API.</t>
        </is>
      </c>
      <c r="I79" s="28" t="inlineStr">
        <is>
          <t>1.0.0+1 debug</t>
        </is>
      </c>
      <c r="J79" s="28" t="inlineStr">
        <is>
          <t>emulator-5554 / Android 14</t>
        </is>
      </c>
      <c r="K79" s="28" t="inlineStr">
        <is>
          <t>Claude (adb)</t>
        </is>
      </c>
      <c r="L79" s="40" t="n">
        <v>46300</v>
      </c>
      <c r="M79" s="28" t="inlineStr">
        <is>
          <t>Verified</t>
        </is>
      </c>
      <c r="N79" s="28" t="n"/>
      <c r="O79" s="28" t="inlineStr">
        <is>
          <t>1.0.0+1 debug (rebuilt 5 Oct 2026)</t>
        </is>
      </c>
      <c r="P79" s="28" t="inlineStr">
        <is>
          <t>Pass</t>
        </is>
      </c>
    </row>
    <row r="80" ht="90" customHeight="1">
      <c r="A80" s="28" t="inlineStr">
        <is>
          <t>DEF-079</t>
        </is>
      </c>
      <c r="B80" s="28" t="inlineStr">
        <is>
          <t>AUTH-026 (Checklist)</t>
        </is>
      </c>
      <c r="C80" s="28" t="inlineStr">
        <is>
          <t>Rate-limit message does not say how long to wait</t>
        </is>
      </c>
      <c r="D80" s="28" t="inlineStr">
        <is>
          <t>Low</t>
        </is>
      </c>
      <c r="E80" s="28" t="inlineStr">
        <is>
          <t>Authentication &amp; session</t>
        </is>
      </c>
      <c r="F80" s="28" t="inlineStr">
        <is>
          <t>1. Send more than about 7 sign-in requests within a minute
2. Tap Log In</t>
        </is>
      </c>
      <c r="G80" s="28" t="inlineStr">
        <is>
          <t>'Please wait N seconds' from the server's Retry-After.</t>
        </is>
      </c>
      <c r="H80" s="28" t="inlineStr">
        <is>
          <t>'Too many attempts. Please wait a moment and try again.' The server sends the wait only as a Retry-After header, which the app did not read.</t>
        </is>
      </c>
      <c r="I80" s="28" t="inlineStr">
        <is>
          <t>1.0.0+1 debug</t>
        </is>
      </c>
      <c r="J80" s="28" t="inlineStr">
        <is>
          <t>emulator-5554 / Android 14</t>
        </is>
      </c>
      <c r="K80" s="28" t="inlineStr">
        <is>
          <t>Claude (adb)</t>
        </is>
      </c>
      <c r="L80" s="40" t="n">
        <v>46301</v>
      </c>
      <c r="M80" s="28" t="inlineStr">
        <is>
          <t>Verified</t>
        </is>
      </c>
      <c r="N80" s="28" t="n"/>
      <c r="O80" s="28" t="inlineStr">
        <is>
          <t>1.0.0+1 debug (rebuilt 6 Oct 2026)</t>
        </is>
      </c>
      <c r="P80" s="28" t="inlineStr">
        <is>
          <t>Pass</t>
        </is>
      </c>
    </row>
    <row r="81" ht="90" customHeight="1">
      <c r="A81" s="28" t="inlineStr">
        <is>
          <t>DEF-080</t>
        </is>
      </c>
      <c r="B81" s="28" t="inlineStr">
        <is>
          <t>DISC-004 / DISC-005 (Checklist)</t>
        </is>
      </c>
      <c r="C81" s="28" t="inlineStr">
        <is>
          <t>Hospital page has no call or directions actions</t>
        </is>
      </c>
      <c r="D81" s="28" t="inlineStr">
        <is>
          <t>Medium</t>
        </is>
      </c>
      <c r="E81" s="28" t="inlineStr">
        <is>
          <t>Discovery</t>
        </is>
      </c>
      <c r="F81" s="28" t="inlineStr">
        <is>
          <t>1. Open a hospital
2. Scroll to Contact</t>
        </is>
      </c>
      <c r="G81" s="28" t="inlineStr">
        <is>
          <t>Phone and directions actions that open the dialler and maps.</t>
        </is>
      </c>
      <c r="H81" s="28" t="inlineStr">
        <is>
          <t>Phone, email and website were plain (selectable) text; nothing opened the dialler, maps, mail or browser.</t>
        </is>
      </c>
      <c r="I81" s="28" t="inlineStr">
        <is>
          <t>1.0.0+1 debug</t>
        </is>
      </c>
      <c r="J81" s="28" t="inlineStr">
        <is>
          <t>emulator-5554 / Android 14</t>
        </is>
      </c>
      <c r="K81" s="28" t="inlineStr">
        <is>
          <t>Claude (adb)</t>
        </is>
      </c>
      <c r="L81" s="40" t="n">
        <v>46301</v>
      </c>
      <c r="M81" s="28" t="inlineStr">
        <is>
          <t>Verified</t>
        </is>
      </c>
      <c r="N81" s="28" t="n"/>
      <c r="O81" s="28" t="inlineStr">
        <is>
          <t>1.0.0+1 debug (rebuilt 6 Oct 2026)</t>
        </is>
      </c>
      <c r="P81" s="28" t="inlineStr">
        <is>
          <t>Pass</t>
        </is>
      </c>
    </row>
    <row r="82" ht="90" customHeight="1">
      <c r="A82" s="28" t="inlineStr">
        <is>
          <t>DEF-081</t>
        </is>
      </c>
      <c r="B82" s="28" t="inlineStr">
        <is>
          <t>HOME-010 (Checklist)</t>
        </is>
      </c>
      <c r="C82" s="28" t="inlineStr">
        <is>
          <t>Home hospitals section: Try Again does nothing</t>
        </is>
      </c>
      <c r="D82" s="28" t="inlineStr">
        <is>
          <t>Medium</t>
        </is>
      </c>
      <c r="E82" s="28" t="inlineStr">
        <is>
          <t>Home dashboard</t>
        </is>
      </c>
      <c r="F82" s="28" t="inlineStr">
        <is>
          <t>1. Make the Home hospitals request fail
2. Tap Try Again in that section</t>
        </is>
      </c>
      <c r="G82" s="28" t="inlineStr">
        <is>
          <t>The section loads again.</t>
        </is>
      </c>
      <c r="H82" s="28" t="inlineStr">
        <is>
          <t>Try Again and the section's refresh invalidated a different provider than the one the section shows, so nothing reloaded.</t>
        </is>
      </c>
      <c r="I82" s="28" t="inlineStr">
        <is>
          <t>1.0.0+1 debug</t>
        </is>
      </c>
      <c r="J82" s="28" t="inlineStr">
        <is>
          <t>emulator-5554 / Android 14</t>
        </is>
      </c>
      <c r="K82" s="28" t="inlineStr">
        <is>
          <t>Claude (adb)</t>
        </is>
      </c>
      <c r="L82" s="40" t="n">
        <v>46301</v>
      </c>
      <c r="M82" s="28" t="inlineStr">
        <is>
          <t>Verified</t>
        </is>
      </c>
      <c r="N82" s="28" t="n"/>
      <c r="O82" s="28" t="inlineStr">
        <is>
          <t>1.0.0+1 debug (rebuilt 6 Oct 2026)</t>
        </is>
      </c>
      <c r="P82" s="28" t="inlineStr">
        <is>
          <t>Pass</t>
        </is>
      </c>
    </row>
    <row r="83" ht="90" customHeight="1">
      <c r="A83" s="28" t="inlineStr">
        <is>
          <t>DEF-082</t>
        </is>
      </c>
      <c r="B83" s="28" t="inlineStr">
        <is>
          <t>HOME-012 (Checklist)</t>
        </is>
      </c>
      <c r="C83" s="28" t="inlineStr">
        <is>
          <t>Search opens without focus or keyboard</t>
        </is>
      </c>
      <c r="D83" s="28" t="inlineStr">
        <is>
          <t>Low</t>
        </is>
      </c>
      <c r="E83" s="28" t="inlineStr">
        <is>
          <t>Discovery</t>
        </is>
      </c>
      <c r="F83" s="28" t="inlineStr">
        <is>
          <t>1. Tap the search bar on Home</t>
        </is>
      </c>
      <c r="G83" s="28" t="inlineStr">
        <is>
          <t>Search opens with the box focused and the keyboard up.</t>
        </is>
      </c>
      <c r="H83" s="28" t="inlineStr">
        <is>
          <t>The box was not focused; the patient had to tap it again.</t>
        </is>
      </c>
      <c r="I83" s="28" t="inlineStr">
        <is>
          <t>1.0.0+1 debug</t>
        </is>
      </c>
      <c r="J83" s="28" t="inlineStr">
        <is>
          <t>emulator-5554 / Android 14</t>
        </is>
      </c>
      <c r="K83" s="28" t="inlineStr">
        <is>
          <t>Claude (adb)</t>
        </is>
      </c>
      <c r="L83" s="40" t="n">
        <v>46301</v>
      </c>
      <c r="M83" s="28" t="inlineStr">
        <is>
          <t>Verified</t>
        </is>
      </c>
      <c r="N83" s="28" t="n"/>
      <c r="O83" s="28" t="inlineStr">
        <is>
          <t>1.0.0+1 debug (rebuilt 6 Oct 2026)</t>
        </is>
      </c>
      <c r="P83" s="28" t="inlineStr">
        <is>
          <t>Pass</t>
        </is>
      </c>
    </row>
    <row r="84" ht="90" customHeight="1">
      <c r="A84" s="28" t="inlineStr">
        <is>
          <t>DEF-083</t>
        </is>
      </c>
      <c r="B84" s="28" t="inlineStr">
        <is>
          <t>BOOK-009 (Checklist)</t>
        </is>
      </c>
      <c r="C84" s="28" t="inlineStr">
        <is>
          <t>'Add family member' from booking stuck on loading</t>
        </is>
      </c>
      <c r="D84" s="28" t="inlineStr">
        <is>
          <t>Medium</t>
        </is>
      </c>
      <c r="E84" s="28" t="inlineStr">
        <is>
          <t>Booking flow</t>
        </is>
      </c>
      <c r="F84" s="28" t="inlineStr">
        <is>
          <t>1. Start a booking and reach the patient step
2. Tap Add family member</t>
        </is>
      </c>
      <c r="G84" s="28" t="inlineStr">
        <is>
          <t>The Add Family Member form opens.</t>
        </is>
      </c>
      <c r="H84" s="28" t="inlineStr">
        <is>
          <t>The screen stayed on loading placeholders: it resolved the member once, when the family list was still loading, and never again after it arrived.</t>
        </is>
      </c>
      <c r="I84" s="28" t="inlineStr">
        <is>
          <t>1.0.0+1 debug</t>
        </is>
      </c>
      <c r="J84" s="28" t="inlineStr">
        <is>
          <t>emulator-5554 / Android 14</t>
        </is>
      </c>
      <c r="K84" s="28" t="inlineStr">
        <is>
          <t>Claude (adb)</t>
        </is>
      </c>
      <c r="L84" s="40" t="n">
        <v>46301</v>
      </c>
      <c r="M84" s="28" t="inlineStr">
        <is>
          <t>Verified</t>
        </is>
      </c>
      <c r="N84" s="28" t="n"/>
      <c r="O84" s="28" t="inlineStr">
        <is>
          <t>1.0.0+1 debug (rebuilt 6 Oct 2026)</t>
        </is>
      </c>
      <c r="P84" s="28" t="inlineStr">
        <is>
          <t>Pass</t>
        </is>
      </c>
    </row>
    <row r="85" ht="90" customHeight="1">
      <c r="A85" s="28" t="inlineStr">
        <is>
          <t>DEF-084</t>
        </is>
      </c>
      <c r="B85" s="28" t="inlineStr">
        <is>
          <t>SUP-004 (Checklist)</t>
        </is>
      </c>
      <c r="C85" s="28" t="inlineStr">
        <is>
          <t>Support phone number does not dial</t>
        </is>
      </c>
      <c r="D85" s="28" t="inlineStr">
        <is>
          <t>Low</t>
        </is>
      </c>
      <c r="E85" s="28" t="inlineStr">
        <is>
          <t>Support, FAQ, legal &amp; ambulance</t>
        </is>
      </c>
      <c r="F85" s="28" t="inlineStr">
        <is>
          <t>1. Help &amp; Support &gt; Talk to us
2. Tap the support line number</t>
        </is>
      </c>
      <c r="G85" s="28" t="inlineStr">
        <is>
          <t>The dialler opens with the number.</t>
        </is>
      </c>
      <c r="H85" s="28" t="inlineStr">
        <is>
          <t>The number is shown in link colour but tapping it did nothing; only 'Copy number' worked.</t>
        </is>
      </c>
      <c r="I85" s="28" t="inlineStr">
        <is>
          <t>1.0.0+1 debug</t>
        </is>
      </c>
      <c r="J85" s="28" t="inlineStr">
        <is>
          <t>emulator-5554 / Android 14</t>
        </is>
      </c>
      <c r="K85" s="28" t="inlineStr">
        <is>
          <t>Claude (adb)</t>
        </is>
      </c>
      <c r="L85" s="40" t="n">
        <v>46301</v>
      </c>
      <c r="M85" s="28" t="inlineStr">
        <is>
          <t>Verified</t>
        </is>
      </c>
      <c r="N85" s="28" t="n"/>
      <c r="O85" s="28" t="inlineStr">
        <is>
          <t>1.0.0+1 debug (rebuilt 6 Oct 2026)</t>
        </is>
      </c>
      <c r="P85" s="28" t="inlineStr">
        <is>
          <t>Pass</t>
        </is>
      </c>
    </row>
    <row r="86" ht="90" customHeight="1">
      <c r="A86" s="28" t="inlineStr">
        <is>
          <t>DEF-085</t>
        </is>
      </c>
      <c r="B86" s="28" t="inlineStr">
        <is>
          <t>REC-020 (Checklist), BL-REC-015</t>
        </is>
      </c>
      <c r="C86" s="28" t="inlineStr">
        <is>
          <t>Offline record cards sometimes show 'Family member' instead of the patient's name</t>
        </is>
      </c>
      <c r="D86" s="28" t="inlineStr">
        <is>
          <t>Low</t>
        </is>
      </c>
      <c r="E86" s="28" t="inlineStr">
        <is>
          <t>Health records &amp; documents</t>
        </is>
      </c>
      <c r="F86" s="28" t="inlineStr">
        <is>
          <t>1. Use Records online
2. Turn on airplane mode, force-stop and relaunch
3. Open Records</t>
        </is>
      </c>
      <c r="G86" s="28" t="inlineStr">
        <is>
          <t>Each card names the patient (e.g. 'Sanjay Varma').</t>
        </is>
      </c>
      <c r="H86" s="28" t="inlineStr">
        <is>
          <t>Seen on 5 and 6 Oct: both cards read 'Family member · Prescription'. Not reproduced in four targeted repeats on 6 Oct (incl. right after sign-in); the persons list was served from the saved copy each time. Cause not found.</t>
        </is>
      </c>
      <c r="I86" s="28" t="inlineStr">
        <is>
          <t>1.0.0+1 debug</t>
        </is>
      </c>
      <c r="J86" s="28" t="inlineStr">
        <is>
          <t>emulator-5554 / Android 14</t>
        </is>
      </c>
      <c r="K86" s="28" t="inlineStr">
        <is>
          <t>Claude (adb)</t>
        </is>
      </c>
      <c r="L86" s="40" t="n">
        <v>46301</v>
      </c>
      <c r="M86" s="28" t="inlineStr">
        <is>
          <t>Open</t>
        </is>
      </c>
      <c r="N86" s="28" t="n"/>
      <c r="O86" s="28" t="n"/>
      <c r="P86" s="28" t="inlineStr">
        <is>
          <t/>
        </is>
      </c>
    </row>
    <row r="87" ht="90" customHeight="1">
      <c r="A87" s="28" t="inlineStr">
        <is>
          <t>DEF-086</t>
        </is>
      </c>
      <c r="B87" s="28" t="inlineStr">
        <is>
          <t>NAV-003 / NAV-005 (Checklist)</t>
        </is>
      </c>
      <c r="C87" s="28" t="inlineStr">
        <is>
          <t>Links opened at a cold start or while signed out end on Home</t>
        </is>
      </c>
      <c r="D87" s="28" t="inlineStr">
        <is>
          <t>Medium</t>
        </is>
      </c>
      <c r="E87" s="28" t="inlineStr">
        <is>
          <t>Navigation &amp; deep links</t>
        </is>
      </c>
      <c r="F87" s="28" t="inlineStr">
        <is>
          <t>1. Kill the app
2. Open medibook://doctor/&lt;id&gt;
(or: signed out, open a link, then sign in)</t>
        </is>
      </c>
      <c r="G87" s="28" t="inlineStr">
        <is>
          <t>The linked screen opens (after sign-in when needed).</t>
        </is>
      </c>
      <c r="H87" s="28" t="inlineStr">
        <is>
          <t>The app showed Home: the target was dropped while the session was being read at start-up, and after sign-in the app always went Home.</t>
        </is>
      </c>
      <c r="I87" s="28" t="inlineStr">
        <is>
          <t>1.0.0+1 debug</t>
        </is>
      </c>
      <c r="J87" s="28" t="inlineStr">
        <is>
          <t>emulator-5554 / Android 14</t>
        </is>
      </c>
      <c r="K87" s="28" t="inlineStr">
        <is>
          <t>Claude (adb)</t>
        </is>
      </c>
      <c r="L87" s="40" t="n">
        <v>46301</v>
      </c>
      <c r="M87" s="28" t="inlineStr">
        <is>
          <t>Verified</t>
        </is>
      </c>
      <c r="N87" s="28" t="n"/>
      <c r="O87" s="28" t="inlineStr">
        <is>
          <t>1.0.0+1 debug (rebuilt 6 Oct 2026)</t>
        </is>
      </c>
      <c r="P87" s="28" t="inlineStr">
        <is>
          <t>Pass</t>
        </is>
      </c>
    </row>
    <row r="88" ht="90" customHeight="1">
      <c r="A88" s="28" t="inlineStr">
        <is>
          <t>DEF-087</t>
        </is>
      </c>
      <c r="B88" s="28" t="inlineStr">
        <is>
          <t>NAV-006 (Checklist)</t>
        </is>
      </c>
      <c r="C88" s="28" t="inlineStr">
        <is>
          <t>Encoded slashes in a link id open another screen</t>
        </is>
      </c>
      <c r="D88" s="28" t="inlineStr">
        <is>
          <t>Low</t>
        </is>
      </c>
      <c r="E88" s="28" t="inlineStr">
        <is>
          <t>Navigation &amp; deep links</t>
        </is>
      </c>
      <c r="F88" s="28" t="inlineStr">
        <is>
          <t>1. Open medibook://appointment/..%2F..%2Fprofile</t>
        </is>
      </c>
      <c r="G88" s="28" t="inlineStr">
        <is>
          <t>Not found; no navigation outside the addressed screen.</t>
        </is>
      </c>
      <c r="H88" s="28" t="inlineStr">
        <is>
          <t>Profile opened: the decoded '../..' in the id walked to another route.</t>
        </is>
      </c>
      <c r="I88" s="28" t="inlineStr">
        <is>
          <t>1.0.0+1 debug</t>
        </is>
      </c>
      <c r="J88" s="28" t="inlineStr">
        <is>
          <t>emulator-5554 / Android 14</t>
        </is>
      </c>
      <c r="K88" s="28" t="inlineStr">
        <is>
          <t>Claude (adb)</t>
        </is>
      </c>
      <c r="L88" s="40" t="n">
        <v>46301</v>
      </c>
      <c r="M88" s="28" t="inlineStr">
        <is>
          <t>Verified</t>
        </is>
      </c>
      <c r="N88" s="28" t="n"/>
      <c r="O88" s="28" t="inlineStr">
        <is>
          <t>1.0.0+1 debug (rebuilt 6 Oct 2026)</t>
        </is>
      </c>
      <c r="P88" s="28" t="inlineStr">
        <is>
          <t>Pass</t>
        </is>
      </c>
    </row>
    <row r="89" ht="90" customHeight="1">
      <c r="A89" s="28" t="inlineStr">
        <is>
          <t>DEF-088</t>
        </is>
      </c>
      <c r="B89" s="28" t="inlineStr">
        <is>
          <t>NET-013 (Checklist)</t>
        </is>
      </c>
      <c r="C89" s="28" t="inlineStr">
        <is>
          <t>'0 visits' shown when the list failed to load</t>
        </is>
      </c>
      <c r="D89" s="28" t="inlineStr">
        <is>
          <t>Low</t>
        </is>
      </c>
      <c r="E89" s="28" t="inlineStr">
        <is>
          <t>Appointments</t>
        </is>
      </c>
      <c r="F89" s="28" t="inlineStr">
        <is>
          <t>1. Slow or no network, nothing saved for the tab
2. Open Appointments &gt; a tab</t>
        </is>
      </c>
      <c r="G89" s="28" t="inlineStr">
        <is>
          <t>No count until something has loaded.</t>
        </is>
      </c>
      <c r="H89" s="28" t="inlineStr">
        <is>
          <t>The header read '0 visits' beside the error, as if the patient had none.</t>
        </is>
      </c>
      <c r="I89" s="28" t="inlineStr">
        <is>
          <t>1.0.0+1 debug</t>
        </is>
      </c>
      <c r="J89" s="28" t="inlineStr">
        <is>
          <t>emulator-5554 / Android 14</t>
        </is>
      </c>
      <c r="K89" s="28" t="inlineStr">
        <is>
          <t>Claude (adb)</t>
        </is>
      </c>
      <c r="L89" s="40" t="n">
        <v>46301</v>
      </c>
      <c r="M89" s="28" t="inlineStr">
        <is>
          <t>Verified</t>
        </is>
      </c>
      <c r="N89" s="28" t="n"/>
      <c r="O89" s="28" t="inlineStr">
        <is>
          <t>1.0.0+1 debug (rebuilt 6 Oct 2026)</t>
        </is>
      </c>
      <c r="P89" s="28" t="inlineStr">
        <is>
          <t>Pass</t>
        </is>
      </c>
    </row>
    <row r="90" ht="90" customHeight="1">
      <c r="A90" s="28" t="inlineStr">
        <is>
          <t>DEF-089</t>
        </is>
      </c>
      <c r="B90" s="28" t="inlineStr">
        <is>
          <t>NET-015 (Checklist)</t>
        </is>
      </c>
      <c r="C90" s="28" t="inlineStr">
        <is>
          <t>Support ticket links show Page not found</t>
        </is>
      </c>
      <c r="D90" s="28" t="inlineStr">
        <is>
          <t>Low</t>
        </is>
      </c>
      <c r="E90" s="28" t="inlineStr">
        <is>
          <t>Navigation &amp; deep links</t>
        </is>
      </c>
      <c r="F90" s="28" t="inlineStr">
        <is>
          <t>1. Open medibook://support/tickets/&lt;ticket id&gt;</t>
        </is>
      </c>
      <c r="G90" s="28" t="inlineStr">
        <is>
          <t>The ticket thread opens.</t>
        </is>
      </c>
      <c r="H90" s="28" t="inlineStr">
        <is>
          <t>'Page not found': only fixed nested paths were accepted, not a ticket id.</t>
        </is>
      </c>
      <c r="I90" s="28" t="inlineStr">
        <is>
          <t>1.0.0+1 debug</t>
        </is>
      </c>
      <c r="J90" s="28" t="inlineStr">
        <is>
          <t>emulator-5554 / Android 14</t>
        </is>
      </c>
      <c r="K90" s="28" t="inlineStr">
        <is>
          <t>Claude (adb)</t>
        </is>
      </c>
      <c r="L90" s="40" t="n">
        <v>46301</v>
      </c>
      <c r="M90" s="28" t="inlineStr">
        <is>
          <t>Verified</t>
        </is>
      </c>
      <c r="N90" s="28" t="n"/>
      <c r="O90" s="28" t="inlineStr">
        <is>
          <t>1.0.0+1 debug (rebuilt 6 Oct 2026)</t>
        </is>
      </c>
      <c r="P90" s="28" t="inlineStr">
        <is>
          <t>Pass</t>
        </is>
      </c>
    </row>
    <row r="91" ht="90" customHeight="1">
      <c r="A91" s="28" t="inlineStr">
        <is>
          <t>DEF-090</t>
        </is>
      </c>
      <c r="B91" s="28" t="inlineStr">
        <is>
          <t>UI-014 (Checklist)</t>
        </is>
      </c>
      <c r="C91" s="28" t="inlineStr">
        <is>
          <t>Pill tabs are under 48 dp and not announced as tabs</t>
        </is>
      </c>
      <c r="D91" s="28" t="inlineStr">
        <is>
          <t>Low</t>
        </is>
      </c>
      <c r="E91" s="28" t="inlineStr">
        <is>
          <t>UI &amp; accessibility</t>
        </is>
      </c>
      <c r="F91" s="28" t="inlineStr">
        <is>
          <t>1. Notifications (or sign-in, Hospitals, Insurance)
2. Measure the All / Unread / Read tabs; listen with a screen reader</t>
        </is>
      </c>
      <c r="G91" s="28" t="inlineStr">
        <is>
          <t>48 dp tap targets announced as selectable buttons.</t>
        </is>
      </c>
      <c r="H91" s="28" t="inlineStr">
        <is>
          <t>39–41 dp tall; exposed as plain text with no selected state.</t>
        </is>
      </c>
      <c r="I91" s="28" t="inlineStr">
        <is>
          <t>1.0.0+1 debug</t>
        </is>
      </c>
      <c r="J91" s="28" t="inlineStr">
        <is>
          <t>emulator-5554 / Android 14</t>
        </is>
      </c>
      <c r="K91" s="28" t="inlineStr">
        <is>
          <t>Claude (adb)</t>
        </is>
      </c>
      <c r="L91" s="40" t="n">
        <v>46301</v>
      </c>
      <c r="M91" s="28" t="inlineStr">
        <is>
          <t>Verified</t>
        </is>
      </c>
      <c r="N91" s="28" t="n"/>
      <c r="O91" s="28" t="inlineStr">
        <is>
          <t>1.0.0+1 debug (rebuilt 6 Oct 2026)</t>
        </is>
      </c>
      <c r="P91" s="28" t="inlineStr">
        <is>
          <t>Pass</t>
        </is>
      </c>
    </row>
    <row r="92" ht="90" customHeight="1">
      <c r="A92" s="28" t="inlineStr">
        <is>
          <t>DEF-091</t>
        </is>
      </c>
      <c r="B92" s="28" t="inlineStr">
        <is>
          <t>UI-015 (Checklist)</t>
        </is>
      </c>
      <c r="C92" s="28" t="inlineStr">
        <is>
          <t>Red error text below 4.5:1 contrast</t>
        </is>
      </c>
      <c r="D92" s="28" t="inlineStr">
        <is>
          <t>Low</t>
        </is>
      </c>
      <c r="E92" s="28" t="inlineStr">
        <is>
          <t>UI &amp; accessibility</t>
        </is>
      </c>
      <c r="F92" s="28" t="inlineStr">
        <is>
          <t>1. Trigger a field error on any form</t>
        </is>
      </c>
      <c r="G92" s="28" t="inlineStr">
        <is>
          <t>Error text at least 4.5:1 on white.</t>
        </is>
      </c>
      <c r="H92" s="28" t="inlineStr">
        <is>
          <t>Error text used #E14C4C on white = 3.93:1.</t>
        </is>
      </c>
      <c r="I92" s="28" t="inlineStr">
        <is>
          <t>1.0.0+1 debug</t>
        </is>
      </c>
      <c r="J92" s="28" t="inlineStr">
        <is>
          <t>emulator-5554 / Android 14</t>
        </is>
      </c>
      <c r="K92" s="28" t="inlineStr">
        <is>
          <t>Claude (adb)</t>
        </is>
      </c>
      <c r="L92" s="40" t="n">
        <v>46301</v>
      </c>
      <c r="M92" s="28" t="inlineStr">
        <is>
          <t>Verified</t>
        </is>
      </c>
      <c r="N92" s="28" t="n"/>
      <c r="O92" s="28" t="inlineStr">
        <is>
          <t>1.0.0+1 debug (rebuilt 6 Oct 2026)</t>
        </is>
      </c>
      <c r="P92" s="28" t="inlineStr">
        <is>
          <t>Pass</t>
        </is>
      </c>
    </row>
    <row r="93" ht="90" customHeight="1">
      <c r="A93" s="28" t="inlineStr">
        <is>
          <t>DEF-092</t>
        </is>
      </c>
      <c r="B93" s="28" t="inlineStr">
        <is>
          <t>UI-009 (Checklist)</t>
        </is>
      </c>
      <c r="C93" s="28" t="inlineStr">
        <is>
          <t>Names in Malayalam, Hindi and other scripts are refused</t>
        </is>
      </c>
      <c r="D93" s="28" t="inlineStr">
        <is>
          <t>Medium</t>
        </is>
      </c>
      <c r="E93" s="28" t="inlineStr">
        <is>
          <t>UI &amp; accessibility</t>
        </is>
      </c>
      <c r="F93" s="28" t="inlineStr">
        <is>
          <t>1. Sign-up / Edit Profile / Add family member
2. Type a name in Malayalam or Hindi</t>
        </is>
      </c>
      <c r="G93" s="28" t="inlineStr">
        <is>
          <t>Accepted (the server accepts them).</t>
        </is>
      </c>
      <c r="H93" s="28" t="inlineStr">
        <is>
          <t>'Use letters only': the rule allowed A–Z only.</t>
        </is>
      </c>
      <c r="I93" s="28" t="inlineStr">
        <is>
          <t>1.0.0+1 debug</t>
        </is>
      </c>
      <c r="J93" s="28" t="inlineStr">
        <is>
          <t>emulator-5554 / Android 14</t>
        </is>
      </c>
      <c r="K93" s="28" t="inlineStr">
        <is>
          <t>Claude (adb)</t>
        </is>
      </c>
      <c r="L93" s="40" t="n">
        <v>46301</v>
      </c>
      <c r="M93" s="28" t="inlineStr">
        <is>
          <t>Verified</t>
        </is>
      </c>
      <c r="N93" s="28" t="n"/>
      <c r="O93" s="28" t="inlineStr">
        <is>
          <t>1.0.0+1 debug (rebuilt 6 Oct 2026)</t>
        </is>
      </c>
      <c r="P93" s="28" t="inlineStr">
        <is>
          <t>Pass</t>
        </is>
      </c>
    </row>
    <row r="94" ht="90" customHeight="1">
      <c r="A94" s="28" t="inlineStr">
        <is>
          <t>DEF-093</t>
        </is>
      </c>
      <c r="B94" s="28" t="inlineStr">
        <is>
          <t>PERF-008 (Checklist)</t>
        </is>
      </c>
      <c r="C94" s="28" t="inlineStr">
        <is>
          <t>Notifications socket keeps reconnecting in the background</t>
        </is>
      </c>
      <c r="D94" s="28" t="inlineStr">
        <is>
          <t>Medium</t>
        </is>
      </c>
      <c r="E94" s="28" t="inlineStr">
        <is>
          <t>Performance &amp; stability</t>
        </is>
      </c>
      <c r="F94" s="28" t="inlineStr">
        <is>
          <t>1. Sign in, press Home
2. Watch the app's connections to the server for 2 minutes</t>
        </is>
      </c>
      <c r="G94" s="28" t="inlineStr">
        <is>
          <t>No sockets or retries while the app is in the background.</t>
        </is>
      </c>
      <c r="H94" s="28" t="inlineStr">
        <is>
          <t>1–2 connections stayed open: the inbox socket, dropped by the server every few seconds, kept reconnecting in the background.</t>
        </is>
      </c>
      <c r="I94" s="28" t="inlineStr">
        <is>
          <t>1.0.0+1 debug</t>
        </is>
      </c>
      <c r="J94" s="28" t="inlineStr">
        <is>
          <t>emulator-5554 / Android 14</t>
        </is>
      </c>
      <c r="K94" s="28" t="inlineStr">
        <is>
          <t>Claude (adb)</t>
        </is>
      </c>
      <c r="L94" s="40" t="n">
        <v>46301</v>
      </c>
      <c r="M94" s="28" t="inlineStr">
        <is>
          <t>Verified</t>
        </is>
      </c>
      <c r="N94" s="28" t="n"/>
      <c r="O94" s="28" t="inlineStr">
        <is>
          <t>1.0.0+1 debug (rebuilt 6 Oct 2026)</t>
        </is>
      </c>
      <c r="P94" s="28" t="inlineStr">
        <is>
          <t>Pass</t>
        </is>
      </c>
    </row>
    <row r="95" ht="90" customHeight="1">
      <c r="A95" s="28" t="inlineStr">
        <is>
          <t>DEF-094</t>
        </is>
      </c>
      <c r="B95" s="28" t="inlineStr">
        <is>
          <t>SEC-005 (Checklist), QA Prompt 2</t>
        </is>
      </c>
      <c r="C95" s="28" t="inlineStr">
        <is>
          <t>Patient data stored unencrypted on the device</t>
        </is>
      </c>
      <c r="D95" s="28" t="inlineStr">
        <is>
          <t>High</t>
        </is>
      </c>
      <c r="E95" s="28" t="inlineStr">
        <is>
          <t>Security &amp; privacy</t>
        </is>
      </c>
      <c r="F95" s="28" t="inlineStr">
        <is>
          <t>1. Sign in and browse records and appointments
2. Inspect app_flutter/*.hive on a rooted device</t>
        </is>
      </c>
      <c r="G95" s="28" t="inlineStr">
        <is>
          <t>No readable patient data at rest.</t>
        </is>
      </c>
      <c r="H95" s="28" t="inlineStr">
        <is>
          <t>auth.hive held the name and phone; http_cache.hive held record titles, doctor names and booking references in plain text.</t>
        </is>
      </c>
      <c r="I95" s="28" t="inlineStr">
        <is>
          <t>1.0.0+1 debug</t>
        </is>
      </c>
      <c r="J95" s="28" t="inlineStr">
        <is>
          <t>emulator-5554 / Android 14</t>
        </is>
      </c>
      <c r="K95" s="28" t="inlineStr">
        <is>
          <t>Claude (adb)</t>
        </is>
      </c>
      <c r="L95" s="40" t="n">
        <v>46301</v>
      </c>
      <c r="M95" s="28" t="inlineStr">
        <is>
          <t>Verified</t>
        </is>
      </c>
      <c r="N95" s="28" t="n"/>
      <c r="O95" s="28" t="inlineStr">
        <is>
          <t>1.0.0+1 debug (rebuilt 6 Oct 2026)</t>
        </is>
      </c>
      <c r="P95" s="28" t="inlineStr">
        <is>
          <t>Pass</t>
        </is>
      </c>
    </row>
    <row r="96" ht="90" customHeight="1">
      <c r="A96" s="28" t="inlineStr">
        <is>
          <t>DEF-095</t>
        </is>
      </c>
      <c r="B96" s="28" t="inlineStr">
        <is>
          <t>SEC-007 (Checklist), QA Prompt 2</t>
        </is>
      </c>
      <c r="C96" s="28" t="inlineStr">
        <is>
          <t>Recent searches and the appointments filter carry over to the next account</t>
        </is>
      </c>
      <c r="D96" s="28" t="inlineStr">
        <is>
          <t>Medium</t>
        </is>
      </c>
      <c r="E96" s="28" t="inlineStr">
        <is>
          <t>Security &amp; privacy</t>
        </is>
      </c>
      <c r="F96" s="28" t="inlineStr">
        <is>
          <t>1. As user A, search and tap a result
2. Log out, sign in as user B
3. Open Search</t>
        </is>
      </c>
      <c r="G96" s="28" t="inlineStr">
        <is>
          <t>User B starts with no recent searches or filters.</t>
        </is>
      </c>
      <c r="H96" s="28" t="inlineStr">
        <is>
          <t>User A's recent searches (and filter) were still shown.</t>
        </is>
      </c>
      <c r="I96" s="28" t="inlineStr">
        <is>
          <t>1.0.0+1 debug</t>
        </is>
      </c>
      <c r="J96" s="28" t="inlineStr">
        <is>
          <t>emulator-5554 / Android 14</t>
        </is>
      </c>
      <c r="K96" s="28" t="inlineStr">
        <is>
          <t>Claude (adb)</t>
        </is>
      </c>
      <c r="L96" s="40" t="n">
        <v>46301</v>
      </c>
      <c r="M96" s="28" t="inlineStr">
        <is>
          <t>Verified</t>
        </is>
      </c>
      <c r="N96" s="28" t="n"/>
      <c r="O96" s="28" t="inlineStr">
        <is>
          <t>1.0.0+1 debug (rebuilt 6 Oct 2026)</t>
        </is>
      </c>
      <c r="P96" s="28" t="inlineStr">
        <is>
          <t>Pass</t>
        </is>
      </c>
    </row>
    <row r="97" ht="90" customHeight="1">
      <c r="A97" s="28" t="inlineStr">
        <is>
          <t>DEF-096</t>
        </is>
      </c>
      <c r="B97" s="28" t="inlineStr">
        <is>
          <t>REL-026 (Checklist)</t>
        </is>
      </c>
      <c r="C97" s="28" t="inlineStr">
        <is>
          <t>Font licences not shown in the app</t>
        </is>
      </c>
      <c r="D97" s="28" t="inlineStr">
        <is>
          <t>Low</t>
        </is>
      </c>
      <c r="E97" s="28" t="inlineStr">
        <is>
          <t>Release readiness</t>
        </is>
      </c>
      <c r="F97" s="28" t="inlineStr">
        <is>
          <t>1. Profile &gt; Help &gt; Open-source licences</t>
        </is>
      </c>
      <c r="G97" s="28" t="inlineStr">
        <is>
          <t>Licences for packages and the bundled Poppins and Inter fonts.</t>
        </is>
      </c>
      <c r="H97" s="28" t="inlineStr">
        <is>
          <t>Package licences now show (page added 6 Oct); the fonts' OFL texts are not in the repo, so they are not registered.</t>
        </is>
      </c>
      <c r="I97" s="28" t="inlineStr">
        <is>
          <t>1.0.0+1 debug</t>
        </is>
      </c>
      <c r="J97" s="28" t="inlineStr">
        <is>
          <t>emulator-5554 / Android 14</t>
        </is>
      </c>
      <c r="K97" s="28" t="inlineStr">
        <is>
          <t>Claude (adb)</t>
        </is>
      </c>
      <c r="L97" s="40" t="n">
        <v>46301</v>
      </c>
      <c r="M97" s="28" t="inlineStr">
        <is>
          <t>Open</t>
        </is>
      </c>
      <c r="N97" s="28" t="n"/>
      <c r="O97" s="28" t="n"/>
      <c r="P97" s="28" t="inlineStr">
        <is>
          <t/>
        </is>
      </c>
    </row>
    <row r="98" ht="90" customHeight="1">
      <c r="A98" s="28" t="inlineStr">
        <is>
          <t>DEF-097</t>
        </is>
      </c>
      <c r="B98" s="28" t="inlineStr">
        <is>
          <t>DISC-015 (Checklist)</t>
        </is>
      </c>
      <c r="C98" s="28" t="inlineStr">
        <is>
          <t>'Hospitals Near You' is not sorted by distance</t>
        </is>
      </c>
      <c r="D98" s="28" t="inlineStr">
        <is>
          <t>Medium</t>
        </is>
      </c>
      <c r="E98" s="28" t="inlineStr">
        <is>
          <t>Discovery</t>
        </is>
      </c>
      <c r="F98" s="28" t="inlineStr">
        <is>
          <t>1. Open Home &gt; Hospitals Near You</t>
        </is>
      </c>
      <c r="G98" s="28" t="inlineStr">
        <is>
          <t>Nearest hospitals first, using the phone's position; distance computed by the backend.</t>
        </is>
      </c>
      <c r="H98" s="28" t="inlineStr">
        <is>
          <t>Sorted by name: the app never read the location or sent lat/lng, although the backend supports sort=distance_km.</t>
        </is>
      </c>
      <c r="I98" s="28" t="inlineStr">
        <is>
          <t>1.0.0+1 debug</t>
        </is>
      </c>
      <c r="J98" s="28" t="inlineStr">
        <is>
          <t>emulator-5554 / Android 14</t>
        </is>
      </c>
      <c r="K98" s="28" t="inlineStr">
        <is>
          <t>Claude (adb)</t>
        </is>
      </c>
      <c r="L98" s="40" t="n">
        <v>46301</v>
      </c>
      <c r="M98" s="28" t="inlineStr">
        <is>
          <t>Verified</t>
        </is>
      </c>
      <c r="N98" s="28" t="n"/>
      <c r="O98" s="28" t="inlineStr">
        <is>
          <t>1.0.0+1 debug (rebuilt 6 Oct 2026)</t>
        </is>
      </c>
      <c r="P98" s="28" t="inlineStr">
        <is>
          <t>Pass</t>
        </is>
      </c>
    </row>
    <row r="99" ht="90" customHeight="1">
      <c r="A99" s="28" t="inlineStr">
        <is>
          <t>DEF-098</t>
        </is>
      </c>
      <c r="B99" s="28" t="inlineStr">
        <is>
          <t>HOME-006 (Checklist)</t>
        </is>
      </c>
      <c r="C99" s="28" t="inlineStr">
        <is>
          <t>Offers strip never rotates</t>
        </is>
      </c>
      <c r="D99" s="28" t="inlineStr">
        <is>
          <t>Low</t>
        </is>
      </c>
      <c r="E99" s="28" t="inlineStr">
        <is>
          <t>Home</t>
        </is>
      </c>
      <c r="F99" s="28" t="inlineStr">
        <is>
          <t>Open Home, watch the offers strip.</t>
        </is>
      </c>
      <c r="G99" s="28" t="inlineStr">
        <is>
          <t>Rotates every ~4 s, still under reduced motion.</t>
        </is>
      </c>
      <c r="H99" s="28" t="inlineStr">
        <is>
          <t>Manual scrolling only.</t>
        </is>
      </c>
      <c r="I99" s="28" t="inlineStr">
        <is>
          <t>1.0.0+1 debug</t>
        </is>
      </c>
      <c r="J99" s="28" t="inlineStr">
        <is>
          <t>emulator-5554 / Android 14</t>
        </is>
      </c>
      <c r="K99" s="28" t="inlineStr">
        <is>
          <t>Claude (adb)</t>
        </is>
      </c>
      <c r="L99" s="40" t="n">
        <v>46301</v>
      </c>
      <c r="M99" s="28" t="inlineStr">
        <is>
          <t>Verified</t>
        </is>
      </c>
      <c r="N99" s="28" t="n"/>
      <c r="O99" s="28" t="inlineStr">
        <is>
          <t>1.0.0+1 debug (rebuilt 6 Oct 2026)</t>
        </is>
      </c>
      <c r="P99" s="28" t="inlineStr">
        <is>
          <t>Pass</t>
        </is>
      </c>
    </row>
    <row r="100" ht="90" customHeight="1">
      <c r="A100" s="28" t="inlineStr">
        <is>
          <t>DEF-099</t>
        </is>
      </c>
      <c r="B100" s="28" t="inlineStr">
        <is>
          <t>DISC-001 (Checklist)</t>
        </is>
      </c>
      <c r="C100" s="28" t="inlineStr">
        <is>
          <t>Chosen location not saved; Home ignores it</t>
        </is>
      </c>
      <c r="D100" s="28" t="inlineStr">
        <is>
          <t>Medium</t>
        </is>
      </c>
      <c r="E100" s="28" t="inlineStr">
        <is>
          <t>Discovery</t>
        </is>
      </c>
      <c r="F100" s="28" t="inlineStr">
        <is>
          <t>Choose an area, go to Home, relaunch.</t>
        </is>
      </c>
      <c r="G100" s="28" t="inlineStr">
        <is>
          <t>Home and Hospitals scoped to the saved area across relaunch.</t>
        </is>
      </c>
      <c r="H100" s="28" t="inlineStr">
        <is>
          <t>Only the Hospitals list was filtered, via the link; nothing saved; Home city-wide.</t>
        </is>
      </c>
      <c r="I100" s="28" t="inlineStr">
        <is>
          <t>1.0.0+1 debug</t>
        </is>
      </c>
      <c r="J100" s="28" t="inlineStr">
        <is>
          <t>emulator-5554 / Android 14</t>
        </is>
      </c>
      <c r="K100" s="28" t="inlineStr">
        <is>
          <t>Claude (adb)</t>
        </is>
      </c>
      <c r="L100" s="40" t="n">
        <v>46301</v>
      </c>
      <c r="M100" s="28" t="inlineStr">
        <is>
          <t>Verified</t>
        </is>
      </c>
      <c r="N100" s="28" t="n"/>
      <c r="O100" s="28" t="inlineStr">
        <is>
          <t>1.0.0+1 debug (rebuilt 6 Oct 2026)</t>
        </is>
      </c>
      <c r="P100" s="28" t="inlineStr">
        <is>
          <t>Pass</t>
        </is>
      </c>
    </row>
    <row r="101" ht="90" customHeight="1">
      <c r="A101" s="28" t="inlineStr">
        <is>
          <t>DEF-100</t>
        </is>
      </c>
      <c r="B101" s="28" t="inlineStr">
        <is>
          <t>REL-011 (Checklist)</t>
        </is>
      </c>
      <c r="C101" s="28" t="inlineStr">
        <is>
          <t>No iOS privacy manifest; iOS app did not build</t>
        </is>
      </c>
      <c r="D101" s="28" t="inlineStr">
        <is>
          <t>High</t>
        </is>
      </c>
      <c r="E101" s="28" t="inlineStr">
        <is>
          <t>Release</t>
        </is>
      </c>
      <c r="F101" s="28" t="inlineStr">
        <is>
          <t>Build for iOS; look for PrivacyInfo.xcprivacy.</t>
        </is>
      </c>
      <c r="G101" s="28" t="inlineStr">
        <is>
          <t>Manifest bundled; app builds.</t>
        </is>
      </c>
      <c r="H101" s="28" t="inlineStr">
        <is>
          <t>No manifest; build failed: file_picker needs iOS 14, target 13.0.</t>
        </is>
      </c>
      <c r="I101" s="28" t="inlineStr">
        <is>
          <t>1.0.0+1 debug</t>
        </is>
      </c>
      <c r="J101" s="28" t="inlineStr">
        <is>
          <t>emulator-5554 / Android 14</t>
        </is>
      </c>
      <c r="K101" s="28" t="inlineStr">
        <is>
          <t>Claude (adb)</t>
        </is>
      </c>
      <c r="L101" s="40" t="n">
        <v>46301</v>
      </c>
      <c r="M101" s="28" t="inlineStr">
        <is>
          <t>Verified</t>
        </is>
      </c>
      <c r="N101" s="28" t="n"/>
      <c r="O101" s="28" t="inlineStr">
        <is>
          <t>1.0.0+1 debug (rebuilt 6 Oct 2026)</t>
        </is>
      </c>
      <c r="P101" s="28" t="inlineStr">
        <is>
          <t>Pass</t>
        </is>
      </c>
    </row>
    <row r="102" ht="90" customHeight="1">
      <c r="A102" s="28" t="inlineStr">
        <is>
          <t>DEF-101</t>
        </is>
      </c>
      <c r="B102" s="28" t="inlineStr">
        <is>
          <t>REL-026 (Checklist)</t>
        </is>
      </c>
      <c r="C102" s="28" t="inlineStr">
        <is>
          <t>Font licences missing from the licences page</t>
        </is>
      </c>
      <c r="D102" s="28" t="inlineStr">
        <is>
          <t>Low</t>
        </is>
      </c>
      <c r="E102" s="28" t="inlineStr">
        <is>
          <t>Profile</t>
        </is>
      </c>
      <c r="F102" s="28" t="inlineStr">
        <is>
          <t>Profile &gt; Help &gt; Open-source licences.</t>
        </is>
      </c>
      <c r="G102" s="28" t="inlineStr">
        <is>
          <t>Poppins and Inter (OFL) listed.</t>
        </is>
      </c>
      <c r="H102" s="28" t="inlineStr">
        <is>
          <t>Only packages listed.</t>
        </is>
      </c>
      <c r="I102" s="28" t="inlineStr">
        <is>
          <t>1.0.0+1 debug</t>
        </is>
      </c>
      <c r="J102" s="28" t="inlineStr">
        <is>
          <t>emulator-5554 / Android 14</t>
        </is>
      </c>
      <c r="K102" s="28" t="inlineStr">
        <is>
          <t>Claude (adb)</t>
        </is>
      </c>
      <c r="L102" s="40" t="n">
        <v>46301</v>
      </c>
      <c r="M102" s="28" t="inlineStr">
        <is>
          <t>Verified</t>
        </is>
      </c>
      <c r="N102" s="28" t="n"/>
      <c r="O102" s="28" t="inlineStr">
        <is>
          <t>1.0.0+1 debug (rebuilt 6 Oct 2026)</t>
        </is>
      </c>
      <c r="P102" s="28" t="inlineStr">
        <is>
          <t>Pass</t>
        </is>
      </c>
    </row>
    <row r="103" ht="90" customHeight="1">
      <c r="A103" s="28" t="inlineStr">
        <is>
          <t>DEF-102</t>
        </is>
      </c>
      <c r="B103" s="28" t="inlineStr">
        <is>
          <t>CODE-009 (Checklist)</t>
        </is>
      </c>
      <c r="C103" s="28" t="inlineStr">
        <is>
          <t>UI import in the application layer</t>
        </is>
      </c>
      <c r="D103" s="28" t="inlineStr">
        <is>
          <t>Medium</t>
        </is>
      </c>
      <c r="E103" s="28" t="inlineStr">
        <is>
          <t>Code quality</t>
        </is>
      </c>
      <c r="F103" s="28" t="inlineStr">
        <is>
          <t>QA Prompt 1 audit.</t>
        </is>
      </c>
      <c r="G103" s="28" t="inlineStr">
        <is>
          <t>No UI in application.</t>
        </is>
      </c>
      <c r="H103" s="28" t="inlineStr">
        <is>
          <t>home_providers.dart imported core/widgets for icons.</t>
        </is>
      </c>
      <c r="I103" s="28" t="inlineStr">
        <is>
          <t>1.0.0+1 debug</t>
        </is>
      </c>
      <c r="J103" s="28" t="inlineStr">
        <is>
          <t>emulator-5554 / Android 14</t>
        </is>
      </c>
      <c r="K103" s="28" t="inlineStr">
        <is>
          <t>Claude (adb)</t>
        </is>
      </c>
      <c r="L103" s="40" t="n">
        <v>46301</v>
      </c>
      <c r="M103" s="28" t="inlineStr">
        <is>
          <t>Verified</t>
        </is>
      </c>
      <c r="N103" s="28" t="n"/>
      <c r="O103" s="28" t="inlineStr">
        <is>
          <t>1.0.0+1 debug (rebuilt 6 Oct 2026)</t>
        </is>
      </c>
      <c r="P103" s="28" t="inlineStr">
        <is>
          <t>Pass</t>
        </is>
      </c>
    </row>
    <row r="104" ht="90" customHeight="1">
      <c r="A104" s="28" t="inlineStr">
        <is>
          <t>DEF-103</t>
        </is>
      </c>
      <c r="B104" s="28" t="inlineStr">
        <is>
          <t>CODE-010 (Checklist)</t>
        </is>
      </c>
      <c r="C104" s="28" t="inlineStr">
        <is>
          <t>Demo credentials in shared constants; .ics files survive sign-out</t>
        </is>
      </c>
      <c r="D104" s="28" t="inlineStr">
        <is>
          <t>Medium</t>
        </is>
      </c>
      <c r="E104" s="28" t="inlineStr">
        <is>
          <t>Security</t>
        </is>
      </c>
      <c r="F104" s="28" t="inlineStr">
        <is>
          <t>QA Prompt 2 audit; export to calendar, sign out.</t>
        </is>
      </c>
      <c r="G104" s="28" t="inlineStr">
        <is>
          <t>Demo values compiled out; temp files deleted at sign-out.</t>
        </is>
      </c>
      <c r="H104" s="28" t="inlineStr">
        <is>
          <t>Demo values in AppConstants; .ics left in the temp folder.</t>
        </is>
      </c>
      <c r="I104" s="28" t="inlineStr">
        <is>
          <t>1.0.0+1 debug</t>
        </is>
      </c>
      <c r="J104" s="28" t="inlineStr">
        <is>
          <t>emulator-5554 / Android 14</t>
        </is>
      </c>
      <c r="K104" s="28" t="inlineStr">
        <is>
          <t>Claude (adb)</t>
        </is>
      </c>
      <c r="L104" s="40" t="n">
        <v>46301</v>
      </c>
      <c r="M104" s="28" t="inlineStr">
        <is>
          <t>Verified</t>
        </is>
      </c>
      <c r="N104" s="28" t="n"/>
      <c r="O104" s="28" t="inlineStr">
        <is>
          <t>1.0.0+1 debug (rebuilt 6 Oct 2026)</t>
        </is>
      </c>
      <c r="P104" s="28" t="inlineStr">
        <is>
          <t>Pass</t>
        </is>
      </c>
    </row>
    <row r="105" ht="90" customHeight="1">
      <c r="A105" s="28" t="inlineStr">
        <is>
          <t>DEF-104</t>
        </is>
      </c>
      <c r="B105" s="28" t="inlineStr">
        <is>
          <t>CODE-011 (Checklist)</t>
        </is>
      </c>
      <c r="C105" s="28" t="inlineStr">
        <is>
          <t>Async providers without explicit error handling</t>
        </is>
      </c>
      <c r="D105" s="28" t="inlineStr">
        <is>
          <t>Low</t>
        </is>
      </c>
      <c r="E105" s="28" t="inlineStr">
        <is>
          <t>Code quality</t>
        </is>
      </c>
      <c r="F105" s="28" t="inlineStr">
        <is>
          <t>QA Prompt 3 audit.</t>
        </is>
      </c>
      <c r="G105" s="28" t="inlineStr">
        <is>
          <t>Errors caught, typed, logged.</t>
        </is>
      </c>
      <c r="H105" s="28" t="inlineStr">
        <is>
          <t>FutureProviders called repositories bare.</t>
        </is>
      </c>
      <c r="I105" s="28" t="inlineStr">
        <is>
          <t>1.0.0+1 debug</t>
        </is>
      </c>
      <c r="J105" s="28" t="inlineStr">
        <is>
          <t>emulator-5554 / Android 14</t>
        </is>
      </c>
      <c r="K105" s="28" t="inlineStr">
        <is>
          <t>Claude (adb)</t>
        </is>
      </c>
      <c r="L105" s="40" t="n">
        <v>46301</v>
      </c>
      <c r="M105" s="28" t="inlineStr">
        <is>
          <t>Verified</t>
        </is>
      </c>
      <c r="N105" s="28" t="n"/>
      <c r="O105" s="28" t="inlineStr">
        <is>
          <t>1.0.0+1 debug (rebuilt 6 Oct 2026)</t>
        </is>
      </c>
      <c r="P105" s="28" t="inlineStr">
        <is>
          <t>Pass</t>
        </is>
      </c>
    </row>
    <row r="106" ht="90" customHeight="1">
      <c r="A106" s="28" t="inlineStr">
        <is>
          <t>DEF-105</t>
        </is>
      </c>
      <c r="B106" s="28" t="inlineStr">
        <is>
          <t>CODE-012 (Checklist)</t>
        </is>
      </c>
      <c r="C106" s="28" t="inlineStr">
        <is>
          <t>Release always signed with the debug key; pre-commit violations</t>
        </is>
      </c>
      <c r="D106" s="28" t="inlineStr">
        <is>
          <t>High</t>
        </is>
      </c>
      <c r="E106" s="28" t="inlineStr">
        <is>
          <t>Release</t>
        </is>
      </c>
      <c r="F106" s="28" t="inlineStr">
        <is>
          <t>Build release; run the pre-commit checks over lib/.</t>
        </is>
      </c>
      <c r="G106" s="28" t="inlineStr">
        <is>
          <t>Release key used when provided; checks pass.</t>
        </is>
      </c>
      <c r="H106" s="28" t="inlineStr">
        <is>
          <t>Debug key hard-coded; a debugPrint and .state writes would block commits.</t>
        </is>
      </c>
      <c r="I106" s="28" t="inlineStr">
        <is>
          <t>1.0.0+1 debug</t>
        </is>
      </c>
      <c r="J106" s="28" t="inlineStr">
        <is>
          <t>emulator-5554 / Android 14</t>
        </is>
      </c>
      <c r="K106" s="28" t="inlineStr">
        <is>
          <t>Claude (adb)</t>
        </is>
      </c>
      <c r="L106" s="40" t="n">
        <v>46301</v>
      </c>
      <c r="M106" s="28" t="inlineStr">
        <is>
          <t>Verified</t>
        </is>
      </c>
      <c r="N106" s="28" t="n"/>
      <c r="O106" s="28" t="inlineStr">
        <is>
          <t>1.0.0+1 debug (rebuilt 6 Oct 2026)</t>
        </is>
      </c>
      <c r="P106" s="28" t="inlineStr">
        <is>
          <t>Pass</t>
        </is>
      </c>
    </row>
    <row r="107" ht="90" customHeight="1">
      <c r="A107" s="28" t="inlineStr">
        <is>
          <t>DEF-106</t>
        </is>
      </c>
      <c r="B107" s="28" t="inlineStr">
        <is>
          <t>CODE-013 (Checklist)</t>
        </is>
      </c>
      <c r="C107" s="28" t="inlineStr">
        <is>
          <t>Cache ignores 412 and Content-Type</t>
        </is>
      </c>
      <c r="D107" s="28" t="inlineStr">
        <is>
          <t>Low</t>
        </is>
      </c>
      <c r="E107" s="28" t="inlineStr">
        <is>
          <t>Cache</t>
        </is>
      </c>
      <c r="F107" s="28" t="inlineStr">
        <is>
          <t>Conditional GET answered 412; non-JSON response.</t>
        </is>
      </c>
      <c r="G107" s="28" t="inlineStr">
        <is>
          <t>412 refetches without ETag; non-JSON refused.</t>
        </is>
      </c>
      <c r="H107" s="28" t="inlineStr">
        <is>
          <t>412 surfaced as an error; Content-Type not checked.</t>
        </is>
      </c>
      <c r="I107" s="28" t="inlineStr">
        <is>
          <t>1.0.0+1 debug</t>
        </is>
      </c>
      <c r="J107" s="28" t="inlineStr">
        <is>
          <t>emulator-5554 / Android 14</t>
        </is>
      </c>
      <c r="K107" s="28" t="inlineStr">
        <is>
          <t>Claude (adb)</t>
        </is>
      </c>
      <c r="L107" s="40" t="n">
        <v>46301</v>
      </c>
      <c r="M107" s="28" t="inlineStr">
        <is>
          <t>Verified</t>
        </is>
      </c>
      <c r="N107" s="28" t="n"/>
      <c r="O107" s="28" t="inlineStr">
        <is>
          <t>1.0.0+1 debug (rebuilt 6 Oct 2026)</t>
        </is>
      </c>
      <c r="P107" s="28" t="inlineStr">
        <is>
          <t>Pass</t>
        </is>
      </c>
    </row>
    <row r="108" ht="90" customHeight="1">
      <c r="A108" s="28" t="inlineStr">
        <is>
          <t>DEF-107</t>
        </is>
      </c>
      <c r="B108" s="28" t="inlineStr">
        <is>
          <t>CODE-014 (Checklist)</t>
        </is>
      </c>
      <c r="C108" s="28" t="inlineStr">
        <is>
          <t>Layer boundaries broken (application-&gt;infrastructure, domain-&gt;Dio/Hive/router)</t>
        </is>
      </c>
      <c r="D108" s="28" t="inlineStr">
        <is>
          <t>High</t>
        </is>
      </c>
      <c r="E108" s="28" t="inlineStr">
        <is>
          <t>Architecture</t>
        </is>
      </c>
      <c r="F108" s="28" t="inlineStr">
        <is>
          <t>QA architecture audit.</t>
        </is>
      </c>
      <c r="G108" s="28" t="inlineStr">
        <is>
          <t>No upward/infrastructure imports.</t>
        </is>
      </c>
      <c r="H108" s="28" t="inlineStr">
        <is>
          <t>16 application files imported infrastructure; domain imported cached_fetcher/api_client/app routes.</t>
        </is>
      </c>
      <c r="I108" s="28" t="inlineStr">
        <is>
          <t>1.0.0+1 debug</t>
        </is>
      </c>
      <c r="J108" s="28" t="inlineStr">
        <is>
          <t>emulator-5554 / Android 14</t>
        </is>
      </c>
      <c r="K108" s="28" t="inlineStr">
        <is>
          <t>Claude (adb)</t>
        </is>
      </c>
      <c r="L108" s="40" t="n">
        <v>46301</v>
      </c>
      <c r="M108" s="28" t="inlineStr">
        <is>
          <t>Verified</t>
        </is>
      </c>
      <c r="N108" s="28" t="n"/>
      <c r="O108" s="28" t="inlineStr">
        <is>
          <t>1.0.0+1 debug (rebuilt 6 Oct 2026)</t>
        </is>
      </c>
      <c r="P108" s="28" t="inlineStr">
        <is>
          <t>Pass</t>
        </is>
      </c>
    </row>
    <row r="109" ht="90" customHeight="1">
      <c r="A109" s="28" t="inlineStr">
        <is>
          <t>DEF-108</t>
        </is>
      </c>
      <c r="B109" s="28" t="inlineStr">
        <is>
          <t>CODE-015 (Checklist)</t>
        </is>
      </c>
      <c r="C109" s="28" t="inlineStr">
        <is>
          <t>Folder layout differs from the structure spec</t>
        </is>
      </c>
      <c r="D109" s="28" t="inlineStr">
        <is>
          <t>Medium</t>
        </is>
      </c>
      <c r="E109" s="28" t="inlineStr">
        <is>
          <t>Architecture</t>
        </is>
      </c>
      <c r="F109" s="28" t="inlineStr">
        <is>
          <t>Compare lib/ with Folder structure CSV.</t>
        </is>
      </c>
      <c r="G109" s="28" t="inlineStr">
        <is>
          <t>Canonical layer folders only.</t>
        </is>
      </c>
      <c r="H109" s="28" t="inlineStr">
        <is>
          <t>controllers in presentation, policies, flat common folders, extra core folders.</t>
        </is>
      </c>
      <c r="I109" s="28" t="inlineStr">
        <is>
          <t>1.0.0+1 debug</t>
        </is>
      </c>
      <c r="J109" s="28" t="inlineStr">
        <is>
          <t>emulator-5554 / Android 14</t>
        </is>
      </c>
      <c r="K109" s="28" t="inlineStr">
        <is>
          <t>Claude (adb)</t>
        </is>
      </c>
      <c r="L109" s="40" t="n">
        <v>46301</v>
      </c>
      <c r="M109" s="28" t="inlineStr">
        <is>
          <t>Verified</t>
        </is>
      </c>
      <c r="N109" s="28" t="n"/>
      <c r="O109" s="28" t="inlineStr">
        <is>
          <t>1.0.0+1 debug (rebuilt 6 Oct 2026)</t>
        </is>
      </c>
      <c r="P109" s="28" t="inlineStr">
        <is>
          <t>Pass</t>
        </is>
      </c>
    </row>
    <row r="110" ht="90" customHeight="1">
      <c r="A110" s="28" t="inlineStr">
        <is>
          <t>DEF-109</t>
        </is>
      </c>
      <c r="B110" s="28" t="inlineStr">
        <is>
          <t>Home audit 6 Oct (offers strip)</t>
        </is>
      </c>
      <c r="C110" s="28" t="inlineStr">
        <is>
          <t>Banner title cut to 2 lines hides the offer</t>
        </is>
      </c>
      <c r="D110" s="28" t="inlineStr">
        <is>
          <t>Medium</t>
        </is>
      </c>
      <c r="E110" s="28" t="inlineStr">
        <is>
          <t>Home</t>
        </is>
      </c>
      <c r="F110" s="28" t="inlineStr">
        <is>
          <t>Open Home; read the first offer.</t>
        </is>
      </c>
      <c r="G110" s="28" t="inlineStr">
        <is>
          <t>The server title in full.</t>
        </is>
      </c>
      <c r="H110" s="28" t="inlineStr">
        <is>
          <t>"Lakeshore Multispeciality H…": "free BP check every Saturday" never visible. Fixed: title up to 3 lines and full card width when there is no image; verified on emulator.</t>
        </is>
      </c>
      <c r="I110" s="28" t="inlineStr">
        <is>
          <t>1.0.0+1 debug</t>
        </is>
      </c>
      <c r="J110" s="28" t="inlineStr">
        <is>
          <t>emulator-5554 / Android 14</t>
        </is>
      </c>
      <c r="K110" s="28" t="inlineStr">
        <is>
          <t>Claude (adb)</t>
        </is>
      </c>
      <c r="L110" s="40" t="n">
        <v>46301</v>
      </c>
      <c r="M110" s="28" t="inlineStr">
        <is>
          <t>Verified</t>
        </is>
      </c>
      <c r="N110" s="28" t="n"/>
      <c r="O110" s="28" t="inlineStr">
        <is>
          <t>1.0.0+1 debug (rebuilt 6 Oct 2026)</t>
        </is>
      </c>
      <c r="P110" s="28" t="inlineStr">
        <is>
          <t>Pass</t>
        </is>
      </c>
    </row>
    <row r="111" ht="90" customHeight="1">
      <c r="A111" s="28" t="inlineStr">
        <is>
          <t>DEF-110</t>
        </is>
      </c>
      <c r="B111" s="28" t="inlineStr">
        <is>
          <t>Home audit 6 Oct (offers strip)</t>
        </is>
      </c>
      <c r="C111" s="28" t="inlineStr">
        <is>
          <t>Banner cta_label / cta_target ignored</t>
        </is>
      </c>
      <c r="D111" s="28" t="inlineStr">
        <is>
          <t>Low</t>
        </is>
      </c>
      <c r="E111" s="28" t="inlineStr">
        <is>
          <t>Home</t>
        </is>
      </c>
      <c r="F111" s="28" t="inlineStr">
        <is>
          <t>Banner with cta_label + cta_target.</t>
        </is>
      </c>
      <c r="G111" s="28" t="inlineStr">
        <is>
          <t>Button shows the label; tap follows the target.</t>
        </is>
      </c>
      <c r="H111" s="28" t="inlineStr">
        <is>
          <t>Fields never read; tap always opened the hospital. Fixed: label shown as a button; medibook:// and https://medibook.app links open in-app, other https in the browser, else the hospital (home_audit_test). Seed has no CTA (BB-27).</t>
        </is>
      </c>
      <c r="I111" s="28" t="inlineStr">
        <is>
          <t>1.0.0+1 debug</t>
        </is>
      </c>
      <c r="J111" s="28" t="inlineStr">
        <is>
          <t>emulator-5554 / Android 14</t>
        </is>
      </c>
      <c r="K111" s="28" t="inlineStr">
        <is>
          <t>Claude (adb)</t>
        </is>
      </c>
      <c r="L111" s="40" t="n">
        <v>46301</v>
      </c>
      <c r="M111" s="28" t="inlineStr">
        <is>
          <t>Verified</t>
        </is>
      </c>
      <c r="N111" s="28" t="n"/>
      <c r="O111" s="28" t="inlineStr">
        <is>
          <t>1.0.0+1 debug (rebuilt 6 Oct 2026)</t>
        </is>
      </c>
      <c r="P111" s="28" t="inlineStr">
        <is>
          <t>Pass</t>
        </is>
      </c>
    </row>
    <row r="112" ht="90" customHeight="1">
      <c r="A112" s="28" t="inlineStr">
        <is>
          <t>DEF-111</t>
        </is>
      </c>
      <c r="B112" s="28" t="inlineStr">
        <is>
          <t>Home audit 6 Oct (Hospitals Near You)</t>
        </is>
      </c>
      <c r="C112" s="28" t="inlineStr">
        <is>
          <t>Hospital card cuts the day, hides next slot when distance known, no rating count, name cut</t>
        </is>
      </c>
      <c r="D112" s="28" t="inlineStr">
        <is>
          <t>Medium</t>
        </is>
      </c>
      <c r="E112" s="28" t="inlineStr">
        <is>
          <t>Home</t>
        </is>
      </c>
      <c r="F112" s="28" t="inlineStr">
        <is>
          <t>Open Home; read a hospital card.</t>
        </is>
      </c>
      <c r="G112" s="28" t="inlineStr">
        <is>
          <t>Every server value readable.</t>
        </is>
      </c>
      <c r="H112" s="28" t="inlineStr">
        <is>
          <t>"Next free 9:00 AM to…"; with a location the slot was replaced by the distance; rating_count unused. Fixed: one fact per line - area (+ distance), "Tomorrow, 9:00 AM", "3.9 · 21 ratings"; name up to 2 lines. Verified on emulator.</t>
        </is>
      </c>
      <c r="I112" s="28" t="inlineStr">
        <is>
          <t>1.0.0+1 debug</t>
        </is>
      </c>
      <c r="J112" s="28" t="inlineStr">
        <is>
          <t>emulator-5554 / Android 14</t>
        </is>
      </c>
      <c r="K112" s="28" t="inlineStr">
        <is>
          <t>Claude (adb)</t>
        </is>
      </c>
      <c r="L112" s="40" t="n">
        <v>46301</v>
      </c>
      <c r="M112" s="28" t="inlineStr">
        <is>
          <t>Verified</t>
        </is>
      </c>
      <c r="N112" s="28" t="n"/>
      <c r="O112" s="28" t="inlineStr">
        <is>
          <t>1.0.0+1 debug (rebuilt 6 Oct 2026)</t>
        </is>
      </c>
      <c r="P112" s="28" t="inlineStr">
        <is>
          <t>Pass</t>
        </is>
      </c>
    </row>
    <row r="113" ht="90" customHeight="1">
      <c r="A113" s="28" t="inlineStr">
        <is>
          <t>DEF-112</t>
        </is>
      </c>
      <c r="B113" s="28" t="inlineStr">
        <is>
          <t>Home audit 6 Oct (Hospitals Near You)</t>
        </is>
      </c>
      <c r="C113" s="28" t="inlineStr">
        <is>
          <t>Home waits up to 10 s for a location fix before showing hospitals and offers</t>
        </is>
      </c>
      <c r="D113" s="28" t="inlineStr">
        <is>
          <t>Medium</t>
        </is>
      </c>
      <c r="E113" s="28" t="inlineStr">
        <is>
          <t>Home</t>
        </is>
      </c>
      <c r="F113" s="28" t="inlineStr">
        <is>
          <t>Cold start with no location fix.</t>
        </is>
      </c>
      <c r="G113" s="28" t="inlineStr">
        <is>
          <t>List at once, re-sorted when the position arrives.</t>
        </is>
      </c>
      <c r="H113" s="28" t="inlineStr">
        <is>
          <t>Offers appeared after ~9 s (regression from DEF-097). Fixed: list shown at once in name order, re-asked nearest first when coordinates change; verified offers in 2 s.</t>
        </is>
      </c>
      <c r="I113" s="28" t="inlineStr">
        <is>
          <t>1.0.0+1 debug</t>
        </is>
      </c>
      <c r="J113" s="28" t="inlineStr">
        <is>
          <t>emulator-5554 / Android 14</t>
        </is>
      </c>
      <c r="K113" s="28" t="inlineStr">
        <is>
          <t>Claude (adb)</t>
        </is>
      </c>
      <c r="L113" s="40" t="n">
        <v>46301</v>
      </c>
      <c r="M113" s="28" t="inlineStr">
        <is>
          <t>Verified</t>
        </is>
      </c>
      <c r="N113" s="28" t="n"/>
      <c r="O113" s="28" t="inlineStr">
        <is>
          <t>1.0.0+1 debug (rebuilt 6 Oct 2026)</t>
        </is>
      </c>
      <c r="P113" s="28" t="inlineStr">
        <is>
          <t>Pass</t>
        </is>
      </c>
    </row>
    <row r="114" ht="90" customHeight="1">
      <c r="A114" s="28" t="inlineStr">
        <is>
          <t>DEF-113</t>
        </is>
      </c>
      <c r="B114" s="28" t="inlineStr">
        <is>
          <t>Home audit 6 Oct (Your Token card)</t>
        </is>
      </c>
      <c r="C114" s="28" t="inlineStr">
        <is>
          <t>Unpaid card shows no amount or deadline and outlives the hold</t>
        </is>
      </c>
      <c r="D114" s="28" t="inlineStr">
        <is>
          <t>Medium</t>
        </is>
      </c>
      <c r="E114" s="28" t="inlineStr">
        <is>
          <t>Home</t>
        </is>
      </c>
      <c r="F114" s="28" t="inlineStr">
        <is>
          <t>Book, do not pay, stay on Home.</t>
        </is>
      </c>
      <c r="G114" s="28" t="inlineStr">
        <is>
          <t>"Pay ₹524 by 2:34 PM to confirm"; card leaves when the hold ends.</t>
        </is>
      </c>
      <c r="H114" s="28" t="inlineStr">
        <is>
          <t>Generic 'Pay to confirm' line; card stayed after the hold ended. Fixed: amount (total_paise) and pay-by time (booking_deadline_at, hospital zone): 'Pay ₹524 by 2:34 PM to confirm' matched the server (08:57:38 UTC = 2:27 PM IST on an earlier hold). At the deadline (server clock) the card hides at once and the list is re-read every 15 s until the server releases the booking - the server sweeps holds late (released 11 s and 52 s after their deadlines).</t>
        </is>
      </c>
      <c r="I114" s="28" t="inlineStr">
        <is>
          <t>1.0.0+1 debug</t>
        </is>
      </c>
      <c r="J114" s="28" t="inlineStr">
        <is>
          <t>emulator-5554 / Android 14</t>
        </is>
      </c>
      <c r="K114" s="28" t="inlineStr">
        <is>
          <t>Claude (adb)</t>
        </is>
      </c>
      <c r="L114" s="40" t="n">
        <v>46301</v>
      </c>
      <c r="M114" s="28" t="inlineStr">
        <is>
          <t>Verified</t>
        </is>
      </c>
      <c r="N114" s="28" t="n"/>
      <c r="O114" s="28" t="inlineStr">
        <is>
          <t>1.0.0+1 debug (rebuilt 6 Oct 2026)</t>
        </is>
      </c>
      <c r="P114" s="28" t="inlineStr">
        <is>
          <t>Pass</t>
        </is>
      </c>
    </row>
    <row r="115" ht="90" customHeight="1">
      <c r="A115" s="28" t="inlineStr">
        <is>
          <t>DEF-114</t>
        </is>
      </c>
      <c r="B115" s="28" t="inlineStr">
        <is>
          <t>Home audit 6 Oct (Available Services)</t>
        </is>
      </c>
      <c r="C115" s="28" t="inlineStr">
        <is>
          <t>Service tiles do not show hospital_count</t>
        </is>
      </c>
      <c r="D115" s="28" t="inlineStr">
        <is>
          <t>Low</t>
        </is>
      </c>
      <c r="E115" s="28" t="inlineStr">
        <is>
          <t>Home</t>
        </is>
      </c>
      <c r="F115" s="28" t="inlineStr">
        <is>
          <t>Open Home; Available Services.</t>
        </is>
      </c>
      <c r="G115" s="28" t="inlineStr">
        <is>
          <t>"General Medicine · 2 hospitals".</t>
        </is>
      </c>
      <c r="H115" s="28" t="inlineStr">
        <is>
          <t>Count unused. Fixed: muted second line on each tile; verified.</t>
        </is>
      </c>
      <c r="I115" s="28" t="inlineStr">
        <is>
          <t>1.0.0+1 debug</t>
        </is>
      </c>
      <c r="J115" s="28" t="inlineStr">
        <is>
          <t>emulator-5554 / Android 14</t>
        </is>
      </c>
      <c r="K115" s="28" t="inlineStr">
        <is>
          <t>Claude (adb)</t>
        </is>
      </c>
      <c r="L115" s="40" t="n">
        <v>46301</v>
      </c>
      <c r="M115" s="28" t="inlineStr">
        <is>
          <t>Verified</t>
        </is>
      </c>
      <c r="N115" s="28" t="n"/>
      <c r="O115" s="28" t="inlineStr">
        <is>
          <t>1.0.0+1 debug (rebuilt 6 Oct 2026)</t>
        </is>
      </c>
      <c r="P115" s="28" t="inlineStr">
        <is>
          <t>Pass</t>
        </is>
      </c>
    </row>
    <row r="116" ht="90" customHeight="1">
      <c r="A116" s="28" t="inlineStr">
        <is>
          <t>DEF-115</t>
        </is>
      </c>
      <c r="B116" s="28" t="inlineStr">
        <is>
          <t>Appointments audit 6 Oct (card)</t>
        </is>
      </c>
      <c r="C116" s="28" t="inlineStr">
        <is>
          <t>Booking reference hidden when a token exists; dead token on cancelled cards</t>
        </is>
      </c>
      <c r="D116" s="28" t="inlineStr">
        <is>
          <t>Medium</t>
        </is>
      </c>
      <c r="E116" s="28" t="inlineStr">
        <is>
          <t>Appointments</t>
        </is>
      </c>
      <c r="F116" s="28" t="inlineStr">
        <is>
          <t>Open Completed / Canceled; search by a reference.</t>
        </is>
      </c>
      <c r="G116" s="28" t="inlineStr">
        <is>
          <t>Reference on every card; no token on cancelled/missed.</t>
        </is>
      </c>
      <c r="H116" s="28" t="inlineStr">
        <is>
          <t>"Token A001" only; search by reference showed no reference. Fixed: "Token A001 · Ref LKSB-2609-00097"; cancelled/no-show show the reference only. Verified (search "00207" -&gt; card shows Ref LKSB-2610-00207).</t>
        </is>
      </c>
      <c r="I116" s="28" t="inlineStr">
        <is>
          <t>1.0.0+1 debug</t>
        </is>
      </c>
      <c r="J116" s="28" t="inlineStr">
        <is>
          <t>emulator-5554 / Android 14</t>
        </is>
      </c>
      <c r="K116" s="28" t="inlineStr">
        <is>
          <t>Claude (adb)</t>
        </is>
      </c>
      <c r="L116" s="40" t="n">
        <v>46301</v>
      </c>
      <c r="M116" s="28" t="inlineStr">
        <is>
          <t>Verified</t>
        </is>
      </c>
      <c r="N116" s="28" t="n"/>
      <c r="O116" s="28" t="inlineStr">
        <is>
          <t>1.0.0+1 debug (rebuilt 6 Oct 2026)</t>
        </is>
      </c>
      <c r="P116" s="28" t="inlineStr">
        <is>
          <t>Pass</t>
        </is>
      </c>
    </row>
    <row r="117" ht="90" customHeight="1">
      <c r="A117" s="28" t="inlineStr">
        <is>
          <t>DEF-116</t>
        </is>
      </c>
      <c r="B117" s="28" t="inlineStr">
        <is>
          <t>Appointments audit 6 Oct (card + detail)</t>
        </is>
      </c>
      <c r="C117" s="28" t="inlineStr">
        <is>
          <t>Server cancellation reason never shown; "You cancelled" assumed when cancelled_by missing</t>
        </is>
      </c>
      <c r="D117" s="28" t="inlineStr">
        <is>
          <t>Medium</t>
        </is>
      </c>
      <c r="E117" s="28" t="inlineStr">
        <is>
          <t>Appointments</t>
        </is>
      </c>
      <c r="F117" s="28" t="inlineStr">
        <is>
          <t>Open a booking cancelled with a typed reason.</t>
        </is>
      </c>
      <c r="G117" s="28" t="inlineStr">
        <is>
          <t>The reason as the server sent it.</t>
        </is>
      </c>
      <c r="H117" s="28" t="inlineStr">
        <is>
          <t>Only who cancelled. Fixed: free text shown ("You cancelled this appointment. Reason: Test notification."), unknown codes spelt out, known codes not repeated; neutral line when cancelled_by is null (status_reason_test). Codes undocumented: BB-36.</t>
        </is>
      </c>
      <c r="I117" s="28" t="inlineStr">
        <is>
          <t>1.0.0+1 debug</t>
        </is>
      </c>
      <c r="J117" s="28" t="inlineStr">
        <is>
          <t>emulator-5554 / Android 14</t>
        </is>
      </c>
      <c r="K117" s="28" t="inlineStr">
        <is>
          <t>Claude (adb)</t>
        </is>
      </c>
      <c r="L117" s="40" t="n">
        <v>46301</v>
      </c>
      <c r="M117" s="28" t="inlineStr">
        <is>
          <t>Verified</t>
        </is>
      </c>
      <c r="N117" s="28" t="n"/>
      <c r="O117" s="28" t="inlineStr">
        <is>
          <t>1.0.0+1 debug (rebuilt 6 Oct 2026)</t>
        </is>
      </c>
      <c r="P117" s="28" t="inlineStr">
        <is>
          <t>Pass</t>
        </is>
      </c>
    </row>
    <row r="118" ht="90" customHeight="1">
      <c r="A118" s="28" t="inlineStr">
        <is>
          <t>DEF-117</t>
        </is>
      </c>
      <c r="B118" s="28" t="inlineStr">
        <is>
          <t>Appointments audit 6 Oct (card)</t>
        </is>
      </c>
      <c r="C118" s="28" t="inlineStr">
        <is>
          <t>Follow-up visits not marked</t>
        </is>
      </c>
      <c r="D118" s="28" t="inlineStr">
        <is>
          <t>Low</t>
        </is>
      </c>
      <c r="E118" s="28" t="inlineStr">
        <is>
          <t>Appointments</t>
        </is>
      </c>
      <c r="F118" s="28" t="inlineStr">
        <is>
          <t>Completed tab, 15 Sep visit (is_follow_up true).</t>
        </is>
      </c>
      <c r="G118" s="28" t="inlineStr">
        <is>
          <t>"Follow-up" on the card.</t>
        </is>
      </c>
      <c r="H118" s="28" t="inlineStr">
        <is>
          <t>Nothing. Fixed and verified.</t>
        </is>
      </c>
      <c r="I118" s="28" t="inlineStr">
        <is>
          <t>1.0.0+1 debug</t>
        </is>
      </c>
      <c r="J118" s="28" t="inlineStr">
        <is>
          <t>emulator-5554 / Android 14</t>
        </is>
      </c>
      <c r="K118" s="28" t="inlineStr">
        <is>
          <t>Claude (adb)</t>
        </is>
      </c>
      <c r="L118" s="40" t="n">
        <v>46301</v>
      </c>
      <c r="M118" s="28" t="inlineStr">
        <is>
          <t>Verified</t>
        </is>
      </c>
      <c r="N118" s="28" t="n"/>
      <c r="O118" s="28" t="inlineStr">
        <is>
          <t>1.0.0+1 debug (rebuilt 6 Oct 2026)</t>
        </is>
      </c>
      <c r="P118" s="28" t="inlineStr">
        <is>
          <t>Pass</t>
        </is>
      </c>
    </row>
    <row r="119" ht="90" customHeight="1">
      <c r="A119" s="28" t="inlineStr">
        <is>
          <t>DEF-118</t>
        </is>
      </c>
      <c r="B119" s="28" t="inlineStr">
        <is>
          <t>Appointments audit 6 Oct (card)</t>
        </is>
      </c>
      <c r="C119" s="28" t="inlineStr">
        <is>
          <t>Hospital name cut off; department hidden behind specialisation</t>
        </is>
      </c>
      <c r="D119" s="28" t="inlineStr">
        <is>
          <t>Low</t>
        </is>
      </c>
      <c r="E119" s="28" t="inlineStr">
        <is>
          <t>Appointments</t>
        </is>
      </c>
      <c r="F119" s="28" t="inlineStr">
        <is>
          <t>Any card.</t>
        </is>
      </c>
      <c r="G119" s="28" t="inlineStr">
        <is>
          <t>Full hospital name and the department.</t>
        </is>
      </c>
      <c r="H119" s="28" t="inlineStr">
        <is>
          <t>"Interventional · Lakeshore Multispeciality …". Fixed: "Interventional · Cardiology" then the hospital on its own line. Verified.</t>
        </is>
      </c>
      <c r="I119" s="28" t="inlineStr">
        <is>
          <t>1.0.0+1 debug</t>
        </is>
      </c>
      <c r="J119" s="28" t="inlineStr">
        <is>
          <t>emulator-5554 / Android 14</t>
        </is>
      </c>
      <c r="K119" s="28" t="inlineStr">
        <is>
          <t>Claude (adb)</t>
        </is>
      </c>
      <c r="L119" s="40" t="n">
        <v>46301</v>
      </c>
      <c r="M119" s="28" t="inlineStr">
        <is>
          <t>Verified</t>
        </is>
      </c>
      <c r="N119" s="28" t="n"/>
      <c r="O119" s="28" t="inlineStr">
        <is>
          <t>1.0.0+1 debug (rebuilt 6 Oct 2026)</t>
        </is>
      </c>
      <c r="P119" s="28" t="inlineStr">
        <is>
          <t>Pass</t>
        </is>
      </c>
    </row>
    <row r="120" ht="90" customHeight="1">
      <c r="A120" s="28" t="inlineStr">
        <is>
          <t>DEF-119</t>
        </is>
      </c>
      <c r="B120" s="28" t="inlineStr">
        <is>
          <t>Appointments audit 6 Oct (Upcoming card)</t>
        </is>
      </c>
      <c r="C120" s="28" t="inlineStr">
        <is>
          <t>No room, amount or pay-by time on upcoming cards</t>
        </is>
      </c>
      <c r="D120" s="28" t="inlineStr">
        <is>
          <t>Medium</t>
        </is>
      </c>
      <c r="E120" s="28" t="inlineStr">
        <is>
          <t>Appointments</t>
        </is>
      </c>
      <c r="F120" s="28" t="inlineStr">
        <is>
          <t>Book without paying; open Upcoming.</t>
        </is>
      </c>
      <c r="G120" s="28" t="inlineStr">
        <is>
          <t>Room and "Pay ₹524 by &lt;time&gt; to confirm".</t>
        </is>
      </c>
      <c r="H120" s="28" t="inlineStr">
        <is>
          <t>Only "Complete payment". Fixed: "Room OPD-01" in the meta line and "Pay ₹524 by 4:29 PM to confirm" (server deadline 10:59:17 UTC). Verified.</t>
        </is>
      </c>
      <c r="I120" s="28" t="inlineStr">
        <is>
          <t>1.0.0+1 debug</t>
        </is>
      </c>
      <c r="J120" s="28" t="inlineStr">
        <is>
          <t>emulator-5554 / Android 14</t>
        </is>
      </c>
      <c r="K120" s="28" t="inlineStr">
        <is>
          <t>Claude (adb)</t>
        </is>
      </c>
      <c r="L120" s="40" t="n">
        <v>46301</v>
      </c>
      <c r="M120" s="28" t="inlineStr">
        <is>
          <t>Verified</t>
        </is>
      </c>
      <c r="N120" s="28" t="n"/>
      <c r="O120" s="28" t="inlineStr">
        <is>
          <t>1.0.0+1 debug (rebuilt 6 Oct 2026)</t>
        </is>
      </c>
      <c r="P120" s="28" t="inlineStr">
        <is>
          <t>Pass</t>
        </is>
      </c>
    </row>
    <row r="121" ht="90" customHeight="1">
      <c r="A121" s="28" t="inlineStr">
        <is>
          <t>DEF-120</t>
        </is>
      </c>
      <c r="B121" s="28" t="inlineStr">
        <is>
          <t>Appointments audit 6 Oct (Upcoming tab, search)</t>
        </is>
      </c>
      <c r="C121" s="28" t="inlineStr">
        <is>
          <t>Expired unpaid booking stays on the open list with its pay line</t>
        </is>
      </c>
      <c r="D121" s="28" t="inlineStr">
        <is>
          <t>Medium</t>
        </is>
      </c>
      <c r="E121" s="28" t="inlineStr">
        <is>
          <t>Appointments</t>
        </is>
      </c>
      <c r="F121" s="28" t="inlineStr">
        <is>
          <t>Book without paying; leave Upcoming open past the deadline.</t>
        </is>
      </c>
      <c r="G121" s="28" t="inlineStr">
        <is>
          <t>Card leaves at the deadline; count follows the server.</t>
        </is>
      </c>
      <c r="H121" s="28" t="inlineStr">
        <is>
          <t>At 11:14 the card still said "Pay ₹524 by 4:41 PM" and "1 visit" (deadline 11:11:59; server total 0). Fixed: shared HoldDeadline (Home, Upcoming tab, search results) hides the card at the deadline by the server clock and re-reads every 15 s until released. Verified: deadline 11:25:57, card gone 11:26:00, count 0 at 11:27:01 when the server released it (late release: BB-37). Test: hold_deadline_test.</t>
        </is>
      </c>
      <c r="I121" s="28" t="inlineStr">
        <is>
          <t>1.0.0+1 debug</t>
        </is>
      </c>
      <c r="J121" s="28" t="inlineStr">
        <is>
          <t>emulator-5554 / Android 14</t>
        </is>
      </c>
      <c r="K121" s="28" t="inlineStr">
        <is>
          <t>Claude (adb)</t>
        </is>
      </c>
      <c r="L121" s="40" t="n">
        <v>46301</v>
      </c>
      <c r="M121" s="28" t="inlineStr">
        <is>
          <t>Verified</t>
        </is>
      </c>
      <c r="N121" s="28" t="n"/>
      <c r="O121" s="28" t="inlineStr">
        <is>
          <t>1.0.0+1 debug (rebuilt 6 Oct 2026)</t>
        </is>
      </c>
      <c r="P121" s="28" t="inlineStr">
        <is>
          <t>Pass</t>
        </is>
      </c>
    </row>
    <row r="122" ht="90" customHeight="1">
      <c r="A122" s="28" t="inlineStr">
        <is>
          <t>DEF-121</t>
        </is>
      </c>
      <c r="B122" s="28" t="inlineStr">
        <is>
          <t>Screen Coverage - Offline (all screens)</t>
        </is>
      </c>
      <c r="C122" s="28" t="inlineStr">
        <is>
          <t>No app-wide offline indicator; six different per-screen wordings; some screens silent</t>
        </is>
      </c>
      <c r="D122" s="28" t="inlineStr">
        <is>
          <t>Medium</t>
        </is>
      </c>
      <c r="E122" s="28" t="inlineStr">
        <is>
          <t>App</t>
        </is>
      </c>
      <c r="F122" s="28" t="inlineStr">
        <is>
          <t>Airplane mode, visit every screen.</t>
        </is>
      </c>
      <c r="G122" s="28" t="inlineStr">
        <is>
          <t>One consistent indicator on every screen.</t>
        </is>
      </c>
      <c r="H122" s="28" t="inlineStr">
        <is>
          <t>Home only at the bottom; Profile, Search, Receipt, Document, Help silent; six wordings. Fixed: OfflineBar in MaterialApp.builder ("You're offline - showing what was saved on this phone." / "Can't reach Medibook right now…"), per-screen offline lines removed (Appointments keeps "Saved N ago"). Verified on Home, Appointments, Records, booking, payment.</t>
        </is>
      </c>
      <c r="I122" s="28" t="inlineStr">
        <is>
          <t>1.0.0+1 debug</t>
        </is>
      </c>
      <c r="J122" s="28" t="inlineStr">
        <is>
          <t>emulator-5554 / Android 14</t>
        </is>
      </c>
      <c r="K122" s="28" t="inlineStr">
        <is>
          <t>Claude (adb)</t>
        </is>
      </c>
      <c r="L122" s="40" t="n">
        <v>46301</v>
      </c>
      <c r="M122" s="28" t="inlineStr">
        <is>
          <t>Verified</t>
        </is>
      </c>
      <c r="N122" s="28" t="n"/>
      <c r="O122" s="28" t="inlineStr">
        <is>
          <t>1.0.0+1 debug (rebuilt 6 Oct 2026)</t>
        </is>
      </c>
      <c r="P122" s="28" t="inlineStr">
        <is>
          <t>Pass</t>
        </is>
      </c>
    </row>
    <row r="123" ht="90" customHeight="1">
      <c r="A123" s="28" t="inlineStr">
        <is>
          <t>DEF-122</t>
        </is>
      </c>
      <c r="B123" s="28" t="inlineStr">
        <is>
          <t>Screen Coverage - Booking flow</t>
        </is>
      </c>
      <c r="C123" s="28" t="inlineStr">
        <is>
          <t>Booking step 2 crashes to the red error screen offline when the list was never saved</t>
        </is>
      </c>
      <c r="D123" s="28" t="inlineStr">
        <is>
          <t>High</t>
        </is>
      </c>
      <c r="E123" s="28" t="inlineStr">
        <is>
          <t>Booking</t>
        </is>
      </c>
      <c r="F123" s="28" t="inlineStr">
        <is>
          <t>Offline, booking step 2 with a doctor/hospital list never loaded.</t>
        </is>
      </c>
      <c r="G123" s="28" t="inlineStr">
        <is>
          <t>Offline error view with Try Again.</t>
        </is>
      </c>
      <c r="H123" s="28" t="inlineStr">
        <is>
          <t>NetworkFailure rethrown by AsyncValue.value in CacheStatusBar. Fixed (valueOrNull) in booking_screen doctors and hospitals; verified: error view, then the list loaded by itself on reconnect.</t>
        </is>
      </c>
      <c r="I123" s="28" t="inlineStr">
        <is>
          <t>1.0.0+1 debug</t>
        </is>
      </c>
      <c r="J123" s="28" t="inlineStr">
        <is>
          <t>emulator-5554 / Android 14</t>
        </is>
      </c>
      <c r="K123" s="28" t="inlineStr">
        <is>
          <t>Claude (adb)</t>
        </is>
      </c>
      <c r="L123" s="40" t="n">
        <v>46301</v>
      </c>
      <c r="M123" s="28" t="inlineStr">
        <is>
          <t>Verified</t>
        </is>
      </c>
      <c r="N123" s="28" t="n"/>
      <c r="O123" s="28" t="inlineStr">
        <is>
          <t>1.0.0+1 debug (rebuilt 6 Oct 2026)</t>
        </is>
      </c>
      <c r="P123" s="28" t="inlineStr">
        <is>
          <t>Pass</t>
        </is>
      </c>
    </row>
    <row r="124" ht="90" customHeight="1">
      <c r="A124" s="28" t="inlineStr">
        <is>
          <t>DEF-123</t>
        </is>
      </c>
      <c r="B124" s="28" t="inlineStr">
        <is>
          <t>Screen Coverage - error views</t>
        </is>
      </c>
      <c r="C124" s="28" t="inlineStr">
        <is>
          <t>"You're offline" error pages do not reload when the connection returns</t>
        </is>
      </c>
      <c r="D124" s="28" t="inlineStr">
        <is>
          <t>Medium</t>
        </is>
      </c>
      <c r="E124" s="28" t="inlineStr">
        <is>
          <t>App</t>
        </is>
      </c>
      <c r="F124" s="28" t="inlineStr">
        <is>
          <t>Open a never-saved screen offline, reconnect.</t>
        </is>
      </c>
      <c r="G124" s="28" t="inlineStr">
        <is>
          <t>Reloads by itself.</t>
        </is>
      </c>
      <c r="H124" s="28" t="inlineStr">
        <is>
          <t>Stayed on Try Again. Fixed: RetryOnReconnect in AppErrorView/AppInlineError (network/timeout failures with a retry). Verified on appointment detail, receipt and the booking doctor list.</t>
        </is>
      </c>
      <c r="I124" s="28" t="inlineStr">
        <is>
          <t>1.0.0+1 debug</t>
        </is>
      </c>
      <c r="J124" s="28" t="inlineStr">
        <is>
          <t>emulator-5554 / Android 14</t>
        </is>
      </c>
      <c r="K124" s="28" t="inlineStr">
        <is>
          <t>Claude (adb)</t>
        </is>
      </c>
      <c r="L124" s="40" t="n">
        <v>46301</v>
      </c>
      <c r="M124" s="28" t="inlineStr">
        <is>
          <t>Verified</t>
        </is>
      </c>
      <c r="N124" s="28" t="n"/>
      <c r="O124" s="28" t="inlineStr">
        <is>
          <t>1.0.0+1 debug (rebuilt 6 Oct 2026)</t>
        </is>
      </c>
      <c r="P124" s="28" t="inlineStr">
        <is>
          <t>Pass</t>
        </is>
      </c>
    </row>
    <row r="125" ht="90" customHeight="1">
      <c r="A125" s="28" t="inlineStr">
        <is>
          <t>DEF-124</t>
        </is>
      </c>
      <c r="B125" s="28" t="inlineStr">
        <is>
          <t>Screen Coverage - pull to refresh</t>
        </is>
      </c>
      <c r="C125" s="28" t="inlineStr">
        <is>
          <t>Pull-to-refresh offline gives no feedback</t>
        </is>
      </c>
      <c r="D125" s="28" t="inlineStr">
        <is>
          <t>Low</t>
        </is>
      </c>
      <c r="E125" s="28" t="inlineStr">
        <is>
          <t>App</t>
        </is>
      </c>
      <c r="F125" s="28" t="inlineStr">
        <is>
          <t>Offline, pull down on Home.</t>
        </is>
      </c>
      <c r="G125" s="28" t="inlineStr">
        <is>
          <t>Says it is offline.</t>
        </is>
      </c>
      <c r="H125" s="28" t="inlineStr">
        <is>
          <t>Spinner, then nothing. Fixed in AppRefreshIndicator: "You're offline - pull down again when you're back online." Verified on Home.</t>
        </is>
      </c>
      <c r="I125" s="28" t="inlineStr">
        <is>
          <t>1.0.0+1 debug</t>
        </is>
      </c>
      <c r="J125" s="28" t="inlineStr">
        <is>
          <t>emulator-5554 / Android 14</t>
        </is>
      </c>
      <c r="K125" s="28" t="inlineStr">
        <is>
          <t>Claude (adb)</t>
        </is>
      </c>
      <c r="L125" s="40" t="n">
        <v>46301</v>
      </c>
      <c r="M125" s="28" t="inlineStr">
        <is>
          <t>Verified</t>
        </is>
      </c>
      <c r="N125" s="28" t="n"/>
      <c r="O125" s="28" t="inlineStr">
        <is>
          <t>1.0.0+1 debug (rebuilt 6 Oct 2026)</t>
        </is>
      </c>
      <c r="P125" s="28" t="inlineStr">
        <is>
          <t>Pass</t>
        </is>
      </c>
    </row>
    <row r="126" ht="90" customHeight="1">
      <c r="A126" s="28" t="inlineStr">
        <is>
          <t>DEF-125</t>
        </is>
      </c>
      <c r="B126" s="28" t="inlineStr">
        <is>
          <t>Screen Coverage - Payment</t>
        </is>
      </c>
      <c r="C126" s="28" t="inlineStr">
        <is>
          <t>Offline Pay/Retry on the payment screen shows "Online payment is not set up…"</t>
        </is>
      </c>
      <c r="D126" s="28" t="inlineStr">
        <is>
          <t>Medium</t>
        </is>
      </c>
      <c r="E126" s="28" t="inlineStr">
        <is>
          <t>Payment</t>
        </is>
      </c>
      <c r="F126" s="28" t="inlineStr">
        <is>
          <t>Open the payment screen, go offline, press Pay.</t>
        </is>
      </c>
      <c r="G126" s="28" t="inlineStr">
        <is>
          <t>"You appear to be offline…" before anything opens.</t>
        </is>
      </c>
      <c r="H126" s="28" t="inlineStr">
        <is>
          <t>Wrong message from the gateway-key check. Fixed: connection checked first; verified.</t>
        </is>
      </c>
      <c r="I126" s="28" t="inlineStr">
        <is>
          <t>1.0.0+1 debug</t>
        </is>
      </c>
      <c r="J126" s="28" t="inlineStr">
        <is>
          <t>emulator-5554 / Android 14</t>
        </is>
      </c>
      <c r="K126" s="28" t="inlineStr">
        <is>
          <t>Claude (adb)</t>
        </is>
      </c>
      <c r="L126" s="40" t="n">
        <v>46301</v>
      </c>
      <c r="M126" s="28" t="inlineStr">
        <is>
          <t>Verified</t>
        </is>
      </c>
      <c r="N126" s="28" t="n"/>
      <c r="O126" s="28" t="inlineStr">
        <is>
          <t>1.0.0+1 debug (rebuilt 6 Oct 2026)</t>
        </is>
      </c>
      <c r="P126" s="28" t="inlineStr">
        <is>
          <t>Pass</t>
        </is>
      </c>
    </row>
    <row r="127" ht="90" customHeight="1">
      <c r="A127" s="28" t="inlineStr">
        <is>
          <t>DEF-126</t>
        </is>
      </c>
      <c r="B127" s="28" t="inlineStr">
        <is>
          <t>Screen Coverage - Add family member (and every MutationNotifier form)</t>
        </is>
      </c>
      <c r="C127" s="28" t="inlineStr">
        <is>
          <t>A failed save could be reported as success</t>
        </is>
      </c>
      <c r="D127" s="28" t="inlineStr">
        <is>
          <t>High</t>
        </is>
      </c>
      <c r="E127" s="28" t="inlineStr">
        <is>
          <t>Profile</t>
        </is>
      </c>
      <c r="F127" s="28" t="inlineStr">
        <is>
          <t>Save a family member while the request fails after the autoDispose save controller was released.</t>
        </is>
      </c>
      <c r="G127" s="28" t="inlineStr">
        <is>
          <t>The failure is shown.</t>
        </is>
      </c>
      <c r="H127" s="28" t="inlineStr">
        <is>
          <t>MutationNotifier.apply returned null (= success) when disposed mid-request, so the form said "added" and stuck in saving. Fixed: a failure is always returned; the family form also keeps its controller alive. Test: mutation_notifier_test. Verified offline: "You appear to be offline…".</t>
        </is>
      </c>
      <c r="I127" s="28" t="inlineStr">
        <is>
          <t>1.0.0+1 debug</t>
        </is>
      </c>
      <c r="J127" s="28" t="inlineStr">
        <is>
          <t>emulator-5554 / Android 14</t>
        </is>
      </c>
      <c r="K127" s="28" t="inlineStr">
        <is>
          <t>Claude (adb)</t>
        </is>
      </c>
      <c r="L127" s="40" t="n">
        <v>46302</v>
      </c>
      <c r="M127" s="28" t="inlineStr">
        <is>
          <t>Verified</t>
        </is>
      </c>
      <c r="N127" s="28" t="n"/>
      <c r="O127" s="28" t="inlineStr">
        <is>
          <t>1.0.0+1 debug (rebuilt 7 Oct 2026)</t>
        </is>
      </c>
      <c r="P127" s="28" t="inlineStr">
        <is>
          <t>Pass</t>
        </is>
      </c>
    </row>
    <row r="128" ht="90" customHeight="1">
      <c r="A128" s="28" t="inlineStr">
        <is>
          <t>DEF-127</t>
        </is>
      </c>
      <c r="B128" s="28" t="inlineStr">
        <is>
          <t>Screen Coverage - Add policy</t>
        </is>
      </c>
      <c r="C128" s="28" t="inlineStr">
        <is>
          <t>Add Policy crashes to the red error screen offline</t>
        </is>
      </c>
      <c r="D128" s="28" t="inlineStr">
        <is>
          <t>High</t>
        </is>
      </c>
      <c r="E128" s="28" t="inlineStr">
        <is>
          <t>Insurance</t>
        </is>
      </c>
      <c r="F128" s="28" t="inlineStr">
        <is>
          <t>Offline after a restart, Insurance &gt; Add a Policy.</t>
        </is>
      </c>
      <c r="G128" s="28" t="inlineStr">
        <is>
          <t>Form with a retryable family picker.</t>
        </is>
      </c>
      <c r="H128" s="28" t="inlineStr">
        <is>
          <t>policy_person_picker read persons.value (rethrows). Fixed with valueOrNull; verified.</t>
        </is>
      </c>
      <c r="I128" s="28" t="inlineStr">
        <is>
          <t>1.0.0+1 debug</t>
        </is>
      </c>
      <c r="J128" s="28" t="inlineStr">
        <is>
          <t>emulator-5554 / Android 14</t>
        </is>
      </c>
      <c r="K128" s="28" t="inlineStr">
        <is>
          <t>Claude (adb)</t>
        </is>
      </c>
      <c r="L128" s="40" t="n">
        <v>46302</v>
      </c>
      <c r="M128" s="28" t="inlineStr">
        <is>
          <t>Verified</t>
        </is>
      </c>
      <c r="N128" s="28" t="n"/>
      <c r="O128" s="28" t="inlineStr">
        <is>
          <t>1.0.0+1 debug (rebuilt 7 Oct 2026)</t>
        </is>
      </c>
      <c r="P128" s="28" t="inlineStr">
        <is>
          <t>Pass</t>
        </is>
      </c>
    </row>
    <row r="129" ht="90" customHeight="1">
      <c r="A129" s="28" t="inlineStr">
        <is>
          <t>DEF-128</t>
        </is>
      </c>
      <c r="B129" s="28" t="inlineStr">
        <is>
          <t>Screen Coverage - slow network</t>
        </is>
      </c>
      <c r="C129" s="28" t="inlineStr">
        <is>
          <t>Error pages say "You're offline" when the phone has a network but the server is not answering</t>
        </is>
      </c>
      <c r="D129" s="28" t="inlineStr">
        <is>
          <t>Low</t>
        </is>
      </c>
      <c r="E129" s="28" t="inlineStr">
        <is>
          <t>App</t>
        </is>
      </c>
      <c r="F129" s="28" t="inlineStr">
        <is>
          <t>2G throttle until requests time out.</t>
        </is>
      </c>
      <c r="G129" s="28" t="inlineStr">
        <is>
          <t>"Can't reach Medibook right now".</t>
        </is>
      </c>
      <c r="H129" s="28" t="inlineStr">
        <is>
          <t>The cache said "offline" for any unreachable state. Fixed: NetworkFailure.unreachable when the phone has a route ("Can't reach Medibook"), also on the payment check.</t>
        </is>
      </c>
      <c r="I129" s="28" t="inlineStr">
        <is>
          <t>1.0.0+1 debug</t>
        </is>
      </c>
      <c r="J129" s="28" t="inlineStr">
        <is>
          <t>emulator-5554 / Android 14</t>
        </is>
      </c>
      <c r="K129" s="28" t="inlineStr">
        <is>
          <t>Claude (adb)</t>
        </is>
      </c>
      <c r="L129" s="40" t="n">
        <v>46302</v>
      </c>
      <c r="M129" s="28" t="inlineStr">
        <is>
          <t>Verified</t>
        </is>
      </c>
      <c r="N129" s="28" t="n"/>
      <c r="O129" s="28" t="inlineStr">
        <is>
          <t>1.0.0+1 debug (rebuilt 7 Oct 2026)</t>
        </is>
      </c>
      <c r="P129" s="28" t="inlineStr">
        <is>
          <t>Pass</t>
        </is>
      </c>
    </row>
    <row r="130" ht="90" customHeight="1">
      <c r="A130" s="28" t="inlineStr">
        <is>
          <t>DEF-129</t>
        </is>
      </c>
      <c r="B130" s="28" t="inlineStr">
        <is>
          <t>Screen Coverage - Document edit sheet</t>
        </is>
      </c>
      <c r="C130" s="28" t="inlineStr">
        <is>
          <t>Offline the linked visit reads "Not linked" although the link is kept</t>
        </is>
      </c>
      <c r="D130" s="28" t="inlineStr">
        <is>
          <t>Low</t>
        </is>
      </c>
      <c r="E130" s="28" t="inlineStr">
        <is>
          <t>Records</t>
        </is>
      </c>
      <c r="F130" s="28" t="inlineStr">
        <is>
          <t>Offline, edit a document linked to a visit.</t>
        </is>
      </c>
      <c r="G130" s="28" t="inlineStr">
        <is>
          <t>Shows the link.</t>
        </is>
      </c>
      <c r="H130" s="28" t="inlineStr">
        <is>
          <t>Placeholder shown when the visit name could not be loaded. Fixed: "A linked visit (details load when you're back online)"; verified offline.</t>
        </is>
      </c>
      <c r="I130" s="28" t="inlineStr">
        <is>
          <t>1.0.0+1 debug</t>
        </is>
      </c>
      <c r="J130" s="28" t="inlineStr">
        <is>
          <t>emulator-5554 / Android 14</t>
        </is>
      </c>
      <c r="K130" s="28" t="inlineStr">
        <is>
          <t>Claude (adb)</t>
        </is>
      </c>
      <c r="L130" s="40" t="n">
        <v>46302</v>
      </c>
      <c r="M130" s="28" t="inlineStr">
        <is>
          <t>Verified</t>
        </is>
      </c>
      <c r="N130" s="28" t="n"/>
      <c r="O130" s="28" t="inlineStr">
        <is>
          <t>1.0.0+1 debug (rebuilt 7 Oct 2026)</t>
        </is>
      </c>
      <c r="P130" s="28" t="inlineStr">
        <is>
          <t>Pass</t>
        </is>
      </c>
    </row>
    <row r="131" ht="90" customHeight="1">
      <c r="A131" s="28" t="inlineStr">
        <is>
          <t>DEF-130</t>
        </is>
      </c>
      <c r="B131" s="28" t="inlineStr">
        <is>
          <t>Screen Coverage - Payment result / booking dates</t>
        </is>
      </c>
      <c r="C131" s="28" t="inlineStr">
        <is>
          <t>Long dates repeat the day: "Fri, 9 Oct · 9 Oct 2026"</t>
        </is>
      </c>
      <c r="D131" s="28" t="inlineStr">
        <is>
          <t>Low</t>
        </is>
      </c>
      <c r="E131" s="28" t="inlineStr">
        <is>
          <t>Booking</t>
        </is>
      </c>
      <c r="F131" s="28" t="inlineStr">
        <is>
          <t>Let a hold expire on the payment screen.</t>
        </is>
      </c>
      <c r="G131" s="28" t="inlineStr">
        <is>
          <t>"Fri, 9 Oct 2026".</t>
        </is>
      </c>
      <c r="H131" s="28" t="inlineStr">
        <is>
          <t>SlotLabels.dayLong appended the full date after a weekday lead. Fixed: full date only after Today/Tomorrow.</t>
        </is>
      </c>
      <c r="I131" s="28" t="inlineStr">
        <is>
          <t>1.0.0+1 debug</t>
        </is>
      </c>
      <c r="J131" s="28" t="inlineStr">
        <is>
          <t>emulator-5554 / Android 14</t>
        </is>
      </c>
      <c r="K131" s="28" t="inlineStr">
        <is>
          <t>Claude (adb)</t>
        </is>
      </c>
      <c r="L131" s="40" t="n">
        <v>46302</v>
      </c>
      <c r="M131" s="28" t="inlineStr">
        <is>
          <t>Verified</t>
        </is>
      </c>
      <c r="N131" s="28" t="n"/>
      <c r="O131" s="28" t="inlineStr">
        <is>
          <t>1.0.0+1 debug (rebuilt 7 Oct 2026)</t>
        </is>
      </c>
      <c r="P131" s="28" t="inlineStr">
        <is>
          <t>Pass</t>
        </is>
      </c>
    </row>
    <row r="132" ht="90" customHeight="1">
      <c r="A132" s="28" t="inlineStr">
        <is>
          <t>DEF-131</t>
        </is>
      </c>
      <c r="B132" s="28" t="inlineStr">
        <is>
          <t>Screen Coverage - Screen reader</t>
        </is>
      </c>
      <c r="C132" s="28" t="inlineStr">
        <is>
          <t>Loading skeletons are silent for screen readers</t>
        </is>
      </c>
      <c r="D132" s="28" t="inlineStr">
        <is>
          <t>Low</t>
        </is>
      </c>
      <c r="E132" s="28" t="inlineStr">
        <is>
          <t>Accessibility</t>
        </is>
      </c>
      <c r="F132" s="28" t="inlineStr">
        <is>
          <t>TalkBack on, open a list that is loading.</t>
        </is>
      </c>
      <c r="G132" s="28" t="inlineStr">
        <is>
          <t>"Loading…" announced once.</t>
        </is>
      </c>
      <c r="H132" s="28" t="inlineStr">
        <is>
          <t>AppSkeletonList excluded all semantics. Fixed: one live "Loading…" label.</t>
        </is>
      </c>
      <c r="I132" s="28" t="inlineStr">
        <is>
          <t>1.0.0+1 debug</t>
        </is>
      </c>
      <c r="J132" s="28" t="inlineStr">
        <is>
          <t>emulator-5554 / Android 14</t>
        </is>
      </c>
      <c r="K132" s="28" t="inlineStr">
        <is>
          <t>Claude (adb)</t>
        </is>
      </c>
      <c r="L132" s="40" t="n">
        <v>46302</v>
      </c>
      <c r="M132" s="28" t="inlineStr">
        <is>
          <t>Verified</t>
        </is>
      </c>
      <c r="N132" s="28" t="n"/>
      <c r="O132" s="28" t="inlineStr">
        <is>
          <t>1.0.0+1 debug (rebuilt 7 Oct 2026)</t>
        </is>
      </c>
      <c r="P132" s="28" t="inlineStr">
        <is>
          <t>Pass</t>
        </is>
      </c>
    </row>
    <row r="133" ht="90" customHeight="1">
      <c r="A133" s="28" t="inlineStr">
        <is>
          <t>DEF-132</t>
        </is>
      </c>
      <c r="B133" s="28" t="inlineStr">
        <is>
          <t>Screen Coverage - Screen reader (Add family member)</t>
        </is>
      </c>
      <c r="C133" s="28" t="inlineStr">
        <is>
          <t>Cards announced as an unnamed button / text field</t>
        </is>
      </c>
      <c r="D133" s="28" t="inlineStr">
        <is>
          <t>Medium</t>
        </is>
      </c>
      <c r="E133" s="28" t="inlineStr">
        <is>
          <t>Accessibility</t>
        </is>
      </c>
      <c r="F133" s="28" t="inlineStr">
        <is>
          <t>Accessibility tree on Add Family Member.</t>
        </is>
      </c>
      <c r="G133" s="28" t="inlineStr">
        <is>
          <t>Only the controls are announced, each with a name.</t>
        </is>
      </c>
      <c r="H133" s="28" t="inlineStr">
        <is>
          <t>Semantics without container merged the country chip's button flag and the text field flag into the surrounding cards. Fixed: container: true on both (app_phone_field, app_text_field); verified 0 unlabelled.</t>
        </is>
      </c>
      <c r="I133" s="28" t="inlineStr">
        <is>
          <t>1.0.0+1 debug</t>
        </is>
      </c>
      <c r="J133" s="28" t="inlineStr">
        <is>
          <t>emulator-5554 / Android 14</t>
        </is>
      </c>
      <c r="K133" s="28" t="inlineStr">
        <is>
          <t>Claude (adb)</t>
        </is>
      </c>
      <c r="L133" s="40" t="n">
        <v>46302</v>
      </c>
      <c r="M133" s="28" t="inlineStr">
        <is>
          <t>Verified</t>
        </is>
      </c>
      <c r="N133" s="28" t="n"/>
      <c r="O133" s="28" t="inlineStr">
        <is>
          <t>1.0.0+1 debug (rebuilt 7 Oct 2026)</t>
        </is>
      </c>
      <c r="P133" s="28" t="inlineStr">
        <is>
          <t>Pass</t>
        </is>
      </c>
    </row>
    <row r="134" ht="90" customHeight="1">
      <c r="A134" s="28" t="inlineStr">
        <is>
          <t>DEF-133</t>
        </is>
      </c>
      <c r="B134" s="28" t="inlineStr">
        <is>
          <t>Screen Coverage - Screen reader (Sign up)</t>
        </is>
      </c>
      <c r="C134" s="28" t="inlineStr">
        <is>
          <t>The consent sentence was an unlabelled tap target</t>
        </is>
      </c>
      <c r="D134" s="28" t="inlineStr">
        <is>
          <t>Low</t>
        </is>
      </c>
      <c r="E134" s="28" t="inlineStr">
        <is>
          <t>Accessibility</t>
        </is>
      </c>
      <c r="F134" s="28" t="inlineStr">
        <is>
          <t>Accessibility tree on Create Account.</t>
        </is>
      </c>
      <c r="G134" s="28" t="inlineStr">
        <is>
          <t>No unlabelled controls.</t>
        </is>
      </c>
      <c r="H134" s="28" t="inlineStr">
        <is>
          <t>The sentence's toggle tap had no label. Fixed: excluded from semantics (the labelled checkbox toggles; links stay); verified.</t>
        </is>
      </c>
      <c r="I134" s="28" t="inlineStr">
        <is>
          <t>1.0.0+1 debug</t>
        </is>
      </c>
      <c r="J134" s="28" t="inlineStr">
        <is>
          <t>emulator-5554 / Android 14</t>
        </is>
      </c>
      <c r="K134" s="28" t="inlineStr">
        <is>
          <t>Claude (adb)</t>
        </is>
      </c>
      <c r="L134" s="40" t="n">
        <v>46302</v>
      </c>
      <c r="M134" s="28" t="inlineStr">
        <is>
          <t>Verified</t>
        </is>
      </c>
      <c r="N134" s="28" t="n"/>
      <c r="O134" s="28" t="inlineStr">
        <is>
          <t>1.0.0+1 debug (rebuilt 7 Oct 2026)</t>
        </is>
      </c>
      <c r="P134" s="28" t="inlineStr">
        <is>
          <t>Pass</t>
        </is>
      </c>
    </row>
    <row r="135">
      <c r="A135" s="28" t="n"/>
      <c r="B135" s="28" t="n"/>
      <c r="C135" s="28" t="n"/>
      <c r="D135" s="28" t="n"/>
      <c r="E135" s="28" t="n"/>
      <c r="F135" s="28" t="n"/>
      <c r="G135" s="28" t="n"/>
      <c r="H135" s="28" t="n"/>
      <c r="I135" s="28" t="n"/>
      <c r="J135" s="28" t="n"/>
      <c r="K135" s="28" t="n"/>
      <c r="L135" s="40" t="n"/>
      <c r="M135" s="28" t="n"/>
      <c r="N135" s="28" t="n"/>
      <c r="O135" s="28" t="n"/>
      <c r="P135" s="28" t="n"/>
    </row>
    <row r="136">
      <c r="A136" s="28" t="n"/>
      <c r="B136" s="28" t="n"/>
      <c r="C136" s="28" t="n"/>
      <c r="D136" s="28" t="n"/>
      <c r="E136" s="28" t="n"/>
      <c r="F136" s="28" t="n"/>
      <c r="G136" s="28" t="n"/>
      <c r="H136" s="28" t="n"/>
      <c r="I136" s="28" t="n"/>
      <c r="J136" s="28" t="n"/>
      <c r="K136" s="28" t="n"/>
      <c r="L136" s="40" t="n"/>
      <c r="M136" s="28" t="n"/>
      <c r="N136" s="28" t="n"/>
      <c r="O136" s="28" t="n"/>
      <c r="P136" s="28" t="n"/>
    </row>
    <row r="137">
      <c r="A137" s="28" t="n"/>
      <c r="B137" s="28" t="n"/>
      <c r="C137" s="28" t="n"/>
      <c r="D137" s="28" t="n"/>
      <c r="E137" s="28" t="n"/>
      <c r="F137" s="28" t="n"/>
      <c r="G137" s="28" t="n"/>
      <c r="H137" s="28" t="n"/>
      <c r="I137" s="28" t="n"/>
      <c r="J137" s="28" t="n"/>
      <c r="K137" s="28" t="n"/>
      <c r="L137" s="40" t="n"/>
      <c r="M137" s="28" t="n"/>
      <c r="N137" s="28" t="n"/>
      <c r="O137" s="28" t="n"/>
      <c r="P137" s="28" t="n"/>
    </row>
    <row r="138">
      <c r="A138" s="28" t="n"/>
      <c r="B138" s="28" t="n"/>
      <c r="C138" s="28" t="n"/>
      <c r="D138" s="28" t="n"/>
      <c r="E138" s="28" t="n"/>
      <c r="F138" s="28" t="n"/>
      <c r="G138" s="28" t="n"/>
      <c r="H138" s="28" t="n"/>
      <c r="I138" s="28" t="n"/>
      <c r="J138" s="28" t="n"/>
      <c r="K138" s="28" t="n"/>
      <c r="L138" s="40" t="n"/>
      <c r="M138" s="28" t="n"/>
      <c r="N138" s="28" t="n"/>
      <c r="O138" s="28" t="n"/>
      <c r="P138" s="28" t="n"/>
    </row>
    <row r="139">
      <c r="A139" s="28" t="n"/>
      <c r="B139" s="28" t="n"/>
      <c r="C139" s="28" t="n"/>
      <c r="D139" s="28" t="n"/>
      <c r="E139" s="28" t="n"/>
      <c r="F139" s="28" t="n"/>
      <c r="G139" s="28" t="n"/>
      <c r="H139" s="28" t="n"/>
      <c r="I139" s="28" t="n"/>
      <c r="J139" s="28" t="n"/>
      <c r="K139" s="28" t="n"/>
      <c r="L139" s="40" t="n"/>
      <c r="M139" s="28" t="n"/>
      <c r="N139" s="28" t="n"/>
      <c r="O139" s="28" t="n"/>
      <c r="P139" s="28" t="n"/>
    </row>
    <row r="140">
      <c r="A140" s="28" t="n"/>
      <c r="B140" s="28" t="n"/>
      <c r="C140" s="28" t="n"/>
      <c r="D140" s="28" t="n"/>
      <c r="E140" s="28" t="n"/>
      <c r="F140" s="28" t="n"/>
      <c r="G140" s="28" t="n"/>
      <c r="H140" s="28" t="n"/>
      <c r="I140" s="28" t="n"/>
      <c r="J140" s="28" t="n"/>
      <c r="K140" s="28" t="n"/>
      <c r="L140" s="40" t="n"/>
      <c r="M140" s="28" t="n"/>
      <c r="N140" s="28" t="n"/>
      <c r="O140" s="28" t="n"/>
      <c r="P140" s="28" t="n"/>
    </row>
    <row r="141">
      <c r="A141" s="28" t="n"/>
      <c r="B141" s="28" t="n"/>
      <c r="C141" s="28" t="n"/>
      <c r="D141" s="28" t="n"/>
      <c r="E141" s="28" t="n"/>
      <c r="F141" s="28" t="n"/>
      <c r="G141" s="28" t="n"/>
      <c r="H141" s="28" t="n"/>
      <c r="I141" s="28" t="n"/>
      <c r="J141" s="28" t="n"/>
      <c r="K141" s="28" t="n"/>
      <c r="L141" s="40" t="n"/>
      <c r="M141" s="28" t="n"/>
      <c r="N141" s="28" t="n"/>
      <c r="O141" s="28" t="n"/>
      <c r="P141" s="28" t="n"/>
    </row>
    <row r="142">
      <c r="A142" s="28" t="n"/>
      <c r="B142" s="28" t="n"/>
      <c r="C142" s="28" t="n"/>
      <c r="D142" s="28" t="n"/>
      <c r="E142" s="28" t="n"/>
      <c r="F142" s="28" t="n"/>
      <c r="G142" s="28" t="n"/>
      <c r="H142" s="28" t="n"/>
      <c r="I142" s="28" t="n"/>
      <c r="J142" s="28" t="n"/>
      <c r="K142" s="28" t="n"/>
      <c r="L142" s="40" t="n"/>
      <c r="M142" s="28" t="n"/>
      <c r="N142" s="28" t="n"/>
      <c r="O142" s="28" t="n"/>
      <c r="P142" s="28" t="n"/>
    </row>
    <row r="143">
      <c r="A143" s="28" t="n"/>
      <c r="B143" s="28" t="n"/>
      <c r="C143" s="28" t="n"/>
      <c r="D143" s="28" t="n"/>
      <c r="E143" s="28" t="n"/>
      <c r="F143" s="28" t="n"/>
      <c r="G143" s="28" t="n"/>
      <c r="H143" s="28" t="n"/>
      <c r="I143" s="28" t="n"/>
      <c r="J143" s="28" t="n"/>
      <c r="K143" s="28" t="n"/>
      <c r="L143" s="40" t="n"/>
      <c r="M143" s="28" t="n"/>
      <c r="N143" s="28" t="n"/>
      <c r="O143" s="28" t="n"/>
      <c r="P143" s="28" t="n"/>
    </row>
    <row r="144">
      <c r="A144" s="28" t="n"/>
      <c r="B144" s="28" t="n"/>
      <c r="C144" s="28" t="n"/>
      <c r="D144" s="28" t="n"/>
      <c r="E144" s="28" t="n"/>
      <c r="F144" s="28" t="n"/>
      <c r="G144" s="28" t="n"/>
      <c r="H144" s="28" t="n"/>
      <c r="I144" s="28" t="n"/>
      <c r="J144" s="28" t="n"/>
      <c r="K144" s="28" t="n"/>
      <c r="L144" s="40" t="n"/>
      <c r="M144" s="28" t="n"/>
      <c r="N144" s="28" t="n"/>
      <c r="O144" s="28" t="n"/>
      <c r="P144" s="28" t="n"/>
    </row>
    <row r="145">
      <c r="A145" s="28" t="n"/>
      <c r="B145" s="28" t="n"/>
      <c r="C145" s="28" t="n"/>
      <c r="D145" s="28" t="n"/>
      <c r="E145" s="28" t="n"/>
      <c r="F145" s="28" t="n"/>
      <c r="G145" s="28" t="n"/>
      <c r="H145" s="28" t="n"/>
      <c r="I145" s="28" t="n"/>
      <c r="J145" s="28" t="n"/>
      <c r="K145" s="28" t="n"/>
      <c r="L145" s="40" t="n"/>
      <c r="M145" s="28" t="n"/>
      <c r="N145" s="28" t="n"/>
      <c r="O145" s="28" t="n"/>
      <c r="P145" s="28" t="n"/>
    </row>
    <row r="146">
      <c r="A146" s="28" t="n"/>
      <c r="B146" s="28" t="n"/>
      <c r="C146" s="28" t="n"/>
      <c r="D146" s="28" t="n"/>
      <c r="E146" s="28" t="n"/>
      <c r="F146" s="28" t="n"/>
      <c r="G146" s="28" t="n"/>
      <c r="H146" s="28" t="n"/>
      <c r="I146" s="28" t="n"/>
      <c r="J146" s="28" t="n"/>
      <c r="K146" s="28" t="n"/>
      <c r="L146" s="40" t="n"/>
      <c r="M146" s="28" t="n"/>
      <c r="N146" s="28" t="n"/>
      <c r="O146" s="28" t="n"/>
      <c r="P146" s="28" t="n"/>
    </row>
    <row r="147">
      <c r="A147" s="28" t="n"/>
      <c r="B147" s="28" t="n"/>
      <c r="C147" s="28" t="n"/>
      <c r="D147" s="28" t="n"/>
      <c r="E147" s="28" t="n"/>
      <c r="F147" s="28" t="n"/>
      <c r="G147" s="28" t="n"/>
      <c r="H147" s="28" t="n"/>
      <c r="I147" s="28" t="n"/>
      <c r="J147" s="28" t="n"/>
      <c r="K147" s="28" t="n"/>
      <c r="L147" s="40" t="n"/>
      <c r="M147" s="28" t="n"/>
      <c r="N147" s="28" t="n"/>
      <c r="O147" s="28" t="n"/>
      <c r="P147" s="28" t="n"/>
    </row>
    <row r="148">
      <c r="A148" s="28" t="n"/>
      <c r="B148" s="28" t="n"/>
      <c r="C148" s="28" t="n"/>
      <c r="D148" s="28" t="n"/>
      <c r="E148" s="28" t="n"/>
      <c r="F148" s="28" t="n"/>
      <c r="G148" s="28" t="n"/>
      <c r="H148" s="28" t="n"/>
      <c r="I148" s="28" t="n"/>
      <c r="J148" s="28" t="n"/>
      <c r="K148" s="28" t="n"/>
      <c r="L148" s="40" t="n"/>
      <c r="M148" s="28" t="n"/>
      <c r="N148" s="28" t="n"/>
      <c r="O148" s="28" t="n"/>
      <c r="P148" s="28" t="n"/>
    </row>
    <row r="149">
      <c r="A149" s="28" t="n"/>
      <c r="B149" s="28" t="n"/>
      <c r="C149" s="28" t="n"/>
      <c r="D149" s="28" t="n"/>
      <c r="E149" s="28" t="n"/>
      <c r="F149" s="28" t="n"/>
      <c r="G149" s="28" t="n"/>
      <c r="H149" s="28" t="n"/>
      <c r="I149" s="28" t="n"/>
      <c r="J149" s="28" t="n"/>
      <c r="K149" s="28" t="n"/>
      <c r="L149" s="40" t="n"/>
      <c r="M149" s="28" t="n"/>
      <c r="N149" s="28" t="n"/>
      <c r="O149" s="28" t="n"/>
      <c r="P149" s="28" t="n"/>
    </row>
    <row r="150">
      <c r="A150" s="28" t="n"/>
      <c r="B150" s="28" t="n"/>
      <c r="C150" s="28" t="n"/>
      <c r="D150" s="28" t="n"/>
      <c r="E150" s="28" t="n"/>
      <c r="F150" s="28" t="n"/>
      <c r="G150" s="28" t="n"/>
      <c r="H150" s="28" t="n"/>
      <c r="I150" s="28" t="n"/>
      <c r="J150" s="28" t="n"/>
      <c r="K150" s="28" t="n"/>
      <c r="L150" s="40" t="n"/>
      <c r="M150" s="28" t="n"/>
      <c r="N150" s="28" t="n"/>
      <c r="O150" s="28" t="n"/>
      <c r="P150" s="28" t="n"/>
    </row>
    <row r="151">
      <c r="A151" s="28" t="n"/>
      <c r="B151" s="28" t="n"/>
      <c r="C151" s="28" t="n"/>
      <c r="D151" s="28" t="n"/>
      <c r="E151" s="28" t="n"/>
      <c r="F151" s="28" t="n"/>
      <c r="G151" s="28" t="n"/>
      <c r="H151" s="28" t="n"/>
      <c r="I151" s="28" t="n"/>
      <c r="J151" s="28" t="n"/>
      <c r="K151" s="28" t="n"/>
      <c r="L151" s="40" t="n"/>
      <c r="M151" s="28" t="n"/>
      <c r="N151" s="28" t="n"/>
      <c r="O151" s="28" t="n"/>
      <c r="P151" s="28" t="n"/>
    </row>
    <row r="152">
      <c r="A152" s="28" t="n"/>
      <c r="B152" s="28" t="n"/>
      <c r="C152" s="28" t="n"/>
      <c r="D152" s="28" t="n"/>
      <c r="E152" s="28" t="n"/>
      <c r="F152" s="28" t="n"/>
      <c r="G152" s="28" t="n"/>
      <c r="H152" s="28" t="n"/>
      <c r="I152" s="28" t="n"/>
      <c r="J152" s="28" t="n"/>
      <c r="K152" s="28" t="n"/>
      <c r="L152" s="40" t="n"/>
      <c r="M152" s="28" t="n"/>
      <c r="N152" s="28" t="n"/>
      <c r="O152" s="28" t="n"/>
      <c r="P152" s="28" t="n"/>
    </row>
    <row r="153">
      <c r="A153" s="28" t="n"/>
      <c r="B153" s="28" t="n"/>
      <c r="C153" s="28" t="n"/>
      <c r="D153" s="28" t="n"/>
      <c r="E153" s="28" t="n"/>
      <c r="F153" s="28" t="n"/>
      <c r="G153" s="28" t="n"/>
      <c r="H153" s="28" t="n"/>
      <c r="I153" s="28" t="n"/>
      <c r="J153" s="28" t="n"/>
      <c r="K153" s="28" t="n"/>
      <c r="L153" s="40" t="n"/>
      <c r="M153" s="28" t="n"/>
      <c r="N153" s="28" t="n"/>
      <c r="O153" s="28" t="n"/>
      <c r="P153" s="28" t="n"/>
    </row>
    <row r="154">
      <c r="A154" s="28" t="n"/>
      <c r="B154" s="28" t="n"/>
      <c r="C154" s="28" t="n"/>
      <c r="D154" s="28" t="n"/>
      <c r="E154" s="28" t="n"/>
      <c r="F154" s="28" t="n"/>
      <c r="G154" s="28" t="n"/>
      <c r="H154" s="28" t="n"/>
      <c r="I154" s="28" t="n"/>
      <c r="J154" s="28" t="n"/>
      <c r="K154" s="28" t="n"/>
      <c r="L154" s="40" t="n"/>
      <c r="M154" s="28" t="n"/>
      <c r="N154" s="28" t="n"/>
      <c r="O154" s="28" t="n"/>
      <c r="P154" s="28" t="n"/>
    </row>
    <row r="155">
      <c r="A155" s="28" t="n"/>
      <c r="B155" s="28" t="n"/>
      <c r="C155" s="28" t="n"/>
      <c r="D155" s="28" t="n"/>
      <c r="E155" s="28" t="n"/>
      <c r="F155" s="28" t="n"/>
      <c r="G155" s="28" t="n"/>
      <c r="H155" s="28" t="n"/>
      <c r="I155" s="28" t="n"/>
      <c r="J155" s="28" t="n"/>
      <c r="K155" s="28" t="n"/>
      <c r="L155" s="40" t="n"/>
      <c r="M155" s="28" t="n"/>
      <c r="N155" s="28" t="n"/>
      <c r="O155" s="28" t="n"/>
      <c r="P155" s="28" t="n"/>
    </row>
    <row r="156">
      <c r="A156" s="28" t="n"/>
      <c r="B156" s="28" t="n"/>
      <c r="C156" s="28" t="n"/>
      <c r="D156" s="28" t="n"/>
      <c r="E156" s="28" t="n"/>
      <c r="F156" s="28" t="n"/>
      <c r="G156" s="28" t="n"/>
      <c r="H156" s="28" t="n"/>
      <c r="I156" s="28" t="n"/>
      <c r="J156" s="28" t="n"/>
      <c r="K156" s="28" t="n"/>
      <c r="L156" s="40" t="n"/>
      <c r="M156" s="28" t="n"/>
      <c r="N156" s="28" t="n"/>
      <c r="O156" s="28" t="n"/>
      <c r="P156" s="28" t="n"/>
    </row>
    <row r="157">
      <c r="A157" s="28" t="n"/>
      <c r="B157" s="28" t="n"/>
      <c r="C157" s="28" t="n"/>
      <c r="D157" s="28" t="n"/>
      <c r="E157" s="28" t="n"/>
      <c r="F157" s="28" t="n"/>
      <c r="G157" s="28" t="n"/>
      <c r="H157" s="28" t="n"/>
      <c r="I157" s="28" t="n"/>
      <c r="J157" s="28" t="n"/>
      <c r="K157" s="28" t="n"/>
      <c r="L157" s="40" t="n"/>
      <c r="M157" s="28" t="n"/>
      <c r="N157" s="28" t="n"/>
      <c r="O157" s="28" t="n"/>
      <c r="P157" s="28" t="n"/>
    </row>
    <row r="158">
      <c r="A158" s="28" t="n"/>
      <c r="B158" s="28" t="n"/>
      <c r="C158" s="28" t="n"/>
      <c r="D158" s="28" t="n"/>
      <c r="E158" s="28" t="n"/>
      <c r="F158" s="28" t="n"/>
      <c r="G158" s="28" t="n"/>
      <c r="H158" s="28" t="n"/>
      <c r="I158" s="28" t="n"/>
      <c r="J158" s="28" t="n"/>
      <c r="K158" s="28" t="n"/>
      <c r="L158" s="40" t="n"/>
      <c r="M158" s="28" t="n"/>
      <c r="N158" s="28" t="n"/>
      <c r="O158" s="28" t="n"/>
      <c r="P158" s="28" t="n"/>
    </row>
    <row r="159">
      <c r="A159" s="28" t="n"/>
      <c r="B159" s="28" t="n"/>
      <c r="C159" s="28" t="n"/>
      <c r="D159" s="28" t="n"/>
      <c r="E159" s="28" t="n"/>
      <c r="F159" s="28" t="n"/>
      <c r="G159" s="28" t="n"/>
      <c r="H159" s="28" t="n"/>
      <c r="I159" s="28" t="n"/>
      <c r="J159" s="28" t="n"/>
      <c r="K159" s="28" t="n"/>
      <c r="L159" s="40" t="n"/>
      <c r="M159" s="28" t="n"/>
      <c r="N159" s="28" t="n"/>
      <c r="O159" s="28" t="n"/>
      <c r="P159" s="28" t="n"/>
    </row>
    <row r="160">
      <c r="A160" s="28" t="n"/>
      <c r="B160" s="28" t="n"/>
      <c r="C160" s="28" t="n"/>
      <c r="D160" s="28" t="n"/>
      <c r="E160" s="28" t="n"/>
      <c r="F160" s="28" t="n"/>
      <c r="G160" s="28" t="n"/>
      <c r="H160" s="28" t="n"/>
      <c r="I160" s="28" t="n"/>
      <c r="J160" s="28" t="n"/>
      <c r="K160" s="28" t="n"/>
      <c r="L160" s="40" t="n"/>
      <c r="M160" s="28" t="n"/>
      <c r="N160" s="28" t="n"/>
      <c r="O160" s="28" t="n"/>
      <c r="P160" s="28" t="n"/>
    </row>
    <row r="161">
      <c r="A161" s="28" t="n"/>
      <c r="B161" s="28" t="n"/>
      <c r="C161" s="28" t="n"/>
      <c r="D161" s="28" t="n"/>
      <c r="E161" s="28" t="n"/>
      <c r="F161" s="28" t="n"/>
      <c r="G161" s="28" t="n"/>
      <c r="H161" s="28" t="n"/>
      <c r="I161" s="28" t="n"/>
      <c r="J161" s="28" t="n"/>
      <c r="K161" s="28" t="n"/>
      <c r="L161" s="40" t="n"/>
      <c r="M161" s="28" t="n"/>
      <c r="N161" s="28" t="n"/>
      <c r="O161" s="28" t="n"/>
      <c r="P161" s="28" t="n"/>
    </row>
    <row r="162">
      <c r="A162" s="28" t="n"/>
      <c r="B162" s="28" t="n"/>
      <c r="C162" s="28" t="n"/>
      <c r="D162" s="28" t="n"/>
      <c r="E162" s="28" t="n"/>
      <c r="F162" s="28" t="n"/>
      <c r="G162" s="28" t="n"/>
      <c r="H162" s="28" t="n"/>
      <c r="I162" s="28" t="n"/>
      <c r="J162" s="28" t="n"/>
      <c r="K162" s="28" t="n"/>
      <c r="L162" s="40" t="n"/>
      <c r="M162" s="28" t="n"/>
      <c r="N162" s="28" t="n"/>
      <c r="O162" s="28" t="n"/>
      <c r="P162" s="28" t="n"/>
    </row>
    <row r="163">
      <c r="A163" s="28" t="n"/>
      <c r="B163" s="28" t="n"/>
      <c r="C163" s="28" t="n"/>
      <c r="D163" s="28" t="n"/>
      <c r="E163" s="28" t="n"/>
      <c r="F163" s="28" t="n"/>
      <c r="G163" s="28" t="n"/>
      <c r="H163" s="28" t="n"/>
      <c r="I163" s="28" t="n"/>
      <c r="J163" s="28" t="n"/>
      <c r="K163" s="28" t="n"/>
      <c r="L163" s="40" t="n"/>
      <c r="M163" s="28" t="n"/>
      <c r="N163" s="28" t="n"/>
      <c r="O163" s="28" t="n"/>
      <c r="P163" s="28" t="n"/>
    </row>
    <row r="164">
      <c r="A164" s="28" t="n"/>
      <c r="B164" s="28" t="n"/>
      <c r="C164" s="28" t="n"/>
      <c r="D164" s="28" t="n"/>
      <c r="E164" s="28" t="n"/>
      <c r="F164" s="28" t="n"/>
      <c r="G164" s="28" t="n"/>
      <c r="H164" s="28" t="n"/>
      <c r="I164" s="28" t="n"/>
      <c r="J164" s="28" t="n"/>
      <c r="K164" s="28" t="n"/>
      <c r="L164" s="40" t="n"/>
      <c r="M164" s="28" t="n"/>
      <c r="N164" s="28" t="n"/>
      <c r="O164" s="28" t="n"/>
      <c r="P164" s="28" t="n"/>
    </row>
    <row r="165">
      <c r="A165" s="28" t="n"/>
      <c r="B165" s="28" t="n"/>
      <c r="C165" s="28" t="n"/>
      <c r="D165" s="28" t="n"/>
      <c r="E165" s="28" t="n"/>
      <c r="F165" s="28" t="n"/>
      <c r="G165" s="28" t="n"/>
      <c r="H165" s="28" t="n"/>
      <c r="I165" s="28" t="n"/>
      <c r="J165" s="28" t="n"/>
      <c r="K165" s="28" t="n"/>
      <c r="L165" s="40" t="n"/>
      <c r="M165" s="28" t="n"/>
      <c r="N165" s="28" t="n"/>
      <c r="O165" s="28" t="n"/>
      <c r="P165" s="28" t="n"/>
    </row>
    <row r="166">
      <c r="A166" s="28" t="n"/>
      <c r="B166" s="28" t="n"/>
      <c r="C166" s="28" t="n"/>
      <c r="D166" s="28" t="n"/>
      <c r="E166" s="28" t="n"/>
      <c r="F166" s="28" t="n"/>
      <c r="G166" s="28" t="n"/>
      <c r="H166" s="28" t="n"/>
      <c r="I166" s="28" t="n"/>
      <c r="J166" s="28" t="n"/>
      <c r="K166" s="28" t="n"/>
      <c r="L166" s="40" t="n"/>
      <c r="M166" s="28" t="n"/>
      <c r="N166" s="28" t="n"/>
      <c r="O166" s="28" t="n"/>
      <c r="P166" s="28" t="n"/>
    </row>
    <row r="167">
      <c r="A167" s="28" t="n"/>
      <c r="B167" s="28" t="n"/>
      <c r="C167" s="28" t="n"/>
      <c r="D167" s="28" t="n"/>
      <c r="E167" s="28" t="n"/>
      <c r="F167" s="28" t="n"/>
      <c r="G167" s="28" t="n"/>
      <c r="H167" s="28" t="n"/>
      <c r="I167" s="28" t="n"/>
      <c r="J167" s="28" t="n"/>
      <c r="K167" s="28" t="n"/>
      <c r="L167" s="40" t="n"/>
      <c r="M167" s="28" t="n"/>
      <c r="N167" s="28" t="n"/>
      <c r="O167" s="28" t="n"/>
      <c r="P167" s="28" t="n"/>
    </row>
    <row r="168">
      <c r="A168" s="28" t="n"/>
      <c r="B168" s="28" t="n"/>
      <c r="C168" s="28" t="n"/>
      <c r="D168" s="28" t="n"/>
      <c r="E168" s="28" t="n"/>
      <c r="F168" s="28" t="n"/>
      <c r="G168" s="28" t="n"/>
      <c r="H168" s="28" t="n"/>
      <c r="I168" s="28" t="n"/>
      <c r="J168" s="28" t="n"/>
      <c r="K168" s="28" t="n"/>
      <c r="L168" s="40" t="n"/>
      <c r="M168" s="28" t="n"/>
      <c r="N168" s="28" t="n"/>
      <c r="O168" s="28" t="n"/>
      <c r="P168" s="28" t="n"/>
    </row>
    <row r="169">
      <c r="A169" s="28" t="n"/>
      <c r="B169" s="28" t="n"/>
      <c r="C169" s="28" t="n"/>
      <c r="D169" s="28" t="n"/>
      <c r="E169" s="28" t="n"/>
      <c r="F169" s="28" t="n"/>
      <c r="G169" s="28" t="n"/>
      <c r="H169" s="28" t="n"/>
      <c r="I169" s="28" t="n"/>
      <c r="J169" s="28" t="n"/>
      <c r="K169" s="28" t="n"/>
      <c r="L169" s="40" t="n"/>
      <c r="M169" s="28" t="n"/>
      <c r="N169" s="28" t="n"/>
      <c r="O169" s="28" t="n"/>
      <c r="P169" s="28" t="n"/>
    </row>
    <row r="170">
      <c r="A170" s="28" t="n"/>
      <c r="B170" s="28" t="n"/>
      <c r="C170" s="28" t="n"/>
      <c r="D170" s="28" t="n"/>
      <c r="E170" s="28" t="n"/>
      <c r="F170" s="28" t="n"/>
      <c r="G170" s="28" t="n"/>
      <c r="H170" s="28" t="n"/>
      <c r="I170" s="28" t="n"/>
      <c r="J170" s="28" t="n"/>
      <c r="K170" s="28" t="n"/>
      <c r="L170" s="40" t="n"/>
      <c r="M170" s="28" t="n"/>
      <c r="N170" s="28" t="n"/>
      <c r="O170" s="28" t="n"/>
      <c r="P170" s="28" t="n"/>
    </row>
    <row r="171">
      <c r="A171" s="28" t="n"/>
      <c r="B171" s="28" t="n"/>
      <c r="C171" s="28" t="n"/>
      <c r="D171" s="28" t="n"/>
      <c r="E171" s="28" t="n"/>
      <c r="F171" s="28" t="n"/>
      <c r="G171" s="28" t="n"/>
      <c r="H171" s="28" t="n"/>
      <c r="I171" s="28" t="n"/>
      <c r="J171" s="28" t="n"/>
      <c r="K171" s="28" t="n"/>
      <c r="L171" s="40" t="n"/>
      <c r="M171" s="28" t="n"/>
      <c r="N171" s="28" t="n"/>
      <c r="O171" s="28" t="n"/>
      <c r="P171" s="28" t="n"/>
    </row>
    <row r="172">
      <c r="A172" s="28" t="n"/>
      <c r="B172" s="28" t="n"/>
      <c r="C172" s="28" t="n"/>
      <c r="D172" s="28" t="n"/>
      <c r="E172" s="28" t="n"/>
      <c r="F172" s="28" t="n"/>
      <c r="G172" s="28" t="n"/>
      <c r="H172" s="28" t="n"/>
      <c r="I172" s="28" t="n"/>
      <c r="J172" s="28" t="n"/>
      <c r="K172" s="28" t="n"/>
      <c r="L172" s="40" t="n"/>
      <c r="M172" s="28" t="n"/>
      <c r="N172" s="28" t="n"/>
      <c r="O172" s="28" t="n"/>
      <c r="P172" s="28" t="n"/>
    </row>
    <row r="173">
      <c r="A173" s="28" t="n"/>
      <c r="B173" s="28" t="n"/>
      <c r="C173" s="28" t="n"/>
      <c r="D173" s="28" t="n"/>
      <c r="E173" s="28" t="n"/>
      <c r="F173" s="28" t="n"/>
      <c r="G173" s="28" t="n"/>
      <c r="H173" s="28" t="n"/>
      <c r="I173" s="28" t="n"/>
      <c r="J173" s="28" t="n"/>
      <c r="K173" s="28" t="n"/>
      <c r="L173" s="40" t="n"/>
      <c r="M173" s="28" t="n"/>
      <c r="N173" s="28" t="n"/>
      <c r="O173" s="28" t="n"/>
      <c r="P173" s="28" t="n"/>
    </row>
    <row r="174">
      <c r="A174" s="28" t="n"/>
      <c r="B174" s="28" t="n"/>
      <c r="C174" s="28" t="n"/>
      <c r="D174" s="28" t="n"/>
      <c r="E174" s="28" t="n"/>
      <c r="F174" s="28" t="n"/>
      <c r="G174" s="28" t="n"/>
      <c r="H174" s="28" t="n"/>
      <c r="I174" s="28" t="n"/>
      <c r="J174" s="28" t="n"/>
      <c r="K174" s="28" t="n"/>
      <c r="L174" s="40" t="n"/>
      <c r="M174" s="28" t="n"/>
      <c r="N174" s="28" t="n"/>
      <c r="O174" s="28" t="n"/>
      <c r="P174" s="28" t="n"/>
    </row>
    <row r="175">
      <c r="A175" s="28" t="n"/>
      <c r="B175" s="28" t="n"/>
      <c r="C175" s="28" t="n"/>
      <c r="D175" s="28" t="n"/>
      <c r="E175" s="28" t="n"/>
      <c r="F175" s="28" t="n"/>
      <c r="G175" s="28" t="n"/>
      <c r="H175" s="28" t="n"/>
      <c r="I175" s="28" t="n"/>
      <c r="J175" s="28" t="n"/>
      <c r="K175" s="28" t="n"/>
      <c r="L175" s="40" t="n"/>
      <c r="M175" s="28" t="n"/>
      <c r="N175" s="28" t="n"/>
      <c r="O175" s="28" t="n"/>
      <c r="P175" s="28" t="n"/>
    </row>
    <row r="176">
      <c r="A176" s="28" t="n"/>
      <c r="B176" s="28" t="n"/>
      <c r="C176" s="28" t="n"/>
      <c r="D176" s="28" t="n"/>
      <c r="E176" s="28" t="n"/>
      <c r="F176" s="28" t="n"/>
      <c r="G176" s="28" t="n"/>
      <c r="H176" s="28" t="n"/>
      <c r="I176" s="28" t="n"/>
      <c r="J176" s="28" t="n"/>
      <c r="K176" s="28" t="n"/>
      <c r="L176" s="40" t="n"/>
      <c r="M176" s="28" t="n"/>
      <c r="N176" s="28" t="n"/>
      <c r="O176" s="28" t="n"/>
      <c r="P176" s="28" t="n"/>
    </row>
    <row r="177">
      <c r="A177" s="28" t="n"/>
      <c r="B177" s="28" t="n"/>
      <c r="C177" s="28" t="n"/>
      <c r="D177" s="28" t="n"/>
      <c r="E177" s="28" t="n"/>
      <c r="F177" s="28" t="n"/>
      <c r="G177" s="28" t="n"/>
      <c r="H177" s="28" t="n"/>
      <c r="I177" s="28" t="n"/>
      <c r="J177" s="28" t="n"/>
      <c r="K177" s="28" t="n"/>
      <c r="L177" s="40" t="n"/>
      <c r="M177" s="28" t="n"/>
      <c r="N177" s="28" t="n"/>
      <c r="O177" s="28" t="n"/>
      <c r="P177" s="28" t="n"/>
    </row>
    <row r="178">
      <c r="A178" s="28" t="n"/>
      <c r="B178" s="28" t="n"/>
      <c r="C178" s="28" t="n"/>
      <c r="D178" s="28" t="n"/>
      <c r="E178" s="28" t="n"/>
      <c r="F178" s="28" t="n"/>
      <c r="G178" s="28" t="n"/>
      <c r="H178" s="28" t="n"/>
      <c r="I178" s="28" t="n"/>
      <c r="J178" s="28" t="n"/>
      <c r="K178" s="28" t="n"/>
      <c r="L178" s="40" t="n"/>
      <c r="M178" s="28" t="n"/>
      <c r="N178" s="28" t="n"/>
      <c r="O178" s="28" t="n"/>
      <c r="P178" s="28" t="n"/>
    </row>
    <row r="179">
      <c r="A179" s="28" t="n"/>
      <c r="B179" s="28" t="n"/>
      <c r="C179" s="28" t="n"/>
      <c r="D179" s="28" t="n"/>
      <c r="E179" s="28" t="n"/>
      <c r="F179" s="28" t="n"/>
      <c r="G179" s="28" t="n"/>
      <c r="H179" s="28" t="n"/>
      <c r="I179" s="28" t="n"/>
      <c r="J179" s="28" t="n"/>
      <c r="K179" s="28" t="n"/>
      <c r="L179" s="40" t="n"/>
      <c r="M179" s="28" t="n"/>
      <c r="N179" s="28" t="n"/>
      <c r="O179" s="28" t="n"/>
      <c r="P179" s="28" t="n"/>
    </row>
    <row r="180">
      <c r="A180" s="28" t="n"/>
      <c r="B180" s="28" t="n"/>
      <c r="C180" s="28" t="n"/>
      <c r="D180" s="28" t="n"/>
      <c r="E180" s="28" t="n"/>
      <c r="F180" s="28" t="n"/>
      <c r="G180" s="28" t="n"/>
      <c r="H180" s="28" t="n"/>
      <c r="I180" s="28" t="n"/>
      <c r="J180" s="28" t="n"/>
      <c r="K180" s="28" t="n"/>
      <c r="L180" s="40" t="n"/>
      <c r="M180" s="28" t="n"/>
      <c r="N180" s="28" t="n"/>
      <c r="O180" s="28" t="n"/>
      <c r="P180" s="28" t="n"/>
    </row>
    <row r="181">
      <c r="A181" s="28" t="n"/>
      <c r="B181" s="28" t="n"/>
      <c r="C181" s="28" t="n"/>
      <c r="D181" s="28" t="n"/>
      <c r="E181" s="28" t="n"/>
      <c r="F181" s="28" t="n"/>
      <c r="G181" s="28" t="n"/>
      <c r="H181" s="28" t="n"/>
      <c r="I181" s="28" t="n"/>
      <c r="J181" s="28" t="n"/>
      <c r="K181" s="28" t="n"/>
      <c r="L181" s="40" t="n"/>
      <c r="M181" s="28" t="n"/>
      <c r="N181" s="28" t="n"/>
      <c r="O181" s="28" t="n"/>
      <c r="P181" s="28" t="n"/>
    </row>
    <row r="182">
      <c r="A182" s="28" t="n"/>
      <c r="B182" s="28" t="n"/>
      <c r="C182" s="28" t="n"/>
      <c r="D182" s="28" t="n"/>
      <c r="E182" s="28" t="n"/>
      <c r="F182" s="28" t="n"/>
      <c r="G182" s="28" t="n"/>
      <c r="H182" s="28" t="n"/>
      <c r="I182" s="28" t="n"/>
      <c r="J182" s="28" t="n"/>
      <c r="K182" s="28" t="n"/>
      <c r="L182" s="40" t="n"/>
      <c r="M182" s="28" t="n"/>
      <c r="N182" s="28" t="n"/>
      <c r="O182" s="28" t="n"/>
      <c r="P182" s="28" t="n"/>
    </row>
    <row r="183">
      <c r="A183" s="28" t="n"/>
      <c r="B183" s="28" t="n"/>
      <c r="C183" s="28" t="n"/>
      <c r="D183" s="28" t="n"/>
      <c r="E183" s="28" t="n"/>
      <c r="F183" s="28" t="n"/>
      <c r="G183" s="28" t="n"/>
      <c r="H183" s="28" t="n"/>
      <c r="I183" s="28" t="n"/>
      <c r="J183" s="28" t="n"/>
      <c r="K183" s="28" t="n"/>
      <c r="L183" s="40" t="n"/>
      <c r="M183" s="28" t="n"/>
      <c r="N183" s="28" t="n"/>
      <c r="O183" s="28" t="n"/>
      <c r="P183" s="28" t="n"/>
    </row>
    <row r="184">
      <c r="A184" s="28" t="n"/>
      <c r="B184" s="28" t="n"/>
      <c r="C184" s="28" t="n"/>
      <c r="D184" s="28" t="n"/>
      <c r="E184" s="28" t="n"/>
      <c r="F184" s="28" t="n"/>
      <c r="G184" s="28" t="n"/>
      <c r="H184" s="28" t="n"/>
      <c r="I184" s="28" t="n"/>
      <c r="J184" s="28" t="n"/>
      <c r="K184" s="28" t="n"/>
      <c r="L184" s="40" t="n"/>
      <c r="M184" s="28" t="n"/>
      <c r="N184" s="28" t="n"/>
      <c r="O184" s="28" t="n"/>
      <c r="P184" s="28" t="n"/>
    </row>
    <row r="185">
      <c r="A185" s="28" t="n"/>
      <c r="B185" s="28" t="n"/>
      <c r="C185" s="28" t="n"/>
      <c r="D185" s="28" t="n"/>
      <c r="E185" s="28" t="n"/>
      <c r="F185" s="28" t="n"/>
      <c r="G185" s="28" t="n"/>
      <c r="H185" s="28" t="n"/>
      <c r="I185" s="28" t="n"/>
      <c r="J185" s="28" t="n"/>
      <c r="K185" s="28" t="n"/>
      <c r="L185" s="40" t="n"/>
      <c r="M185" s="28" t="n"/>
      <c r="N185" s="28" t="n"/>
      <c r="O185" s="28" t="n"/>
      <c r="P185" s="28" t="n"/>
    </row>
    <row r="186">
      <c r="A186" s="28" t="n"/>
      <c r="B186" s="28" t="n"/>
      <c r="C186" s="28" t="n"/>
      <c r="D186" s="28" t="n"/>
      <c r="E186" s="28" t="n"/>
      <c r="F186" s="28" t="n"/>
      <c r="G186" s="28" t="n"/>
      <c r="H186" s="28" t="n"/>
      <c r="I186" s="28" t="n"/>
      <c r="J186" s="28" t="n"/>
      <c r="K186" s="28" t="n"/>
      <c r="L186" s="40" t="n"/>
      <c r="M186" s="28" t="n"/>
      <c r="N186" s="28" t="n"/>
      <c r="O186" s="28" t="n"/>
      <c r="P186" s="28" t="n"/>
    </row>
    <row r="187">
      <c r="A187" s="28" t="n"/>
      <c r="B187" s="28" t="n"/>
      <c r="C187" s="28" t="n"/>
      <c r="D187" s="28" t="n"/>
      <c r="E187" s="28" t="n"/>
      <c r="F187" s="28" t="n"/>
      <c r="G187" s="28" t="n"/>
      <c r="H187" s="28" t="n"/>
      <c r="I187" s="28" t="n"/>
      <c r="J187" s="28" t="n"/>
      <c r="K187" s="28" t="n"/>
      <c r="L187" s="40" t="n"/>
      <c r="M187" s="28" t="n"/>
      <c r="N187" s="28" t="n"/>
      <c r="O187" s="28" t="n"/>
      <c r="P187" s="28" t="n"/>
    </row>
    <row r="188">
      <c r="A188" s="28" t="n"/>
      <c r="B188" s="28" t="n"/>
      <c r="C188" s="28" t="n"/>
      <c r="D188" s="28" t="n"/>
      <c r="E188" s="28" t="n"/>
      <c r="F188" s="28" t="n"/>
      <c r="G188" s="28" t="n"/>
      <c r="H188" s="28" t="n"/>
      <c r="I188" s="28" t="n"/>
      <c r="J188" s="28" t="n"/>
      <c r="K188" s="28" t="n"/>
      <c r="L188" s="40" t="n"/>
      <c r="M188" s="28" t="n"/>
      <c r="N188" s="28" t="n"/>
      <c r="O188" s="28" t="n"/>
      <c r="P188" s="28" t="n"/>
    </row>
    <row r="189">
      <c r="A189" s="28" t="n"/>
      <c r="B189" s="28" t="n"/>
      <c r="C189" s="28" t="n"/>
      <c r="D189" s="28" t="n"/>
      <c r="E189" s="28" t="n"/>
      <c r="F189" s="28" t="n"/>
      <c r="G189" s="28" t="n"/>
      <c r="H189" s="28" t="n"/>
      <c r="I189" s="28" t="n"/>
      <c r="J189" s="28" t="n"/>
      <c r="K189" s="28" t="n"/>
      <c r="L189" s="40" t="n"/>
      <c r="M189" s="28" t="n"/>
      <c r="N189" s="28" t="n"/>
      <c r="O189" s="28" t="n"/>
      <c r="P189" s="28" t="n"/>
    </row>
    <row r="190">
      <c r="A190" s="28" t="n"/>
      <c r="B190" s="28" t="n"/>
      <c r="C190" s="28" t="n"/>
      <c r="D190" s="28" t="n"/>
      <c r="E190" s="28" t="n"/>
      <c r="F190" s="28" t="n"/>
      <c r="G190" s="28" t="n"/>
      <c r="H190" s="28" t="n"/>
      <c r="I190" s="28" t="n"/>
      <c r="J190" s="28" t="n"/>
      <c r="K190" s="28" t="n"/>
      <c r="L190" s="40" t="n"/>
      <c r="M190" s="28" t="n"/>
      <c r="N190" s="28" t="n"/>
      <c r="O190" s="28" t="n"/>
      <c r="P190" s="28" t="n"/>
    </row>
    <row r="191">
      <c r="A191" s="28" t="n"/>
      <c r="B191" s="28" t="n"/>
      <c r="C191" s="28" t="n"/>
      <c r="D191" s="28" t="n"/>
      <c r="E191" s="28" t="n"/>
      <c r="F191" s="28" t="n"/>
      <c r="G191" s="28" t="n"/>
      <c r="H191" s="28" t="n"/>
      <c r="I191" s="28" t="n"/>
      <c r="J191" s="28" t="n"/>
      <c r="K191" s="28" t="n"/>
      <c r="L191" s="40" t="n"/>
      <c r="M191" s="28" t="n"/>
      <c r="N191" s="28" t="n"/>
      <c r="O191" s="28" t="n"/>
      <c r="P191" s="28" t="n"/>
    </row>
    <row r="192">
      <c r="A192" s="28" t="n"/>
      <c r="B192" s="28" t="n"/>
      <c r="C192" s="28" t="n"/>
      <c r="D192" s="28" t="n"/>
      <c r="E192" s="28" t="n"/>
      <c r="F192" s="28" t="n"/>
      <c r="G192" s="28" t="n"/>
      <c r="H192" s="28" t="n"/>
      <c r="I192" s="28" t="n"/>
      <c r="J192" s="28" t="n"/>
      <c r="K192" s="28" t="n"/>
      <c r="L192" s="40" t="n"/>
      <c r="M192" s="28" t="n"/>
      <c r="N192" s="28" t="n"/>
      <c r="O192" s="28" t="n"/>
      <c r="P192" s="28" t="n"/>
    </row>
    <row r="193">
      <c r="A193" s="28" t="n"/>
      <c r="B193" s="28" t="n"/>
      <c r="C193" s="28" t="n"/>
      <c r="D193" s="28" t="n"/>
      <c r="E193" s="28" t="n"/>
      <c r="F193" s="28" t="n"/>
      <c r="G193" s="28" t="n"/>
      <c r="H193" s="28" t="n"/>
      <c r="I193" s="28" t="n"/>
      <c r="J193" s="28" t="n"/>
      <c r="K193" s="28" t="n"/>
      <c r="L193" s="40" t="n"/>
      <c r="M193" s="28" t="n"/>
      <c r="N193" s="28" t="n"/>
      <c r="O193" s="28" t="n"/>
      <c r="P193" s="28" t="n"/>
    </row>
    <row r="194">
      <c r="A194" s="28" t="n"/>
      <c r="B194" s="28" t="n"/>
      <c r="C194" s="28" t="n"/>
      <c r="D194" s="28" t="n"/>
      <c r="E194" s="28" t="n"/>
      <c r="F194" s="28" t="n"/>
      <c r="G194" s="28" t="n"/>
      <c r="H194" s="28" t="n"/>
      <c r="I194" s="28" t="n"/>
      <c r="J194" s="28" t="n"/>
      <c r="K194" s="28" t="n"/>
      <c r="L194" s="40" t="n"/>
      <c r="M194" s="28" t="n"/>
      <c r="N194" s="28" t="n"/>
      <c r="O194" s="28" t="n"/>
      <c r="P194" s="28" t="n"/>
    </row>
    <row r="195">
      <c r="A195" s="28" t="n"/>
      <c r="B195" s="28" t="n"/>
      <c r="C195" s="28" t="n"/>
      <c r="D195" s="28" t="n"/>
      <c r="E195" s="28" t="n"/>
      <c r="F195" s="28" t="n"/>
      <c r="G195" s="28" t="n"/>
      <c r="H195" s="28" t="n"/>
      <c r="I195" s="28" t="n"/>
      <c r="J195" s="28" t="n"/>
      <c r="K195" s="28" t="n"/>
      <c r="L195" s="40" t="n"/>
      <c r="M195" s="28" t="n"/>
      <c r="N195" s="28" t="n"/>
      <c r="O195" s="28" t="n"/>
      <c r="P195" s="28" t="n"/>
    </row>
    <row r="196">
      <c r="A196" s="28" t="n"/>
      <c r="B196" s="28" t="n"/>
      <c r="C196" s="28" t="n"/>
      <c r="D196" s="28" t="n"/>
      <c r="E196" s="28" t="n"/>
      <c r="F196" s="28" t="n"/>
      <c r="G196" s="28" t="n"/>
      <c r="H196" s="28" t="n"/>
      <c r="I196" s="28" t="n"/>
      <c r="J196" s="28" t="n"/>
      <c r="K196" s="28" t="n"/>
      <c r="L196" s="40" t="n"/>
      <c r="M196" s="28" t="n"/>
      <c r="N196" s="28" t="n"/>
      <c r="O196" s="28" t="n"/>
      <c r="P196" s="28" t="n"/>
    </row>
    <row r="197">
      <c r="A197" s="28" t="n"/>
      <c r="B197" s="28" t="n"/>
      <c r="C197" s="28" t="n"/>
      <c r="D197" s="28" t="n"/>
      <c r="E197" s="28" t="n"/>
      <c r="F197" s="28" t="n"/>
      <c r="G197" s="28" t="n"/>
      <c r="H197" s="28" t="n"/>
      <c r="I197" s="28" t="n"/>
      <c r="J197" s="28" t="n"/>
      <c r="K197" s="28" t="n"/>
      <c r="L197" s="40" t="n"/>
      <c r="M197" s="28" t="n"/>
      <c r="N197" s="28" t="n"/>
      <c r="O197" s="28" t="n"/>
      <c r="P197" s="28" t="n"/>
    </row>
    <row r="198">
      <c r="A198" s="28" t="n"/>
      <c r="B198" s="28" t="n"/>
      <c r="C198" s="28" t="n"/>
      <c r="D198" s="28" t="n"/>
      <c r="E198" s="28" t="n"/>
      <c r="F198" s="28" t="n"/>
      <c r="G198" s="28" t="n"/>
      <c r="H198" s="28" t="n"/>
      <c r="I198" s="28" t="n"/>
      <c r="J198" s="28" t="n"/>
      <c r="K198" s="28" t="n"/>
      <c r="L198" s="40" t="n"/>
      <c r="M198" s="28" t="n"/>
      <c r="N198" s="28" t="n"/>
      <c r="O198" s="28" t="n"/>
      <c r="P198" s="28" t="n"/>
    </row>
    <row r="199">
      <c r="A199" s="28" t="n"/>
      <c r="B199" s="28" t="n"/>
      <c r="C199" s="28" t="n"/>
      <c r="D199" s="28" t="n"/>
      <c r="E199" s="28" t="n"/>
      <c r="F199" s="28" t="n"/>
      <c r="G199" s="28" t="n"/>
      <c r="H199" s="28" t="n"/>
      <c r="I199" s="28" t="n"/>
      <c r="J199" s="28" t="n"/>
      <c r="K199" s="28" t="n"/>
      <c r="L199" s="40" t="n"/>
      <c r="M199" s="28" t="n"/>
      <c r="N199" s="28" t="n"/>
      <c r="O199" s="28" t="n"/>
      <c r="P199" s="28" t="n"/>
    </row>
  </sheetData>
  <autoFilter ref="A1:P103"/>
  <dataValidations count="3">
    <dataValidation sqref="D2:D500" showDropDown="0" showInputMessage="0" showErrorMessage="0" allowBlank="1" type="list">
      <formula1>"Critical,High,Medium,Low"</formula1>
    </dataValidation>
    <dataValidation sqref="M2:M500" showDropDown="0" showInputMessage="0" showErrorMessage="0" allowBlank="1" type="list">
      <formula1>"Open,In progress,Fixed,Verified,Won't fix,Duplicate"</formula1>
    </dataValidation>
    <dataValidation sqref="P2:P500" showDropDown="0" showInputMessage="0" showErrorMessage="0" allowBlank="1" type="list">
      <formula1>"Pass,Fail"</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9"/>
  <sheetViews>
    <sheetView showGridLines="0" tabSelected="0" workbookViewId="0">
      <selection activeCell="A1" sqref="A1"/>
    </sheetView>
  </sheetViews>
  <sheetFormatPr baseColWidth="8" defaultRowHeight="15"/>
  <cols>
    <col width="30" customWidth="1" min="1" max="1"/>
    <col width="26" customWidth="1" min="2" max="2"/>
    <col width="16" customWidth="1" min="3" max="3"/>
    <col width="16" customWidth="1" min="4" max="4"/>
    <col width="50" customWidth="1" min="5" max="5"/>
  </cols>
  <sheetData>
    <row r="1">
      <c r="A1" s="1" t="inlineStr">
        <is>
          <t>Release sign-off</t>
        </is>
      </c>
    </row>
    <row r="3">
      <c r="A3" s="3" t="inlineStr">
        <is>
          <t>Exit criteria</t>
        </is>
      </c>
    </row>
    <row r="4">
      <c r="A4" s="4" t="inlineStr">
        <is>
          <t>All P0 cases Pass (or N/A with reason)</t>
        </is>
      </c>
      <c r="C4" s="8">
        <f>IF(Summary!B5=0,"Met","Not met")</f>
        <v/>
      </c>
    </row>
    <row r="5">
      <c r="A5" s="4" t="inlineStr">
        <is>
          <t>No open P0 / P1 failures</t>
        </is>
      </c>
      <c r="C5" s="8">
        <f>IF(Summary!B6=0,"Met","Not met")</f>
        <v/>
      </c>
    </row>
    <row r="6">
      <c r="A6" s="4" t="inlineStr">
        <is>
          <t>No cases left Blocked</t>
        </is>
      </c>
      <c r="C6" s="8">
        <f>IF(Summary!B7=0,"Met","Not met")</f>
        <v/>
      </c>
    </row>
    <row r="7">
      <c r="A7" s="4" t="inlineStr">
        <is>
          <t>All known blockers Resolved or Accepted</t>
        </is>
      </c>
      <c r="C7" s="8">
        <f>IF(Summary!B8=0,"Met","Not met")</f>
        <v/>
      </c>
    </row>
    <row r="8">
      <c r="A8" s="4" t="inlineStr">
        <is>
          <t>At least 95% of all cases executed</t>
        </is>
      </c>
      <c r="C8" s="8">
        <f>IF(Summary!H17&gt;=0.95,"Met","Not met")</f>
        <v/>
      </c>
    </row>
    <row r="9">
      <c r="A9" s="4" t="inlineStr">
        <is>
          <t>E2E journeys pass on the store-distributed build, Android and iOS</t>
        </is>
      </c>
      <c r="C9" s="41" t="n"/>
      <c r="D9" s="2" t="inlineStr">
        <is>
          <t>← type Met / Not met</t>
        </is>
      </c>
    </row>
    <row r="10">
      <c r="A10" s="4" t="inlineStr">
        <is>
          <t>Crash-free soak test on the release build</t>
        </is>
      </c>
      <c r="C10" s="41" t="n"/>
    </row>
    <row r="11">
      <c r="A11" s="2" t="inlineStr">
        <is>
          <t>The 95% threshold is a suggested default for this workbook — change it in cell C8's formula if your team uses another.</t>
        </is>
      </c>
    </row>
    <row r="13">
      <c r="A13" s="3" t="inlineStr">
        <is>
          <t>Approvals</t>
        </is>
      </c>
    </row>
    <row r="14">
      <c r="A14" s="15" t="inlineStr">
        <is>
          <t>Role</t>
        </is>
      </c>
      <c r="B14" s="15" t="inlineStr">
        <is>
          <t>Name</t>
        </is>
      </c>
      <c r="C14" s="15" t="inlineStr">
        <is>
          <t>Decision</t>
        </is>
      </c>
      <c r="D14" s="15" t="inlineStr">
        <is>
          <t>Date</t>
        </is>
      </c>
      <c r="E14" s="15" t="inlineStr">
        <is>
          <t>Comments / accepted risks</t>
        </is>
      </c>
    </row>
    <row r="15">
      <c r="A15" s="18" t="inlineStr">
        <is>
          <t>QA lead</t>
        </is>
      </c>
      <c r="B15" s="5" t="n"/>
      <c r="C15" s="5" t="n"/>
      <c r="D15" s="6" t="n"/>
      <c r="E15" s="5" t="n"/>
    </row>
    <row r="16">
      <c r="A16" s="18" t="inlineStr">
        <is>
          <t>Mobile tech lead</t>
        </is>
      </c>
      <c r="B16" s="5" t="n"/>
      <c r="C16" s="5" t="n"/>
      <c r="D16" s="6" t="n"/>
      <c r="E16" s="5" t="n"/>
    </row>
    <row r="17">
      <c r="A17" s="18" t="inlineStr">
        <is>
          <t>Backend lead</t>
        </is>
      </c>
      <c r="B17" s="5" t="n"/>
      <c r="C17" s="5" t="n"/>
      <c r="D17" s="6" t="n"/>
      <c r="E17" s="5" t="n"/>
    </row>
    <row r="18">
      <c r="A18" s="18" t="inlineStr">
        <is>
          <t>Product owner</t>
        </is>
      </c>
      <c r="B18" s="5" t="n"/>
      <c r="C18" s="5" t="n"/>
      <c r="D18" s="6" t="n"/>
      <c r="E18" s="5" t="n"/>
    </row>
    <row r="19">
      <c r="A19" s="18" t="inlineStr">
        <is>
          <t>Security / compliance</t>
        </is>
      </c>
      <c r="B19" s="5" t="n"/>
      <c r="C19" s="5" t="n"/>
      <c r="D19" s="6" t="n"/>
      <c r="E19" s="5" t="n"/>
    </row>
  </sheetData>
  <mergeCells count="7">
    <mergeCell ref="A4:B4"/>
    <mergeCell ref="A7:B7"/>
    <mergeCell ref="A10:B10"/>
    <mergeCell ref="A5:B5"/>
    <mergeCell ref="A9:B9"/>
    <mergeCell ref="A8:B8"/>
    <mergeCell ref="A6:B6"/>
  </mergeCells>
  <conditionalFormatting sqref="C4:C10">
    <cfRule type="cellIs" priority="1" operator="equal" dxfId="3">
      <formula>"Met"</formula>
    </cfRule>
    <cfRule type="cellIs" priority="2" operator="equal" dxfId="4">
      <formula>"Not met"</formula>
    </cfRule>
  </conditionalFormatting>
  <dataValidations count="2">
    <dataValidation sqref="C9:C10" showDropDown="0" showInputMessage="0" showErrorMessage="0" allowBlank="1" type="list">
      <formula1>"Met,Not met"</formula1>
    </dataValidation>
    <dataValidation sqref="C15:C19" showDropDown="0" showInputMessage="0" showErrorMessage="0" allowBlank="1" type="list">
      <formula1>"Approved,Approved with risks,Rejected"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2026-10-04T06:13:30Z</dcterms:created>
  <dcterms:modified xsi:type="dcterms:W3CDTF">2026-10-04T17:20:36Z</dcterms:modified>
</cp:coreProperties>
</file>